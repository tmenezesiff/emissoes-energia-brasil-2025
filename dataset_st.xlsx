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13_ncr:1_{80FB1B45-F92A-4E95-AAE4-2C4E362B970D}" xr6:coauthVersionLast="47" xr6:coauthVersionMax="47" xr10:uidLastSave="{00000000-0000-0000-0000-000000000000}"/>
  <bookViews>
    <workbookView xWindow="-108" yWindow="-108" windowWidth="23256" windowHeight="12456" xr2:uid="{4438FAE4-E4A9-4B41-AF35-2C69A67E7DEF}"/>
  </bookViews>
  <sheets>
    <sheet name="co2e_mt_mensal" sheetId="13" r:id="rId1"/>
    <sheet name="geracao_mwh" sheetId="1" r:id="rId2"/>
    <sheet name="geracao_kwh" sheetId="11" r:id="rId3"/>
    <sheet name="co2e_g_kwh" sheetId="4" r:id="rId4"/>
    <sheet name="co2e_mt" sheetId="12" r:id="rId5"/>
    <sheet name="lcae" sheetId="2" r:id="rId6"/>
    <sheet name="2025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2" l="1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3" i="12"/>
  <c r="S154" i="12"/>
  <c r="S155" i="12"/>
  <c r="S156" i="12"/>
  <c r="S157" i="12"/>
  <c r="S158" i="12"/>
  <c r="S159" i="12"/>
  <c r="S160" i="12"/>
  <c r="S161" i="12"/>
  <c r="S162" i="12"/>
  <c r="S163" i="12"/>
  <c r="S164" i="12"/>
  <c r="S165" i="12"/>
  <c r="S166" i="12"/>
  <c r="S167" i="12"/>
  <c r="S168" i="12"/>
  <c r="S169" i="12"/>
  <c r="S170" i="12"/>
  <c r="S171" i="12"/>
  <c r="S172" i="12"/>
  <c r="S173" i="12"/>
  <c r="S174" i="12"/>
  <c r="S175" i="12"/>
  <c r="S176" i="12"/>
  <c r="S177" i="12"/>
  <c r="S178" i="12"/>
  <c r="S179" i="12"/>
  <c r="S180" i="12"/>
  <c r="S181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195" i="12"/>
  <c r="S196" i="12"/>
  <c r="S197" i="12"/>
  <c r="S198" i="12"/>
  <c r="S199" i="12"/>
  <c r="S200" i="12"/>
  <c r="S201" i="12"/>
  <c r="S202" i="12"/>
  <c r="S203" i="12"/>
  <c r="S204" i="12"/>
  <c r="S205" i="12"/>
  <c r="S206" i="12"/>
  <c r="S207" i="12"/>
  <c r="S208" i="12"/>
  <c r="S209" i="12"/>
  <c r="S210" i="12"/>
  <c r="S211" i="12"/>
  <c r="S212" i="12"/>
  <c r="S213" i="12"/>
  <c r="S214" i="12"/>
  <c r="S215" i="12"/>
  <c r="S216" i="12"/>
  <c r="S217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236" i="12"/>
  <c r="S237" i="12"/>
  <c r="S238" i="12"/>
  <c r="S239" i="12"/>
  <c r="S240" i="12"/>
  <c r="S241" i="12"/>
  <c r="S242" i="12"/>
  <c r="S243" i="12"/>
  <c r="S244" i="12"/>
  <c r="S245" i="12"/>
  <c r="S246" i="12"/>
  <c r="S247" i="12"/>
  <c r="S248" i="12"/>
  <c r="S249" i="12"/>
  <c r="S250" i="12"/>
  <c r="S251" i="12"/>
  <c r="S252" i="12"/>
  <c r="S253" i="12"/>
  <c r="S254" i="12"/>
  <c r="S255" i="12"/>
  <c r="S256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8" i="12"/>
  <c r="S299" i="12"/>
  <c r="S300" i="12"/>
  <c r="S301" i="12"/>
  <c r="S302" i="12"/>
  <c r="S303" i="12"/>
  <c r="S304" i="12"/>
  <c r="S305" i="12"/>
  <c r="S306" i="12"/>
  <c r="S307" i="12"/>
  <c r="S308" i="12"/>
  <c r="S309" i="12"/>
  <c r="S310" i="12"/>
  <c r="S311" i="12"/>
  <c r="S2" i="12"/>
  <c r="B2" i="13"/>
  <c r="P1" i="13"/>
  <c r="P2" i="13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0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30" i="13"/>
  <c r="P231" i="13"/>
  <c r="P232" i="13"/>
  <c r="P233" i="13"/>
  <c r="P234" i="13"/>
  <c r="P235" i="13"/>
  <c r="P236" i="13"/>
  <c r="P237" i="13"/>
  <c r="P238" i="13"/>
  <c r="P239" i="13"/>
  <c r="P240" i="13"/>
  <c r="P241" i="13"/>
  <c r="P242" i="13"/>
  <c r="P243" i="13"/>
  <c r="P244" i="13"/>
  <c r="P245" i="13"/>
  <c r="P246" i="13"/>
  <c r="P247" i="13"/>
  <c r="P248" i="13"/>
  <c r="P249" i="13"/>
  <c r="P250" i="13"/>
  <c r="P251" i="13"/>
  <c r="P252" i="13"/>
  <c r="P253" i="13"/>
  <c r="P254" i="13"/>
  <c r="P255" i="13"/>
  <c r="P256" i="13"/>
  <c r="P257" i="13"/>
  <c r="P258" i="13"/>
  <c r="P259" i="13"/>
  <c r="P260" i="13"/>
  <c r="P261" i="13"/>
  <c r="P262" i="13"/>
  <c r="P263" i="13"/>
  <c r="P264" i="13"/>
  <c r="P265" i="13"/>
  <c r="P266" i="13"/>
  <c r="P267" i="13"/>
  <c r="P268" i="13"/>
  <c r="P269" i="13"/>
  <c r="P270" i="13"/>
  <c r="P271" i="13"/>
  <c r="P272" i="13"/>
  <c r="P273" i="13"/>
  <c r="P274" i="13"/>
  <c r="P275" i="13"/>
  <c r="P276" i="13"/>
  <c r="P277" i="13"/>
  <c r="P278" i="13"/>
  <c r="P279" i="13"/>
  <c r="P280" i="13"/>
  <c r="P281" i="13"/>
  <c r="P282" i="13"/>
  <c r="P283" i="13"/>
  <c r="P284" i="13"/>
  <c r="P285" i="13"/>
  <c r="P286" i="13"/>
  <c r="P287" i="13"/>
  <c r="P288" i="13"/>
  <c r="P289" i="13"/>
  <c r="P290" i="13"/>
  <c r="P291" i="13"/>
  <c r="P292" i="13"/>
  <c r="P293" i="13"/>
  <c r="P294" i="13"/>
  <c r="P295" i="13"/>
  <c r="P296" i="13"/>
  <c r="P297" i="13"/>
  <c r="P298" i="13"/>
  <c r="P299" i="13"/>
  <c r="P300" i="13"/>
  <c r="P301" i="13"/>
  <c r="P302" i="13"/>
  <c r="P303" i="13"/>
  <c r="P304" i="13"/>
  <c r="P305" i="13"/>
  <c r="P306" i="13"/>
  <c r="P307" i="13"/>
  <c r="P308" i="13"/>
  <c r="P309" i="13"/>
  <c r="P310" i="13"/>
  <c r="P311" i="13"/>
  <c r="N1" i="13"/>
  <c r="O1" i="13"/>
  <c r="N2" i="13"/>
  <c r="O2" i="13"/>
  <c r="N3" i="13"/>
  <c r="O3" i="13"/>
  <c r="N4" i="13"/>
  <c r="O4" i="13"/>
  <c r="N5" i="13"/>
  <c r="O5" i="13"/>
  <c r="N6" i="13"/>
  <c r="O6" i="13"/>
  <c r="N7" i="13"/>
  <c r="O7" i="13"/>
  <c r="N8" i="13"/>
  <c r="O8" i="13"/>
  <c r="N9" i="13"/>
  <c r="O9" i="13"/>
  <c r="N10" i="13"/>
  <c r="O10" i="13"/>
  <c r="N11" i="13"/>
  <c r="O11" i="13"/>
  <c r="N12" i="13"/>
  <c r="O12" i="13"/>
  <c r="N13" i="13"/>
  <c r="O13" i="13"/>
  <c r="N14" i="13"/>
  <c r="O14" i="13"/>
  <c r="N15" i="13"/>
  <c r="O15" i="13"/>
  <c r="N16" i="13"/>
  <c r="O16" i="13"/>
  <c r="N17" i="13"/>
  <c r="O17" i="13"/>
  <c r="N18" i="13"/>
  <c r="O18" i="13"/>
  <c r="N19" i="13"/>
  <c r="O19" i="13"/>
  <c r="N20" i="13"/>
  <c r="O20" i="13"/>
  <c r="N21" i="13"/>
  <c r="O21" i="13"/>
  <c r="N22" i="13"/>
  <c r="O22" i="13"/>
  <c r="N23" i="13"/>
  <c r="O23" i="13"/>
  <c r="N24" i="13"/>
  <c r="O24" i="13"/>
  <c r="N25" i="13"/>
  <c r="O25" i="13"/>
  <c r="N26" i="13"/>
  <c r="O26" i="13"/>
  <c r="N27" i="13"/>
  <c r="O27" i="13"/>
  <c r="N28" i="13"/>
  <c r="O28" i="13"/>
  <c r="N29" i="13"/>
  <c r="O29" i="13"/>
  <c r="N30" i="13"/>
  <c r="O30" i="13"/>
  <c r="N31" i="13"/>
  <c r="O31" i="13"/>
  <c r="N32" i="13"/>
  <c r="O32" i="13"/>
  <c r="N33" i="13"/>
  <c r="O33" i="13"/>
  <c r="N34" i="13"/>
  <c r="O34" i="13"/>
  <c r="N35" i="13"/>
  <c r="O35" i="13"/>
  <c r="N36" i="13"/>
  <c r="O36" i="13"/>
  <c r="N37" i="13"/>
  <c r="O37" i="13"/>
  <c r="N38" i="13"/>
  <c r="O38" i="13"/>
  <c r="N39" i="13"/>
  <c r="O39" i="13"/>
  <c r="N40" i="13"/>
  <c r="O40" i="13"/>
  <c r="N41" i="13"/>
  <c r="O41" i="13"/>
  <c r="N42" i="13"/>
  <c r="O42" i="13"/>
  <c r="N43" i="13"/>
  <c r="O43" i="13"/>
  <c r="N44" i="13"/>
  <c r="O44" i="13"/>
  <c r="N45" i="13"/>
  <c r="O45" i="13"/>
  <c r="N46" i="13"/>
  <c r="O46" i="13"/>
  <c r="N47" i="13"/>
  <c r="O47" i="13"/>
  <c r="N48" i="13"/>
  <c r="O48" i="13"/>
  <c r="N49" i="13"/>
  <c r="O49" i="13"/>
  <c r="N50" i="13"/>
  <c r="O50" i="13"/>
  <c r="N51" i="13"/>
  <c r="O51" i="13"/>
  <c r="N52" i="13"/>
  <c r="O52" i="13"/>
  <c r="N53" i="13"/>
  <c r="O53" i="13"/>
  <c r="N54" i="13"/>
  <c r="O54" i="13"/>
  <c r="N55" i="13"/>
  <c r="O55" i="13"/>
  <c r="N56" i="13"/>
  <c r="O56" i="13"/>
  <c r="N57" i="13"/>
  <c r="O57" i="13"/>
  <c r="N58" i="13"/>
  <c r="O58" i="13"/>
  <c r="N59" i="13"/>
  <c r="O59" i="13"/>
  <c r="N60" i="13"/>
  <c r="O60" i="13"/>
  <c r="N61" i="13"/>
  <c r="O61" i="13"/>
  <c r="N62" i="13"/>
  <c r="O62" i="13"/>
  <c r="N63" i="13"/>
  <c r="O63" i="13"/>
  <c r="N64" i="13"/>
  <c r="O64" i="13"/>
  <c r="N65" i="13"/>
  <c r="O65" i="13"/>
  <c r="N66" i="13"/>
  <c r="O66" i="13"/>
  <c r="N67" i="13"/>
  <c r="O67" i="13"/>
  <c r="N68" i="13"/>
  <c r="O68" i="13"/>
  <c r="N69" i="13"/>
  <c r="O69" i="13"/>
  <c r="N70" i="13"/>
  <c r="O70" i="13"/>
  <c r="N71" i="13"/>
  <c r="O71" i="13"/>
  <c r="N72" i="13"/>
  <c r="O72" i="13"/>
  <c r="N73" i="13"/>
  <c r="O73" i="13"/>
  <c r="N74" i="13"/>
  <c r="O74" i="13"/>
  <c r="N75" i="13"/>
  <c r="O75" i="13"/>
  <c r="N76" i="13"/>
  <c r="O76" i="13"/>
  <c r="N77" i="13"/>
  <c r="O77" i="13"/>
  <c r="N78" i="13"/>
  <c r="O78" i="13"/>
  <c r="N79" i="13"/>
  <c r="O79" i="13"/>
  <c r="N80" i="13"/>
  <c r="O80" i="13"/>
  <c r="N81" i="13"/>
  <c r="O81" i="13"/>
  <c r="N82" i="13"/>
  <c r="O82" i="13"/>
  <c r="N83" i="13"/>
  <c r="O83" i="13"/>
  <c r="N84" i="13"/>
  <c r="O84" i="13"/>
  <c r="N85" i="13"/>
  <c r="O85" i="13"/>
  <c r="N86" i="13"/>
  <c r="O86" i="13"/>
  <c r="N87" i="13"/>
  <c r="O87" i="13"/>
  <c r="N88" i="13"/>
  <c r="O88" i="13"/>
  <c r="N89" i="13"/>
  <c r="O89" i="13"/>
  <c r="N90" i="13"/>
  <c r="O90" i="13"/>
  <c r="N91" i="13"/>
  <c r="O91" i="13"/>
  <c r="N92" i="13"/>
  <c r="O92" i="13"/>
  <c r="N93" i="13"/>
  <c r="O93" i="13"/>
  <c r="N94" i="13"/>
  <c r="O94" i="13"/>
  <c r="N95" i="13"/>
  <c r="O95" i="13"/>
  <c r="N96" i="13"/>
  <c r="O96" i="13"/>
  <c r="N97" i="13"/>
  <c r="O97" i="13"/>
  <c r="N98" i="13"/>
  <c r="O98" i="13"/>
  <c r="N99" i="13"/>
  <c r="O99" i="13"/>
  <c r="N100" i="13"/>
  <c r="O100" i="13"/>
  <c r="N101" i="13"/>
  <c r="O101" i="13"/>
  <c r="N102" i="13"/>
  <c r="O102" i="13"/>
  <c r="N103" i="13"/>
  <c r="O103" i="13"/>
  <c r="N104" i="13"/>
  <c r="O104" i="13"/>
  <c r="N105" i="13"/>
  <c r="O105" i="13"/>
  <c r="N106" i="13"/>
  <c r="O106" i="13"/>
  <c r="N107" i="13"/>
  <c r="O107" i="13"/>
  <c r="N108" i="13"/>
  <c r="O108" i="13"/>
  <c r="N109" i="13"/>
  <c r="O109" i="13"/>
  <c r="N110" i="13"/>
  <c r="O110" i="13"/>
  <c r="N111" i="13"/>
  <c r="O111" i="13"/>
  <c r="N112" i="13"/>
  <c r="O112" i="13"/>
  <c r="N113" i="13"/>
  <c r="O113" i="13"/>
  <c r="N114" i="13"/>
  <c r="O114" i="13"/>
  <c r="N115" i="13"/>
  <c r="O115" i="13"/>
  <c r="N116" i="13"/>
  <c r="O116" i="13"/>
  <c r="N117" i="13"/>
  <c r="O117" i="13"/>
  <c r="N118" i="13"/>
  <c r="O118" i="13"/>
  <c r="N119" i="13"/>
  <c r="O119" i="13"/>
  <c r="N120" i="13"/>
  <c r="O120" i="13"/>
  <c r="N121" i="13"/>
  <c r="O121" i="13"/>
  <c r="N122" i="13"/>
  <c r="O122" i="13"/>
  <c r="N123" i="13"/>
  <c r="O123" i="13"/>
  <c r="N124" i="13"/>
  <c r="O124" i="13"/>
  <c r="N125" i="13"/>
  <c r="O125" i="13"/>
  <c r="N126" i="13"/>
  <c r="O126" i="13"/>
  <c r="N127" i="13"/>
  <c r="O127" i="13"/>
  <c r="N128" i="13"/>
  <c r="O128" i="13"/>
  <c r="N129" i="13"/>
  <c r="O129" i="13"/>
  <c r="N130" i="13"/>
  <c r="O130" i="13"/>
  <c r="N131" i="13"/>
  <c r="O131" i="13"/>
  <c r="N132" i="13"/>
  <c r="O132" i="13"/>
  <c r="N133" i="13"/>
  <c r="O133" i="13"/>
  <c r="N134" i="13"/>
  <c r="O134" i="13"/>
  <c r="N135" i="13"/>
  <c r="O135" i="13"/>
  <c r="N136" i="13"/>
  <c r="O136" i="13"/>
  <c r="N137" i="13"/>
  <c r="O137" i="13"/>
  <c r="N138" i="13"/>
  <c r="O138" i="13"/>
  <c r="N139" i="13"/>
  <c r="O139" i="13"/>
  <c r="N140" i="13"/>
  <c r="O140" i="13"/>
  <c r="N141" i="13"/>
  <c r="O141" i="13"/>
  <c r="N142" i="13"/>
  <c r="O142" i="13"/>
  <c r="N143" i="13"/>
  <c r="O143" i="13"/>
  <c r="N144" i="13"/>
  <c r="O144" i="13"/>
  <c r="N145" i="13"/>
  <c r="O145" i="13"/>
  <c r="N146" i="13"/>
  <c r="O146" i="13"/>
  <c r="N147" i="13"/>
  <c r="O147" i="13"/>
  <c r="N148" i="13"/>
  <c r="O148" i="13"/>
  <c r="N149" i="13"/>
  <c r="O149" i="13"/>
  <c r="N150" i="13"/>
  <c r="O150" i="13"/>
  <c r="N151" i="13"/>
  <c r="O151" i="13"/>
  <c r="N152" i="13"/>
  <c r="O152" i="13"/>
  <c r="N153" i="13"/>
  <c r="O153" i="13"/>
  <c r="N154" i="13"/>
  <c r="O154" i="13"/>
  <c r="N155" i="13"/>
  <c r="O155" i="13"/>
  <c r="N156" i="13"/>
  <c r="O156" i="13"/>
  <c r="N157" i="13"/>
  <c r="O157" i="13"/>
  <c r="N158" i="13"/>
  <c r="O158" i="13"/>
  <c r="N159" i="13"/>
  <c r="O159" i="13"/>
  <c r="N160" i="13"/>
  <c r="O160" i="13"/>
  <c r="N161" i="13"/>
  <c r="O161" i="13"/>
  <c r="N162" i="13"/>
  <c r="O162" i="13"/>
  <c r="N163" i="13"/>
  <c r="O163" i="13"/>
  <c r="N164" i="13"/>
  <c r="O164" i="13"/>
  <c r="N165" i="13"/>
  <c r="O165" i="13"/>
  <c r="N166" i="13"/>
  <c r="O166" i="13"/>
  <c r="N167" i="13"/>
  <c r="O167" i="13"/>
  <c r="N168" i="13"/>
  <c r="O168" i="13"/>
  <c r="N169" i="13"/>
  <c r="O169" i="13"/>
  <c r="N170" i="13"/>
  <c r="O170" i="13"/>
  <c r="N171" i="13"/>
  <c r="O171" i="13"/>
  <c r="N172" i="13"/>
  <c r="O172" i="13"/>
  <c r="N173" i="13"/>
  <c r="O173" i="13"/>
  <c r="N174" i="13"/>
  <c r="O174" i="13"/>
  <c r="N175" i="13"/>
  <c r="O175" i="13"/>
  <c r="N176" i="13"/>
  <c r="O176" i="13"/>
  <c r="N177" i="13"/>
  <c r="O177" i="13"/>
  <c r="N178" i="13"/>
  <c r="O178" i="13"/>
  <c r="N179" i="13"/>
  <c r="O179" i="13"/>
  <c r="N180" i="13"/>
  <c r="O180" i="13"/>
  <c r="N181" i="13"/>
  <c r="O181" i="13"/>
  <c r="N182" i="13"/>
  <c r="O182" i="13"/>
  <c r="N183" i="13"/>
  <c r="O183" i="13"/>
  <c r="N184" i="13"/>
  <c r="O184" i="13"/>
  <c r="N185" i="13"/>
  <c r="O185" i="13"/>
  <c r="N186" i="13"/>
  <c r="O186" i="13"/>
  <c r="N187" i="13"/>
  <c r="O187" i="13"/>
  <c r="N188" i="13"/>
  <c r="O188" i="13"/>
  <c r="N189" i="13"/>
  <c r="O189" i="13"/>
  <c r="N190" i="13"/>
  <c r="O190" i="13"/>
  <c r="N191" i="13"/>
  <c r="O191" i="13"/>
  <c r="N192" i="13"/>
  <c r="O192" i="13"/>
  <c r="N193" i="13"/>
  <c r="O193" i="13"/>
  <c r="N194" i="13"/>
  <c r="O194" i="13"/>
  <c r="N195" i="13"/>
  <c r="O195" i="13"/>
  <c r="N196" i="13"/>
  <c r="O196" i="13"/>
  <c r="N197" i="13"/>
  <c r="O197" i="13"/>
  <c r="N198" i="13"/>
  <c r="O198" i="13"/>
  <c r="N199" i="13"/>
  <c r="O199" i="13"/>
  <c r="N200" i="13"/>
  <c r="O200" i="13"/>
  <c r="N201" i="13"/>
  <c r="O201" i="13"/>
  <c r="N202" i="13"/>
  <c r="O202" i="13"/>
  <c r="N203" i="13"/>
  <c r="O203" i="13"/>
  <c r="N204" i="13"/>
  <c r="O204" i="13"/>
  <c r="N205" i="13"/>
  <c r="O205" i="13"/>
  <c r="N206" i="13"/>
  <c r="O206" i="13"/>
  <c r="N207" i="13"/>
  <c r="O207" i="13"/>
  <c r="N208" i="13"/>
  <c r="O208" i="13"/>
  <c r="N209" i="13"/>
  <c r="O209" i="13"/>
  <c r="N210" i="13"/>
  <c r="O210" i="13"/>
  <c r="N211" i="13"/>
  <c r="O211" i="13"/>
  <c r="N212" i="13"/>
  <c r="O212" i="13"/>
  <c r="N213" i="13"/>
  <c r="O213" i="13"/>
  <c r="N214" i="13"/>
  <c r="O214" i="13"/>
  <c r="N215" i="13"/>
  <c r="O215" i="13"/>
  <c r="N216" i="13"/>
  <c r="O216" i="13"/>
  <c r="N217" i="13"/>
  <c r="O217" i="13"/>
  <c r="N218" i="13"/>
  <c r="O218" i="13"/>
  <c r="N219" i="13"/>
  <c r="O219" i="13"/>
  <c r="N220" i="13"/>
  <c r="O220" i="13"/>
  <c r="N221" i="13"/>
  <c r="O221" i="13"/>
  <c r="N222" i="13"/>
  <c r="O222" i="13"/>
  <c r="N223" i="13"/>
  <c r="O223" i="13"/>
  <c r="N224" i="13"/>
  <c r="O224" i="13"/>
  <c r="N225" i="13"/>
  <c r="O225" i="13"/>
  <c r="N226" i="13"/>
  <c r="O226" i="13"/>
  <c r="N227" i="13"/>
  <c r="O227" i="13"/>
  <c r="N228" i="13"/>
  <c r="O228" i="13"/>
  <c r="N229" i="13"/>
  <c r="O229" i="13"/>
  <c r="N230" i="13"/>
  <c r="O230" i="13"/>
  <c r="N231" i="13"/>
  <c r="O231" i="13"/>
  <c r="N232" i="13"/>
  <c r="O232" i="13"/>
  <c r="N233" i="13"/>
  <c r="O233" i="13"/>
  <c r="N234" i="13"/>
  <c r="O234" i="13"/>
  <c r="N235" i="13"/>
  <c r="O235" i="13"/>
  <c r="N236" i="13"/>
  <c r="O236" i="13"/>
  <c r="N237" i="13"/>
  <c r="O237" i="13"/>
  <c r="N238" i="13"/>
  <c r="O238" i="13"/>
  <c r="N239" i="13"/>
  <c r="O239" i="13"/>
  <c r="N240" i="13"/>
  <c r="O240" i="13"/>
  <c r="N241" i="13"/>
  <c r="O241" i="13"/>
  <c r="N242" i="13"/>
  <c r="O242" i="13"/>
  <c r="N243" i="13"/>
  <c r="O243" i="13"/>
  <c r="N244" i="13"/>
  <c r="O244" i="13"/>
  <c r="N245" i="13"/>
  <c r="O245" i="13"/>
  <c r="N246" i="13"/>
  <c r="O246" i="13"/>
  <c r="N247" i="13"/>
  <c r="O247" i="13"/>
  <c r="N248" i="13"/>
  <c r="O248" i="13"/>
  <c r="N249" i="13"/>
  <c r="O249" i="13"/>
  <c r="N250" i="13"/>
  <c r="O250" i="13"/>
  <c r="N251" i="13"/>
  <c r="O251" i="13"/>
  <c r="N252" i="13"/>
  <c r="O252" i="13"/>
  <c r="N253" i="13"/>
  <c r="O253" i="13"/>
  <c r="N254" i="13"/>
  <c r="O254" i="13"/>
  <c r="N255" i="13"/>
  <c r="O255" i="13"/>
  <c r="N256" i="13"/>
  <c r="O256" i="13"/>
  <c r="N257" i="13"/>
  <c r="O257" i="13"/>
  <c r="N258" i="13"/>
  <c r="O258" i="13"/>
  <c r="N259" i="13"/>
  <c r="O259" i="13"/>
  <c r="N260" i="13"/>
  <c r="O260" i="13"/>
  <c r="N261" i="13"/>
  <c r="O261" i="13"/>
  <c r="N262" i="13"/>
  <c r="O262" i="13"/>
  <c r="N263" i="13"/>
  <c r="O263" i="13"/>
  <c r="N264" i="13"/>
  <c r="O264" i="13"/>
  <c r="N265" i="13"/>
  <c r="O265" i="13"/>
  <c r="N266" i="13"/>
  <c r="O266" i="13"/>
  <c r="N267" i="13"/>
  <c r="O267" i="13"/>
  <c r="N268" i="13"/>
  <c r="O268" i="13"/>
  <c r="N269" i="13"/>
  <c r="O269" i="13"/>
  <c r="N270" i="13"/>
  <c r="O270" i="13"/>
  <c r="N271" i="13"/>
  <c r="O271" i="13"/>
  <c r="N272" i="13"/>
  <c r="O272" i="13"/>
  <c r="N273" i="13"/>
  <c r="O273" i="13"/>
  <c r="N274" i="13"/>
  <c r="O274" i="13"/>
  <c r="N275" i="13"/>
  <c r="O275" i="13"/>
  <c r="N276" i="13"/>
  <c r="O276" i="13"/>
  <c r="N277" i="13"/>
  <c r="O277" i="13"/>
  <c r="N278" i="13"/>
  <c r="O278" i="13"/>
  <c r="N279" i="13"/>
  <c r="O279" i="13"/>
  <c r="N280" i="13"/>
  <c r="O280" i="13"/>
  <c r="N281" i="13"/>
  <c r="O281" i="13"/>
  <c r="N282" i="13"/>
  <c r="O282" i="13"/>
  <c r="N283" i="13"/>
  <c r="O283" i="13"/>
  <c r="N284" i="13"/>
  <c r="O284" i="13"/>
  <c r="N285" i="13"/>
  <c r="O285" i="13"/>
  <c r="N286" i="13"/>
  <c r="O286" i="13"/>
  <c r="N287" i="13"/>
  <c r="O287" i="13"/>
  <c r="N288" i="13"/>
  <c r="O288" i="13"/>
  <c r="N289" i="13"/>
  <c r="O289" i="13"/>
  <c r="N290" i="13"/>
  <c r="O290" i="13"/>
  <c r="N291" i="13"/>
  <c r="O291" i="13"/>
  <c r="N292" i="13"/>
  <c r="O292" i="13"/>
  <c r="N293" i="13"/>
  <c r="O293" i="13"/>
  <c r="N294" i="13"/>
  <c r="O294" i="13"/>
  <c r="N295" i="13"/>
  <c r="O295" i="13"/>
  <c r="N296" i="13"/>
  <c r="O296" i="13"/>
  <c r="N297" i="13"/>
  <c r="O297" i="13"/>
  <c r="N298" i="13"/>
  <c r="O298" i="13"/>
  <c r="N299" i="13"/>
  <c r="O299" i="13"/>
  <c r="N300" i="13"/>
  <c r="O300" i="13"/>
  <c r="N301" i="13"/>
  <c r="O301" i="13"/>
  <c r="N302" i="13"/>
  <c r="O302" i="13"/>
  <c r="N303" i="13"/>
  <c r="O303" i="13"/>
  <c r="N304" i="13"/>
  <c r="O304" i="13"/>
  <c r="N305" i="13"/>
  <c r="O305" i="13"/>
  <c r="N306" i="13"/>
  <c r="O306" i="13"/>
  <c r="N307" i="13"/>
  <c r="O307" i="13"/>
  <c r="N308" i="13"/>
  <c r="O308" i="13"/>
  <c r="N309" i="13"/>
  <c r="O309" i="13"/>
  <c r="N310" i="13"/>
  <c r="O310" i="13"/>
  <c r="N311" i="13"/>
  <c r="O311" i="13"/>
  <c r="M1" i="13"/>
  <c r="M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5" i="12"/>
  <c r="P306" i="12"/>
  <c r="P307" i="12"/>
  <c r="P308" i="12"/>
  <c r="P309" i="12"/>
  <c r="P310" i="12"/>
  <c r="P311" i="12"/>
  <c r="P2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2" i="12"/>
  <c r="C2" i="13"/>
  <c r="D2" i="13"/>
  <c r="E2" i="13"/>
  <c r="F2" i="13"/>
  <c r="G2" i="13"/>
  <c r="H2" i="13"/>
  <c r="I2" i="13"/>
  <c r="J2" i="13"/>
  <c r="K2" i="13"/>
  <c r="L2" i="13"/>
  <c r="C3" i="13"/>
  <c r="D3" i="13"/>
  <c r="E3" i="13"/>
  <c r="F3" i="13"/>
  <c r="G3" i="13"/>
  <c r="H3" i="13"/>
  <c r="I3" i="13"/>
  <c r="J3" i="13"/>
  <c r="K3" i="13"/>
  <c r="L3" i="13"/>
  <c r="C4" i="13"/>
  <c r="D4" i="13"/>
  <c r="E4" i="13"/>
  <c r="F4" i="13"/>
  <c r="G4" i="13"/>
  <c r="H4" i="13"/>
  <c r="I4" i="13"/>
  <c r="J4" i="13"/>
  <c r="K4" i="13"/>
  <c r="L4" i="13"/>
  <c r="C5" i="13"/>
  <c r="D5" i="13"/>
  <c r="E5" i="13"/>
  <c r="F5" i="13"/>
  <c r="G5" i="13"/>
  <c r="H5" i="13"/>
  <c r="I5" i="13"/>
  <c r="J5" i="13"/>
  <c r="K5" i="13"/>
  <c r="L5" i="13"/>
  <c r="C6" i="13"/>
  <c r="D6" i="13"/>
  <c r="E6" i="13"/>
  <c r="F6" i="13"/>
  <c r="G6" i="13"/>
  <c r="H6" i="13"/>
  <c r="I6" i="13"/>
  <c r="J6" i="13"/>
  <c r="K6" i="13"/>
  <c r="L6" i="13"/>
  <c r="C7" i="13"/>
  <c r="D7" i="13"/>
  <c r="E7" i="13"/>
  <c r="F7" i="13"/>
  <c r="G7" i="13"/>
  <c r="H7" i="13"/>
  <c r="I7" i="13"/>
  <c r="J7" i="13"/>
  <c r="K7" i="13"/>
  <c r="L7" i="13"/>
  <c r="C8" i="13"/>
  <c r="D8" i="13"/>
  <c r="E8" i="13"/>
  <c r="F8" i="13"/>
  <c r="G8" i="13"/>
  <c r="H8" i="13"/>
  <c r="I8" i="13"/>
  <c r="J8" i="13"/>
  <c r="K8" i="13"/>
  <c r="L8" i="13"/>
  <c r="C9" i="13"/>
  <c r="D9" i="13"/>
  <c r="E9" i="13"/>
  <c r="F9" i="13"/>
  <c r="G9" i="13"/>
  <c r="H9" i="13"/>
  <c r="I9" i="13"/>
  <c r="J9" i="13"/>
  <c r="K9" i="13"/>
  <c r="L9" i="13"/>
  <c r="C10" i="13"/>
  <c r="D10" i="13"/>
  <c r="E10" i="13"/>
  <c r="F10" i="13"/>
  <c r="G10" i="13"/>
  <c r="H10" i="13"/>
  <c r="I10" i="13"/>
  <c r="J10" i="13"/>
  <c r="K10" i="13"/>
  <c r="L10" i="13"/>
  <c r="C11" i="13"/>
  <c r="D11" i="13"/>
  <c r="E11" i="13"/>
  <c r="F11" i="13"/>
  <c r="G11" i="13"/>
  <c r="H11" i="13"/>
  <c r="I11" i="13"/>
  <c r="J11" i="13"/>
  <c r="K11" i="13"/>
  <c r="L11" i="13"/>
  <c r="C12" i="13"/>
  <c r="D12" i="13"/>
  <c r="E12" i="13"/>
  <c r="F12" i="13"/>
  <c r="G12" i="13"/>
  <c r="H12" i="13"/>
  <c r="I12" i="13"/>
  <c r="J12" i="13"/>
  <c r="K12" i="13"/>
  <c r="L12" i="13"/>
  <c r="C13" i="13"/>
  <c r="D13" i="13"/>
  <c r="E13" i="13"/>
  <c r="F13" i="13"/>
  <c r="G13" i="13"/>
  <c r="H13" i="13"/>
  <c r="I13" i="13"/>
  <c r="J13" i="13"/>
  <c r="K13" i="13"/>
  <c r="L13" i="13"/>
  <c r="C14" i="13"/>
  <c r="D14" i="13"/>
  <c r="E14" i="13"/>
  <c r="F14" i="13"/>
  <c r="G14" i="13"/>
  <c r="H14" i="13"/>
  <c r="I14" i="13"/>
  <c r="J14" i="13"/>
  <c r="K14" i="13"/>
  <c r="L14" i="13"/>
  <c r="C15" i="13"/>
  <c r="D15" i="13"/>
  <c r="E15" i="13"/>
  <c r="F15" i="13"/>
  <c r="G15" i="13"/>
  <c r="H15" i="13"/>
  <c r="I15" i="13"/>
  <c r="J15" i="13"/>
  <c r="K15" i="13"/>
  <c r="L15" i="13"/>
  <c r="C16" i="13"/>
  <c r="D16" i="13"/>
  <c r="E16" i="13"/>
  <c r="F16" i="13"/>
  <c r="G16" i="13"/>
  <c r="H16" i="13"/>
  <c r="I16" i="13"/>
  <c r="J16" i="13"/>
  <c r="K16" i="13"/>
  <c r="L16" i="13"/>
  <c r="C17" i="13"/>
  <c r="D17" i="13"/>
  <c r="E17" i="13"/>
  <c r="F17" i="13"/>
  <c r="G17" i="13"/>
  <c r="H17" i="13"/>
  <c r="I17" i="13"/>
  <c r="J17" i="13"/>
  <c r="K17" i="13"/>
  <c r="L17" i="13"/>
  <c r="C18" i="13"/>
  <c r="D18" i="13"/>
  <c r="E18" i="13"/>
  <c r="F18" i="13"/>
  <c r="G18" i="13"/>
  <c r="H18" i="13"/>
  <c r="I18" i="13"/>
  <c r="J18" i="13"/>
  <c r="K18" i="13"/>
  <c r="L18" i="13"/>
  <c r="C19" i="13"/>
  <c r="D19" i="13"/>
  <c r="E19" i="13"/>
  <c r="F19" i="13"/>
  <c r="G19" i="13"/>
  <c r="H19" i="13"/>
  <c r="I19" i="13"/>
  <c r="J19" i="13"/>
  <c r="K19" i="13"/>
  <c r="L19" i="13"/>
  <c r="C20" i="13"/>
  <c r="D20" i="13"/>
  <c r="E20" i="13"/>
  <c r="F20" i="13"/>
  <c r="G20" i="13"/>
  <c r="H20" i="13"/>
  <c r="I20" i="13"/>
  <c r="J20" i="13"/>
  <c r="K20" i="13"/>
  <c r="L20" i="13"/>
  <c r="C21" i="13"/>
  <c r="D21" i="13"/>
  <c r="E21" i="13"/>
  <c r="F21" i="13"/>
  <c r="G21" i="13"/>
  <c r="H21" i="13"/>
  <c r="I21" i="13"/>
  <c r="J21" i="13"/>
  <c r="K21" i="13"/>
  <c r="L21" i="13"/>
  <c r="C22" i="13"/>
  <c r="D22" i="13"/>
  <c r="E22" i="13"/>
  <c r="F22" i="13"/>
  <c r="G22" i="13"/>
  <c r="H22" i="13"/>
  <c r="I22" i="13"/>
  <c r="J22" i="13"/>
  <c r="K22" i="13"/>
  <c r="L22" i="13"/>
  <c r="C23" i="13"/>
  <c r="D23" i="13"/>
  <c r="E23" i="13"/>
  <c r="F23" i="13"/>
  <c r="G23" i="13"/>
  <c r="H23" i="13"/>
  <c r="I23" i="13"/>
  <c r="J23" i="13"/>
  <c r="K23" i="13"/>
  <c r="L23" i="13"/>
  <c r="C24" i="13"/>
  <c r="D24" i="13"/>
  <c r="E24" i="13"/>
  <c r="F24" i="13"/>
  <c r="G24" i="13"/>
  <c r="H24" i="13"/>
  <c r="I24" i="13"/>
  <c r="J24" i="13"/>
  <c r="K24" i="13"/>
  <c r="L24" i="13"/>
  <c r="C25" i="13"/>
  <c r="D25" i="13"/>
  <c r="E25" i="13"/>
  <c r="F25" i="13"/>
  <c r="G25" i="13"/>
  <c r="H25" i="13"/>
  <c r="I25" i="13"/>
  <c r="J25" i="13"/>
  <c r="K25" i="13"/>
  <c r="L25" i="13"/>
  <c r="C26" i="13"/>
  <c r="D26" i="13"/>
  <c r="E26" i="13"/>
  <c r="F26" i="13"/>
  <c r="G26" i="13"/>
  <c r="H26" i="13"/>
  <c r="I26" i="13"/>
  <c r="J26" i="13"/>
  <c r="K26" i="13"/>
  <c r="L26" i="13"/>
  <c r="C27" i="13"/>
  <c r="D27" i="13"/>
  <c r="E27" i="13"/>
  <c r="F27" i="13"/>
  <c r="G27" i="13"/>
  <c r="H27" i="13"/>
  <c r="I27" i="13"/>
  <c r="J27" i="13"/>
  <c r="K27" i="13"/>
  <c r="L27" i="13"/>
  <c r="C28" i="13"/>
  <c r="D28" i="13"/>
  <c r="E28" i="13"/>
  <c r="F28" i="13"/>
  <c r="G28" i="13"/>
  <c r="H28" i="13"/>
  <c r="I28" i="13"/>
  <c r="J28" i="13"/>
  <c r="K28" i="13"/>
  <c r="L28" i="13"/>
  <c r="C29" i="13"/>
  <c r="D29" i="13"/>
  <c r="E29" i="13"/>
  <c r="F29" i="13"/>
  <c r="G29" i="13"/>
  <c r="H29" i="13"/>
  <c r="I29" i="13"/>
  <c r="J29" i="13"/>
  <c r="K29" i="13"/>
  <c r="L29" i="13"/>
  <c r="C30" i="13"/>
  <c r="D30" i="13"/>
  <c r="E30" i="13"/>
  <c r="F30" i="13"/>
  <c r="G30" i="13"/>
  <c r="H30" i="13"/>
  <c r="I30" i="13"/>
  <c r="J30" i="13"/>
  <c r="K30" i="13"/>
  <c r="L30" i="13"/>
  <c r="C31" i="13"/>
  <c r="D31" i="13"/>
  <c r="E31" i="13"/>
  <c r="F31" i="13"/>
  <c r="G31" i="13"/>
  <c r="H31" i="13"/>
  <c r="I31" i="13"/>
  <c r="J31" i="13"/>
  <c r="K31" i="13"/>
  <c r="L31" i="13"/>
  <c r="C32" i="13"/>
  <c r="D32" i="13"/>
  <c r="E32" i="13"/>
  <c r="F32" i="13"/>
  <c r="G32" i="13"/>
  <c r="H32" i="13"/>
  <c r="I32" i="13"/>
  <c r="J32" i="13"/>
  <c r="K32" i="13"/>
  <c r="L32" i="13"/>
  <c r="C33" i="13"/>
  <c r="D33" i="13"/>
  <c r="E33" i="13"/>
  <c r="F33" i="13"/>
  <c r="G33" i="13"/>
  <c r="H33" i="13"/>
  <c r="I33" i="13"/>
  <c r="J33" i="13"/>
  <c r="K33" i="13"/>
  <c r="L33" i="13"/>
  <c r="C34" i="13"/>
  <c r="D34" i="13"/>
  <c r="E34" i="13"/>
  <c r="F34" i="13"/>
  <c r="G34" i="13"/>
  <c r="H34" i="13"/>
  <c r="I34" i="13"/>
  <c r="J34" i="13"/>
  <c r="K34" i="13"/>
  <c r="L34" i="13"/>
  <c r="C35" i="13"/>
  <c r="D35" i="13"/>
  <c r="E35" i="13"/>
  <c r="F35" i="13"/>
  <c r="G35" i="13"/>
  <c r="H35" i="13"/>
  <c r="I35" i="13"/>
  <c r="J35" i="13"/>
  <c r="K35" i="13"/>
  <c r="L35" i="13"/>
  <c r="C36" i="13"/>
  <c r="D36" i="13"/>
  <c r="E36" i="13"/>
  <c r="F36" i="13"/>
  <c r="G36" i="13"/>
  <c r="H36" i="13"/>
  <c r="I36" i="13"/>
  <c r="J36" i="13"/>
  <c r="K36" i="13"/>
  <c r="L36" i="13"/>
  <c r="C37" i="13"/>
  <c r="D37" i="13"/>
  <c r="E37" i="13"/>
  <c r="F37" i="13"/>
  <c r="G37" i="13"/>
  <c r="H37" i="13"/>
  <c r="I37" i="13"/>
  <c r="J37" i="13"/>
  <c r="K37" i="13"/>
  <c r="L37" i="13"/>
  <c r="C38" i="13"/>
  <c r="D38" i="13"/>
  <c r="E38" i="13"/>
  <c r="F38" i="13"/>
  <c r="G38" i="13"/>
  <c r="H38" i="13"/>
  <c r="I38" i="13"/>
  <c r="J38" i="13"/>
  <c r="K38" i="13"/>
  <c r="L38" i="13"/>
  <c r="C39" i="13"/>
  <c r="D39" i="13"/>
  <c r="E39" i="13"/>
  <c r="F39" i="13"/>
  <c r="G39" i="13"/>
  <c r="H39" i="13"/>
  <c r="I39" i="13"/>
  <c r="J39" i="13"/>
  <c r="K39" i="13"/>
  <c r="L39" i="13"/>
  <c r="C40" i="13"/>
  <c r="D40" i="13"/>
  <c r="E40" i="13"/>
  <c r="F40" i="13"/>
  <c r="G40" i="13"/>
  <c r="H40" i="13"/>
  <c r="I40" i="13"/>
  <c r="J40" i="13"/>
  <c r="K40" i="13"/>
  <c r="L40" i="13"/>
  <c r="C41" i="13"/>
  <c r="D41" i="13"/>
  <c r="E41" i="13"/>
  <c r="F41" i="13"/>
  <c r="G41" i="13"/>
  <c r="H41" i="13"/>
  <c r="I41" i="13"/>
  <c r="J41" i="13"/>
  <c r="K41" i="13"/>
  <c r="L41" i="13"/>
  <c r="C42" i="13"/>
  <c r="D42" i="13"/>
  <c r="E42" i="13"/>
  <c r="F42" i="13"/>
  <c r="G42" i="13"/>
  <c r="H42" i="13"/>
  <c r="I42" i="13"/>
  <c r="J42" i="13"/>
  <c r="K42" i="13"/>
  <c r="L42" i="13"/>
  <c r="C43" i="13"/>
  <c r="D43" i="13"/>
  <c r="E43" i="13"/>
  <c r="F43" i="13"/>
  <c r="G43" i="13"/>
  <c r="H43" i="13"/>
  <c r="I43" i="13"/>
  <c r="J43" i="13"/>
  <c r="K43" i="13"/>
  <c r="L43" i="13"/>
  <c r="C44" i="13"/>
  <c r="D44" i="13"/>
  <c r="E44" i="13"/>
  <c r="F44" i="13"/>
  <c r="G44" i="13"/>
  <c r="H44" i="13"/>
  <c r="I44" i="13"/>
  <c r="J44" i="13"/>
  <c r="K44" i="13"/>
  <c r="L44" i="13"/>
  <c r="C45" i="13"/>
  <c r="D45" i="13"/>
  <c r="E45" i="13"/>
  <c r="F45" i="13"/>
  <c r="G45" i="13"/>
  <c r="H45" i="13"/>
  <c r="I45" i="13"/>
  <c r="J45" i="13"/>
  <c r="K45" i="13"/>
  <c r="L45" i="13"/>
  <c r="C46" i="13"/>
  <c r="D46" i="13"/>
  <c r="E46" i="13"/>
  <c r="F46" i="13"/>
  <c r="G46" i="13"/>
  <c r="H46" i="13"/>
  <c r="I46" i="13"/>
  <c r="J46" i="13"/>
  <c r="K46" i="13"/>
  <c r="L46" i="13"/>
  <c r="C47" i="13"/>
  <c r="D47" i="13"/>
  <c r="E47" i="13"/>
  <c r="F47" i="13"/>
  <c r="G47" i="13"/>
  <c r="H47" i="13"/>
  <c r="I47" i="13"/>
  <c r="J47" i="13"/>
  <c r="K47" i="13"/>
  <c r="L47" i="13"/>
  <c r="C48" i="13"/>
  <c r="D48" i="13"/>
  <c r="E48" i="13"/>
  <c r="F48" i="13"/>
  <c r="G48" i="13"/>
  <c r="H48" i="13"/>
  <c r="I48" i="13"/>
  <c r="J48" i="13"/>
  <c r="K48" i="13"/>
  <c r="L48" i="13"/>
  <c r="C49" i="13"/>
  <c r="D49" i="13"/>
  <c r="E49" i="13"/>
  <c r="F49" i="13"/>
  <c r="G49" i="13"/>
  <c r="H49" i="13"/>
  <c r="I49" i="13"/>
  <c r="J49" i="13"/>
  <c r="K49" i="13"/>
  <c r="L49" i="13"/>
  <c r="C50" i="13"/>
  <c r="D50" i="13"/>
  <c r="E50" i="13"/>
  <c r="F50" i="13"/>
  <c r="G50" i="13"/>
  <c r="H50" i="13"/>
  <c r="I50" i="13"/>
  <c r="J50" i="13"/>
  <c r="K50" i="13"/>
  <c r="L50" i="13"/>
  <c r="C51" i="13"/>
  <c r="D51" i="13"/>
  <c r="E51" i="13"/>
  <c r="F51" i="13"/>
  <c r="G51" i="13"/>
  <c r="H51" i="13"/>
  <c r="I51" i="13"/>
  <c r="J51" i="13"/>
  <c r="K51" i="13"/>
  <c r="L51" i="13"/>
  <c r="C52" i="13"/>
  <c r="D52" i="13"/>
  <c r="E52" i="13"/>
  <c r="F52" i="13"/>
  <c r="G52" i="13"/>
  <c r="H52" i="13"/>
  <c r="I52" i="13"/>
  <c r="J52" i="13"/>
  <c r="K52" i="13"/>
  <c r="L52" i="13"/>
  <c r="C53" i="13"/>
  <c r="D53" i="13"/>
  <c r="E53" i="13"/>
  <c r="F53" i="13"/>
  <c r="G53" i="13"/>
  <c r="H53" i="13"/>
  <c r="I53" i="13"/>
  <c r="J53" i="13"/>
  <c r="K53" i="13"/>
  <c r="L53" i="13"/>
  <c r="C54" i="13"/>
  <c r="D54" i="13"/>
  <c r="E54" i="13"/>
  <c r="F54" i="13"/>
  <c r="G54" i="13"/>
  <c r="H54" i="13"/>
  <c r="I54" i="13"/>
  <c r="J54" i="13"/>
  <c r="K54" i="13"/>
  <c r="L54" i="13"/>
  <c r="C55" i="13"/>
  <c r="D55" i="13"/>
  <c r="E55" i="13"/>
  <c r="F55" i="13"/>
  <c r="G55" i="13"/>
  <c r="H55" i="13"/>
  <c r="I55" i="13"/>
  <c r="J55" i="13"/>
  <c r="K55" i="13"/>
  <c r="L55" i="13"/>
  <c r="C56" i="13"/>
  <c r="D56" i="13"/>
  <c r="E56" i="13"/>
  <c r="F56" i="13"/>
  <c r="G56" i="13"/>
  <c r="H56" i="13"/>
  <c r="I56" i="13"/>
  <c r="J56" i="13"/>
  <c r="K56" i="13"/>
  <c r="L56" i="13"/>
  <c r="C57" i="13"/>
  <c r="D57" i="13"/>
  <c r="E57" i="13"/>
  <c r="F57" i="13"/>
  <c r="G57" i="13"/>
  <c r="H57" i="13"/>
  <c r="I57" i="13"/>
  <c r="J57" i="13"/>
  <c r="K57" i="13"/>
  <c r="L57" i="13"/>
  <c r="C58" i="13"/>
  <c r="D58" i="13"/>
  <c r="E58" i="13"/>
  <c r="F58" i="13"/>
  <c r="G58" i="13"/>
  <c r="H58" i="13"/>
  <c r="I58" i="13"/>
  <c r="J58" i="13"/>
  <c r="K58" i="13"/>
  <c r="L58" i="13"/>
  <c r="C59" i="13"/>
  <c r="D59" i="13"/>
  <c r="E59" i="13"/>
  <c r="F59" i="13"/>
  <c r="G59" i="13"/>
  <c r="H59" i="13"/>
  <c r="I59" i="13"/>
  <c r="J59" i="13"/>
  <c r="K59" i="13"/>
  <c r="L59" i="13"/>
  <c r="C60" i="13"/>
  <c r="D60" i="13"/>
  <c r="E60" i="13"/>
  <c r="F60" i="13"/>
  <c r="G60" i="13"/>
  <c r="H60" i="13"/>
  <c r="I60" i="13"/>
  <c r="J60" i="13"/>
  <c r="K60" i="13"/>
  <c r="L60" i="13"/>
  <c r="C61" i="13"/>
  <c r="D61" i="13"/>
  <c r="E61" i="13"/>
  <c r="F61" i="13"/>
  <c r="G61" i="13"/>
  <c r="H61" i="13"/>
  <c r="I61" i="13"/>
  <c r="J61" i="13"/>
  <c r="K61" i="13"/>
  <c r="L61" i="13"/>
  <c r="C62" i="13"/>
  <c r="D62" i="13"/>
  <c r="E62" i="13"/>
  <c r="F62" i="13"/>
  <c r="G62" i="13"/>
  <c r="H62" i="13"/>
  <c r="I62" i="13"/>
  <c r="J62" i="13"/>
  <c r="K62" i="13"/>
  <c r="L62" i="13"/>
  <c r="C63" i="13"/>
  <c r="D63" i="13"/>
  <c r="E63" i="13"/>
  <c r="F63" i="13"/>
  <c r="G63" i="13"/>
  <c r="H63" i="13"/>
  <c r="I63" i="13"/>
  <c r="J63" i="13"/>
  <c r="K63" i="13"/>
  <c r="L63" i="13"/>
  <c r="C64" i="13"/>
  <c r="D64" i="13"/>
  <c r="E64" i="13"/>
  <c r="F64" i="13"/>
  <c r="G64" i="13"/>
  <c r="H64" i="13"/>
  <c r="I64" i="13"/>
  <c r="J64" i="13"/>
  <c r="K64" i="13"/>
  <c r="L64" i="13"/>
  <c r="C65" i="13"/>
  <c r="D65" i="13"/>
  <c r="E65" i="13"/>
  <c r="F65" i="13"/>
  <c r="G65" i="13"/>
  <c r="H65" i="13"/>
  <c r="I65" i="13"/>
  <c r="J65" i="13"/>
  <c r="K65" i="13"/>
  <c r="L65" i="13"/>
  <c r="C66" i="13"/>
  <c r="D66" i="13"/>
  <c r="E66" i="13"/>
  <c r="F66" i="13"/>
  <c r="G66" i="13"/>
  <c r="H66" i="13"/>
  <c r="I66" i="13"/>
  <c r="J66" i="13"/>
  <c r="K66" i="13"/>
  <c r="L66" i="13"/>
  <c r="C67" i="13"/>
  <c r="D67" i="13"/>
  <c r="E67" i="13"/>
  <c r="F67" i="13"/>
  <c r="G67" i="13"/>
  <c r="H67" i="13"/>
  <c r="I67" i="13"/>
  <c r="J67" i="13"/>
  <c r="K67" i="13"/>
  <c r="L67" i="13"/>
  <c r="C68" i="13"/>
  <c r="D68" i="13"/>
  <c r="E68" i="13"/>
  <c r="F68" i="13"/>
  <c r="G68" i="13"/>
  <c r="H68" i="13"/>
  <c r="I68" i="13"/>
  <c r="J68" i="13"/>
  <c r="K68" i="13"/>
  <c r="L68" i="13"/>
  <c r="C69" i="13"/>
  <c r="D69" i="13"/>
  <c r="E69" i="13"/>
  <c r="F69" i="13"/>
  <c r="G69" i="13"/>
  <c r="H69" i="13"/>
  <c r="I69" i="13"/>
  <c r="J69" i="13"/>
  <c r="K69" i="13"/>
  <c r="L69" i="13"/>
  <c r="C70" i="13"/>
  <c r="D70" i="13"/>
  <c r="E70" i="13"/>
  <c r="F70" i="13"/>
  <c r="G70" i="13"/>
  <c r="H70" i="13"/>
  <c r="I70" i="13"/>
  <c r="J70" i="13"/>
  <c r="K70" i="13"/>
  <c r="L70" i="13"/>
  <c r="C71" i="13"/>
  <c r="D71" i="13"/>
  <c r="E71" i="13"/>
  <c r="F71" i="13"/>
  <c r="G71" i="13"/>
  <c r="H71" i="13"/>
  <c r="I71" i="13"/>
  <c r="J71" i="13"/>
  <c r="K71" i="13"/>
  <c r="L71" i="13"/>
  <c r="C72" i="13"/>
  <c r="D72" i="13"/>
  <c r="E72" i="13"/>
  <c r="F72" i="13"/>
  <c r="G72" i="13"/>
  <c r="H72" i="13"/>
  <c r="I72" i="13"/>
  <c r="J72" i="13"/>
  <c r="K72" i="13"/>
  <c r="L72" i="13"/>
  <c r="C73" i="13"/>
  <c r="D73" i="13"/>
  <c r="E73" i="13"/>
  <c r="F73" i="13"/>
  <c r="G73" i="13"/>
  <c r="H73" i="13"/>
  <c r="I73" i="13"/>
  <c r="J73" i="13"/>
  <c r="K73" i="13"/>
  <c r="L73" i="13"/>
  <c r="C74" i="13"/>
  <c r="D74" i="13"/>
  <c r="E74" i="13"/>
  <c r="F74" i="13"/>
  <c r="G74" i="13"/>
  <c r="H74" i="13"/>
  <c r="I74" i="13"/>
  <c r="J74" i="13"/>
  <c r="K74" i="13"/>
  <c r="L74" i="13"/>
  <c r="C75" i="13"/>
  <c r="D75" i="13"/>
  <c r="E75" i="13"/>
  <c r="F75" i="13"/>
  <c r="G75" i="13"/>
  <c r="H75" i="13"/>
  <c r="I75" i="13"/>
  <c r="J75" i="13"/>
  <c r="K75" i="13"/>
  <c r="L75" i="13"/>
  <c r="C76" i="13"/>
  <c r="D76" i="13"/>
  <c r="E76" i="13"/>
  <c r="F76" i="13"/>
  <c r="G76" i="13"/>
  <c r="H76" i="13"/>
  <c r="I76" i="13"/>
  <c r="J76" i="13"/>
  <c r="K76" i="13"/>
  <c r="L76" i="13"/>
  <c r="C77" i="13"/>
  <c r="D77" i="13"/>
  <c r="E77" i="13"/>
  <c r="F77" i="13"/>
  <c r="G77" i="13"/>
  <c r="H77" i="13"/>
  <c r="I77" i="13"/>
  <c r="J77" i="13"/>
  <c r="K77" i="13"/>
  <c r="L77" i="13"/>
  <c r="C78" i="13"/>
  <c r="D78" i="13"/>
  <c r="E78" i="13"/>
  <c r="F78" i="13"/>
  <c r="G78" i="13"/>
  <c r="H78" i="13"/>
  <c r="I78" i="13"/>
  <c r="J78" i="13"/>
  <c r="K78" i="13"/>
  <c r="L78" i="13"/>
  <c r="C79" i="13"/>
  <c r="D79" i="13"/>
  <c r="E79" i="13"/>
  <c r="F79" i="13"/>
  <c r="G79" i="13"/>
  <c r="H79" i="13"/>
  <c r="I79" i="13"/>
  <c r="J79" i="13"/>
  <c r="K79" i="13"/>
  <c r="L79" i="13"/>
  <c r="C80" i="13"/>
  <c r="D80" i="13"/>
  <c r="E80" i="13"/>
  <c r="F80" i="13"/>
  <c r="G80" i="13"/>
  <c r="H80" i="13"/>
  <c r="I80" i="13"/>
  <c r="J80" i="13"/>
  <c r="K80" i="13"/>
  <c r="L80" i="13"/>
  <c r="C81" i="13"/>
  <c r="D81" i="13"/>
  <c r="E81" i="13"/>
  <c r="F81" i="13"/>
  <c r="G81" i="13"/>
  <c r="H81" i="13"/>
  <c r="I81" i="13"/>
  <c r="J81" i="13"/>
  <c r="K81" i="13"/>
  <c r="L81" i="13"/>
  <c r="C82" i="13"/>
  <c r="D82" i="13"/>
  <c r="E82" i="13"/>
  <c r="F82" i="13"/>
  <c r="G82" i="13"/>
  <c r="H82" i="13"/>
  <c r="I82" i="13"/>
  <c r="J82" i="13"/>
  <c r="K82" i="13"/>
  <c r="L82" i="13"/>
  <c r="C83" i="13"/>
  <c r="D83" i="13"/>
  <c r="E83" i="13"/>
  <c r="F83" i="13"/>
  <c r="G83" i="13"/>
  <c r="H83" i="13"/>
  <c r="I83" i="13"/>
  <c r="J83" i="13"/>
  <c r="K83" i="13"/>
  <c r="L83" i="13"/>
  <c r="C84" i="13"/>
  <c r="D84" i="13"/>
  <c r="E84" i="13"/>
  <c r="F84" i="13"/>
  <c r="G84" i="13"/>
  <c r="H84" i="13"/>
  <c r="I84" i="13"/>
  <c r="J84" i="13"/>
  <c r="K84" i="13"/>
  <c r="L84" i="13"/>
  <c r="C85" i="13"/>
  <c r="D85" i="13"/>
  <c r="E85" i="13"/>
  <c r="F85" i="13"/>
  <c r="G85" i="13"/>
  <c r="H85" i="13"/>
  <c r="I85" i="13"/>
  <c r="J85" i="13"/>
  <c r="K85" i="13"/>
  <c r="L85" i="13"/>
  <c r="C86" i="13"/>
  <c r="D86" i="13"/>
  <c r="E86" i="13"/>
  <c r="F86" i="13"/>
  <c r="G86" i="13"/>
  <c r="H86" i="13"/>
  <c r="I86" i="13"/>
  <c r="J86" i="13"/>
  <c r="K86" i="13"/>
  <c r="L86" i="13"/>
  <c r="C87" i="13"/>
  <c r="D87" i="13"/>
  <c r="E87" i="13"/>
  <c r="F87" i="13"/>
  <c r="G87" i="13"/>
  <c r="H87" i="13"/>
  <c r="I87" i="13"/>
  <c r="J87" i="13"/>
  <c r="K87" i="13"/>
  <c r="L87" i="13"/>
  <c r="C88" i="13"/>
  <c r="D88" i="13"/>
  <c r="E88" i="13"/>
  <c r="F88" i="13"/>
  <c r="G88" i="13"/>
  <c r="H88" i="13"/>
  <c r="I88" i="13"/>
  <c r="J88" i="13"/>
  <c r="K88" i="13"/>
  <c r="L88" i="13"/>
  <c r="C89" i="13"/>
  <c r="D89" i="13"/>
  <c r="E89" i="13"/>
  <c r="F89" i="13"/>
  <c r="G89" i="13"/>
  <c r="H89" i="13"/>
  <c r="I89" i="13"/>
  <c r="J89" i="13"/>
  <c r="K89" i="13"/>
  <c r="L89" i="13"/>
  <c r="C90" i="13"/>
  <c r="D90" i="13"/>
  <c r="E90" i="13"/>
  <c r="F90" i="13"/>
  <c r="G90" i="13"/>
  <c r="H90" i="13"/>
  <c r="I90" i="13"/>
  <c r="J90" i="13"/>
  <c r="K90" i="13"/>
  <c r="L90" i="13"/>
  <c r="C91" i="13"/>
  <c r="D91" i="13"/>
  <c r="E91" i="13"/>
  <c r="F91" i="13"/>
  <c r="G91" i="13"/>
  <c r="H91" i="13"/>
  <c r="I91" i="13"/>
  <c r="J91" i="13"/>
  <c r="K91" i="13"/>
  <c r="L91" i="13"/>
  <c r="C92" i="13"/>
  <c r="D92" i="13"/>
  <c r="E92" i="13"/>
  <c r="F92" i="13"/>
  <c r="G92" i="13"/>
  <c r="H92" i="13"/>
  <c r="I92" i="13"/>
  <c r="J92" i="13"/>
  <c r="K92" i="13"/>
  <c r="L92" i="13"/>
  <c r="C93" i="13"/>
  <c r="D93" i="13"/>
  <c r="E93" i="13"/>
  <c r="F93" i="13"/>
  <c r="G93" i="13"/>
  <c r="H93" i="13"/>
  <c r="I93" i="13"/>
  <c r="J93" i="13"/>
  <c r="K93" i="13"/>
  <c r="L93" i="13"/>
  <c r="C94" i="13"/>
  <c r="D94" i="13"/>
  <c r="E94" i="13"/>
  <c r="F94" i="13"/>
  <c r="G94" i="13"/>
  <c r="H94" i="13"/>
  <c r="I94" i="13"/>
  <c r="J94" i="13"/>
  <c r="K94" i="13"/>
  <c r="L94" i="13"/>
  <c r="C95" i="13"/>
  <c r="D95" i="13"/>
  <c r="E95" i="13"/>
  <c r="F95" i="13"/>
  <c r="G95" i="13"/>
  <c r="H95" i="13"/>
  <c r="I95" i="13"/>
  <c r="J95" i="13"/>
  <c r="K95" i="13"/>
  <c r="L95" i="13"/>
  <c r="C96" i="13"/>
  <c r="D96" i="13"/>
  <c r="E96" i="13"/>
  <c r="F96" i="13"/>
  <c r="G96" i="13"/>
  <c r="H96" i="13"/>
  <c r="I96" i="13"/>
  <c r="J96" i="13"/>
  <c r="K96" i="13"/>
  <c r="L96" i="13"/>
  <c r="C97" i="13"/>
  <c r="D97" i="13"/>
  <c r="E97" i="13"/>
  <c r="F97" i="13"/>
  <c r="G97" i="13"/>
  <c r="H97" i="13"/>
  <c r="I97" i="13"/>
  <c r="J97" i="13"/>
  <c r="K97" i="13"/>
  <c r="L97" i="13"/>
  <c r="C98" i="13"/>
  <c r="D98" i="13"/>
  <c r="E98" i="13"/>
  <c r="F98" i="13"/>
  <c r="G98" i="13"/>
  <c r="H98" i="13"/>
  <c r="I98" i="13"/>
  <c r="J98" i="13"/>
  <c r="K98" i="13"/>
  <c r="L98" i="13"/>
  <c r="C99" i="13"/>
  <c r="D99" i="13"/>
  <c r="E99" i="13"/>
  <c r="F99" i="13"/>
  <c r="G99" i="13"/>
  <c r="H99" i="13"/>
  <c r="I99" i="13"/>
  <c r="J99" i="13"/>
  <c r="K99" i="13"/>
  <c r="L99" i="13"/>
  <c r="C100" i="13"/>
  <c r="D100" i="13"/>
  <c r="E100" i="13"/>
  <c r="F100" i="13"/>
  <c r="G100" i="13"/>
  <c r="H100" i="13"/>
  <c r="I100" i="13"/>
  <c r="J100" i="13"/>
  <c r="K100" i="13"/>
  <c r="L100" i="13"/>
  <c r="C101" i="13"/>
  <c r="D101" i="13"/>
  <c r="E101" i="13"/>
  <c r="F101" i="13"/>
  <c r="G101" i="13"/>
  <c r="H101" i="13"/>
  <c r="I101" i="13"/>
  <c r="J101" i="13"/>
  <c r="K101" i="13"/>
  <c r="L101" i="13"/>
  <c r="C102" i="13"/>
  <c r="D102" i="13"/>
  <c r="E102" i="13"/>
  <c r="F102" i="13"/>
  <c r="G102" i="13"/>
  <c r="H102" i="13"/>
  <c r="I102" i="13"/>
  <c r="J102" i="13"/>
  <c r="K102" i="13"/>
  <c r="L102" i="13"/>
  <c r="C103" i="13"/>
  <c r="D103" i="13"/>
  <c r="E103" i="13"/>
  <c r="F103" i="13"/>
  <c r="G103" i="13"/>
  <c r="H103" i="13"/>
  <c r="I103" i="13"/>
  <c r="J103" i="13"/>
  <c r="K103" i="13"/>
  <c r="L103" i="13"/>
  <c r="C104" i="13"/>
  <c r="D104" i="13"/>
  <c r="E104" i="13"/>
  <c r="F104" i="13"/>
  <c r="G104" i="13"/>
  <c r="H104" i="13"/>
  <c r="I104" i="13"/>
  <c r="J104" i="13"/>
  <c r="K104" i="13"/>
  <c r="L104" i="13"/>
  <c r="C105" i="13"/>
  <c r="D105" i="13"/>
  <c r="E105" i="13"/>
  <c r="F105" i="13"/>
  <c r="G105" i="13"/>
  <c r="H105" i="13"/>
  <c r="I105" i="13"/>
  <c r="J105" i="13"/>
  <c r="K105" i="13"/>
  <c r="L105" i="13"/>
  <c r="C106" i="13"/>
  <c r="D106" i="13"/>
  <c r="E106" i="13"/>
  <c r="F106" i="13"/>
  <c r="G106" i="13"/>
  <c r="H106" i="13"/>
  <c r="I106" i="13"/>
  <c r="J106" i="13"/>
  <c r="K106" i="13"/>
  <c r="L106" i="13"/>
  <c r="C107" i="13"/>
  <c r="D107" i="13"/>
  <c r="E107" i="13"/>
  <c r="F107" i="13"/>
  <c r="G107" i="13"/>
  <c r="H107" i="13"/>
  <c r="I107" i="13"/>
  <c r="J107" i="13"/>
  <c r="K107" i="13"/>
  <c r="L107" i="13"/>
  <c r="C108" i="13"/>
  <c r="D108" i="13"/>
  <c r="E108" i="13"/>
  <c r="F108" i="13"/>
  <c r="G108" i="13"/>
  <c r="H108" i="13"/>
  <c r="I108" i="13"/>
  <c r="J108" i="13"/>
  <c r="K108" i="13"/>
  <c r="L108" i="13"/>
  <c r="C109" i="13"/>
  <c r="D109" i="13"/>
  <c r="E109" i="13"/>
  <c r="F109" i="13"/>
  <c r="G109" i="13"/>
  <c r="H109" i="13"/>
  <c r="I109" i="13"/>
  <c r="J109" i="13"/>
  <c r="K109" i="13"/>
  <c r="L109" i="13"/>
  <c r="C110" i="13"/>
  <c r="D110" i="13"/>
  <c r="E110" i="13"/>
  <c r="F110" i="13"/>
  <c r="G110" i="13"/>
  <c r="H110" i="13"/>
  <c r="I110" i="13"/>
  <c r="J110" i="13"/>
  <c r="K110" i="13"/>
  <c r="L110" i="13"/>
  <c r="C111" i="13"/>
  <c r="D111" i="13"/>
  <c r="E111" i="13"/>
  <c r="F111" i="13"/>
  <c r="G111" i="13"/>
  <c r="H111" i="13"/>
  <c r="I111" i="13"/>
  <c r="J111" i="13"/>
  <c r="K111" i="13"/>
  <c r="L111" i="13"/>
  <c r="C112" i="13"/>
  <c r="D112" i="13"/>
  <c r="E112" i="13"/>
  <c r="F112" i="13"/>
  <c r="G112" i="13"/>
  <c r="H112" i="13"/>
  <c r="I112" i="13"/>
  <c r="J112" i="13"/>
  <c r="K112" i="13"/>
  <c r="L112" i="13"/>
  <c r="C113" i="13"/>
  <c r="D113" i="13"/>
  <c r="E113" i="13"/>
  <c r="F113" i="13"/>
  <c r="G113" i="13"/>
  <c r="H113" i="13"/>
  <c r="I113" i="13"/>
  <c r="J113" i="13"/>
  <c r="K113" i="13"/>
  <c r="L113" i="13"/>
  <c r="C114" i="13"/>
  <c r="D114" i="13"/>
  <c r="E114" i="13"/>
  <c r="F114" i="13"/>
  <c r="G114" i="13"/>
  <c r="H114" i="13"/>
  <c r="I114" i="13"/>
  <c r="J114" i="13"/>
  <c r="K114" i="13"/>
  <c r="L114" i="13"/>
  <c r="C115" i="13"/>
  <c r="D115" i="13"/>
  <c r="E115" i="13"/>
  <c r="F115" i="13"/>
  <c r="G115" i="13"/>
  <c r="H115" i="13"/>
  <c r="I115" i="13"/>
  <c r="J115" i="13"/>
  <c r="K115" i="13"/>
  <c r="L115" i="13"/>
  <c r="C116" i="13"/>
  <c r="D116" i="13"/>
  <c r="E116" i="13"/>
  <c r="F116" i="13"/>
  <c r="G116" i="13"/>
  <c r="H116" i="13"/>
  <c r="I116" i="13"/>
  <c r="J116" i="13"/>
  <c r="K116" i="13"/>
  <c r="L116" i="13"/>
  <c r="C117" i="13"/>
  <c r="D117" i="13"/>
  <c r="E117" i="13"/>
  <c r="F117" i="13"/>
  <c r="G117" i="13"/>
  <c r="H117" i="13"/>
  <c r="I117" i="13"/>
  <c r="J117" i="13"/>
  <c r="K117" i="13"/>
  <c r="L117" i="13"/>
  <c r="C118" i="13"/>
  <c r="D118" i="13"/>
  <c r="E118" i="13"/>
  <c r="F118" i="13"/>
  <c r="G118" i="13"/>
  <c r="H118" i="13"/>
  <c r="I118" i="13"/>
  <c r="J118" i="13"/>
  <c r="K118" i="13"/>
  <c r="L118" i="13"/>
  <c r="C119" i="13"/>
  <c r="D119" i="13"/>
  <c r="E119" i="13"/>
  <c r="F119" i="13"/>
  <c r="G119" i="13"/>
  <c r="H119" i="13"/>
  <c r="I119" i="13"/>
  <c r="J119" i="13"/>
  <c r="K119" i="13"/>
  <c r="L119" i="13"/>
  <c r="C120" i="13"/>
  <c r="D120" i="13"/>
  <c r="E120" i="13"/>
  <c r="F120" i="13"/>
  <c r="G120" i="13"/>
  <c r="H120" i="13"/>
  <c r="I120" i="13"/>
  <c r="J120" i="13"/>
  <c r="K120" i="13"/>
  <c r="L120" i="13"/>
  <c r="C121" i="13"/>
  <c r="D121" i="13"/>
  <c r="E121" i="13"/>
  <c r="F121" i="13"/>
  <c r="G121" i="13"/>
  <c r="H121" i="13"/>
  <c r="I121" i="13"/>
  <c r="J121" i="13"/>
  <c r="K121" i="13"/>
  <c r="L121" i="13"/>
  <c r="C122" i="13"/>
  <c r="D122" i="13"/>
  <c r="E122" i="13"/>
  <c r="F122" i="13"/>
  <c r="G122" i="13"/>
  <c r="H122" i="13"/>
  <c r="I122" i="13"/>
  <c r="J122" i="13"/>
  <c r="K122" i="13"/>
  <c r="L122" i="13"/>
  <c r="C123" i="13"/>
  <c r="D123" i="13"/>
  <c r="E123" i="13"/>
  <c r="F123" i="13"/>
  <c r="G123" i="13"/>
  <c r="H123" i="13"/>
  <c r="I123" i="13"/>
  <c r="J123" i="13"/>
  <c r="K123" i="13"/>
  <c r="L123" i="13"/>
  <c r="C124" i="13"/>
  <c r="D124" i="13"/>
  <c r="E124" i="13"/>
  <c r="F124" i="13"/>
  <c r="G124" i="13"/>
  <c r="H124" i="13"/>
  <c r="I124" i="13"/>
  <c r="J124" i="13"/>
  <c r="K124" i="13"/>
  <c r="L124" i="13"/>
  <c r="C125" i="13"/>
  <c r="D125" i="13"/>
  <c r="E125" i="13"/>
  <c r="F125" i="13"/>
  <c r="G125" i="13"/>
  <c r="H125" i="13"/>
  <c r="I125" i="13"/>
  <c r="J125" i="13"/>
  <c r="K125" i="13"/>
  <c r="L125" i="13"/>
  <c r="C126" i="13"/>
  <c r="D126" i="13"/>
  <c r="E126" i="13"/>
  <c r="F126" i="13"/>
  <c r="G126" i="13"/>
  <c r="H126" i="13"/>
  <c r="I126" i="13"/>
  <c r="J126" i="13"/>
  <c r="K126" i="13"/>
  <c r="L126" i="13"/>
  <c r="C127" i="13"/>
  <c r="D127" i="13"/>
  <c r="E127" i="13"/>
  <c r="F127" i="13"/>
  <c r="G127" i="13"/>
  <c r="H127" i="13"/>
  <c r="I127" i="13"/>
  <c r="J127" i="13"/>
  <c r="K127" i="13"/>
  <c r="L127" i="13"/>
  <c r="C128" i="13"/>
  <c r="D128" i="13"/>
  <c r="E128" i="13"/>
  <c r="F128" i="13"/>
  <c r="G128" i="13"/>
  <c r="H128" i="13"/>
  <c r="I128" i="13"/>
  <c r="J128" i="13"/>
  <c r="K128" i="13"/>
  <c r="L128" i="13"/>
  <c r="C129" i="13"/>
  <c r="D129" i="13"/>
  <c r="E129" i="13"/>
  <c r="F129" i="13"/>
  <c r="G129" i="13"/>
  <c r="H129" i="13"/>
  <c r="I129" i="13"/>
  <c r="J129" i="13"/>
  <c r="K129" i="13"/>
  <c r="L129" i="13"/>
  <c r="C130" i="13"/>
  <c r="D130" i="13"/>
  <c r="E130" i="13"/>
  <c r="F130" i="13"/>
  <c r="G130" i="13"/>
  <c r="H130" i="13"/>
  <c r="I130" i="13"/>
  <c r="J130" i="13"/>
  <c r="K130" i="13"/>
  <c r="L130" i="13"/>
  <c r="C131" i="13"/>
  <c r="D131" i="13"/>
  <c r="E131" i="13"/>
  <c r="F131" i="13"/>
  <c r="G131" i="13"/>
  <c r="H131" i="13"/>
  <c r="I131" i="13"/>
  <c r="J131" i="13"/>
  <c r="K131" i="13"/>
  <c r="L131" i="13"/>
  <c r="C132" i="13"/>
  <c r="D132" i="13"/>
  <c r="E132" i="13"/>
  <c r="F132" i="13"/>
  <c r="G132" i="13"/>
  <c r="H132" i="13"/>
  <c r="I132" i="13"/>
  <c r="J132" i="13"/>
  <c r="K132" i="13"/>
  <c r="L132" i="13"/>
  <c r="C133" i="13"/>
  <c r="D133" i="13"/>
  <c r="E133" i="13"/>
  <c r="F133" i="13"/>
  <c r="G133" i="13"/>
  <c r="H133" i="13"/>
  <c r="I133" i="13"/>
  <c r="J133" i="13"/>
  <c r="K133" i="13"/>
  <c r="L133" i="13"/>
  <c r="C134" i="13"/>
  <c r="D134" i="13"/>
  <c r="E134" i="13"/>
  <c r="F134" i="13"/>
  <c r="G134" i="13"/>
  <c r="H134" i="13"/>
  <c r="I134" i="13"/>
  <c r="J134" i="13"/>
  <c r="K134" i="13"/>
  <c r="L134" i="13"/>
  <c r="C135" i="13"/>
  <c r="D135" i="13"/>
  <c r="E135" i="13"/>
  <c r="F135" i="13"/>
  <c r="G135" i="13"/>
  <c r="H135" i="13"/>
  <c r="I135" i="13"/>
  <c r="J135" i="13"/>
  <c r="K135" i="13"/>
  <c r="L135" i="13"/>
  <c r="C136" i="13"/>
  <c r="D136" i="13"/>
  <c r="E136" i="13"/>
  <c r="F136" i="13"/>
  <c r="G136" i="13"/>
  <c r="H136" i="13"/>
  <c r="I136" i="13"/>
  <c r="J136" i="13"/>
  <c r="K136" i="13"/>
  <c r="L136" i="13"/>
  <c r="C137" i="13"/>
  <c r="D137" i="13"/>
  <c r="E137" i="13"/>
  <c r="F137" i="13"/>
  <c r="G137" i="13"/>
  <c r="H137" i="13"/>
  <c r="I137" i="13"/>
  <c r="J137" i="13"/>
  <c r="K137" i="13"/>
  <c r="L137" i="13"/>
  <c r="C138" i="13"/>
  <c r="D138" i="13"/>
  <c r="E138" i="13"/>
  <c r="F138" i="13"/>
  <c r="G138" i="13"/>
  <c r="H138" i="13"/>
  <c r="I138" i="13"/>
  <c r="J138" i="13"/>
  <c r="K138" i="13"/>
  <c r="L138" i="13"/>
  <c r="C139" i="13"/>
  <c r="D139" i="13"/>
  <c r="E139" i="13"/>
  <c r="F139" i="13"/>
  <c r="G139" i="13"/>
  <c r="H139" i="13"/>
  <c r="I139" i="13"/>
  <c r="J139" i="13"/>
  <c r="K139" i="13"/>
  <c r="L139" i="13"/>
  <c r="C140" i="13"/>
  <c r="D140" i="13"/>
  <c r="E140" i="13"/>
  <c r="F140" i="13"/>
  <c r="G140" i="13"/>
  <c r="H140" i="13"/>
  <c r="I140" i="13"/>
  <c r="J140" i="13"/>
  <c r="K140" i="13"/>
  <c r="L140" i="13"/>
  <c r="C141" i="13"/>
  <c r="D141" i="13"/>
  <c r="E141" i="13"/>
  <c r="F141" i="13"/>
  <c r="G141" i="13"/>
  <c r="H141" i="13"/>
  <c r="I141" i="13"/>
  <c r="J141" i="13"/>
  <c r="K141" i="13"/>
  <c r="L141" i="13"/>
  <c r="C142" i="13"/>
  <c r="D142" i="13"/>
  <c r="E142" i="13"/>
  <c r="F142" i="13"/>
  <c r="G142" i="13"/>
  <c r="H142" i="13"/>
  <c r="I142" i="13"/>
  <c r="J142" i="13"/>
  <c r="K142" i="13"/>
  <c r="L142" i="13"/>
  <c r="C143" i="13"/>
  <c r="D143" i="13"/>
  <c r="E143" i="13"/>
  <c r="F143" i="13"/>
  <c r="G143" i="13"/>
  <c r="H143" i="13"/>
  <c r="I143" i="13"/>
  <c r="J143" i="13"/>
  <c r="K143" i="13"/>
  <c r="L143" i="13"/>
  <c r="C144" i="13"/>
  <c r="D144" i="13"/>
  <c r="E144" i="13"/>
  <c r="F144" i="13"/>
  <c r="G144" i="13"/>
  <c r="H144" i="13"/>
  <c r="I144" i="13"/>
  <c r="J144" i="13"/>
  <c r="K144" i="13"/>
  <c r="L144" i="13"/>
  <c r="C145" i="13"/>
  <c r="D145" i="13"/>
  <c r="E145" i="13"/>
  <c r="F145" i="13"/>
  <c r="G145" i="13"/>
  <c r="H145" i="13"/>
  <c r="I145" i="13"/>
  <c r="J145" i="13"/>
  <c r="K145" i="13"/>
  <c r="L145" i="13"/>
  <c r="C146" i="13"/>
  <c r="D146" i="13"/>
  <c r="E146" i="13"/>
  <c r="F146" i="13"/>
  <c r="G146" i="13"/>
  <c r="H146" i="13"/>
  <c r="I146" i="13"/>
  <c r="J146" i="13"/>
  <c r="K146" i="13"/>
  <c r="L146" i="13"/>
  <c r="C147" i="13"/>
  <c r="D147" i="13"/>
  <c r="E147" i="13"/>
  <c r="F147" i="13"/>
  <c r="G147" i="13"/>
  <c r="H147" i="13"/>
  <c r="I147" i="13"/>
  <c r="J147" i="13"/>
  <c r="K147" i="13"/>
  <c r="L147" i="13"/>
  <c r="C148" i="13"/>
  <c r="D148" i="13"/>
  <c r="E148" i="13"/>
  <c r="F148" i="13"/>
  <c r="G148" i="13"/>
  <c r="H148" i="13"/>
  <c r="I148" i="13"/>
  <c r="J148" i="13"/>
  <c r="K148" i="13"/>
  <c r="L148" i="13"/>
  <c r="C149" i="13"/>
  <c r="D149" i="13"/>
  <c r="E149" i="13"/>
  <c r="F149" i="13"/>
  <c r="G149" i="13"/>
  <c r="H149" i="13"/>
  <c r="I149" i="13"/>
  <c r="J149" i="13"/>
  <c r="K149" i="13"/>
  <c r="L149" i="13"/>
  <c r="C150" i="13"/>
  <c r="D150" i="13"/>
  <c r="E150" i="13"/>
  <c r="F150" i="13"/>
  <c r="G150" i="13"/>
  <c r="H150" i="13"/>
  <c r="I150" i="13"/>
  <c r="J150" i="13"/>
  <c r="K150" i="13"/>
  <c r="L150" i="13"/>
  <c r="C151" i="13"/>
  <c r="D151" i="13"/>
  <c r="E151" i="13"/>
  <c r="F151" i="13"/>
  <c r="G151" i="13"/>
  <c r="H151" i="13"/>
  <c r="I151" i="13"/>
  <c r="J151" i="13"/>
  <c r="K151" i="13"/>
  <c r="L151" i="13"/>
  <c r="C152" i="13"/>
  <c r="D152" i="13"/>
  <c r="E152" i="13"/>
  <c r="F152" i="13"/>
  <c r="G152" i="13"/>
  <c r="H152" i="13"/>
  <c r="I152" i="13"/>
  <c r="J152" i="13"/>
  <c r="K152" i="13"/>
  <c r="L152" i="13"/>
  <c r="C153" i="13"/>
  <c r="D153" i="13"/>
  <c r="E153" i="13"/>
  <c r="F153" i="13"/>
  <c r="G153" i="13"/>
  <c r="H153" i="13"/>
  <c r="I153" i="13"/>
  <c r="J153" i="13"/>
  <c r="K153" i="13"/>
  <c r="L153" i="13"/>
  <c r="C154" i="13"/>
  <c r="D154" i="13"/>
  <c r="E154" i="13"/>
  <c r="F154" i="13"/>
  <c r="G154" i="13"/>
  <c r="H154" i="13"/>
  <c r="I154" i="13"/>
  <c r="J154" i="13"/>
  <c r="K154" i="13"/>
  <c r="L154" i="13"/>
  <c r="C155" i="13"/>
  <c r="D155" i="13"/>
  <c r="E155" i="13"/>
  <c r="F155" i="13"/>
  <c r="G155" i="13"/>
  <c r="H155" i="13"/>
  <c r="I155" i="13"/>
  <c r="J155" i="13"/>
  <c r="K155" i="13"/>
  <c r="L155" i="13"/>
  <c r="C156" i="13"/>
  <c r="D156" i="13"/>
  <c r="E156" i="13"/>
  <c r="F156" i="13"/>
  <c r="G156" i="13"/>
  <c r="H156" i="13"/>
  <c r="I156" i="13"/>
  <c r="J156" i="13"/>
  <c r="K156" i="13"/>
  <c r="L156" i="13"/>
  <c r="C157" i="13"/>
  <c r="D157" i="13"/>
  <c r="E157" i="13"/>
  <c r="F157" i="13"/>
  <c r="G157" i="13"/>
  <c r="H157" i="13"/>
  <c r="I157" i="13"/>
  <c r="J157" i="13"/>
  <c r="K157" i="13"/>
  <c r="L157" i="13"/>
  <c r="C158" i="13"/>
  <c r="D158" i="13"/>
  <c r="E158" i="13"/>
  <c r="F158" i="13"/>
  <c r="G158" i="13"/>
  <c r="H158" i="13"/>
  <c r="I158" i="13"/>
  <c r="J158" i="13"/>
  <c r="K158" i="13"/>
  <c r="L158" i="13"/>
  <c r="C159" i="13"/>
  <c r="D159" i="13"/>
  <c r="E159" i="13"/>
  <c r="F159" i="13"/>
  <c r="G159" i="13"/>
  <c r="H159" i="13"/>
  <c r="I159" i="13"/>
  <c r="J159" i="13"/>
  <c r="K159" i="13"/>
  <c r="L159" i="13"/>
  <c r="C160" i="13"/>
  <c r="D160" i="13"/>
  <c r="E160" i="13"/>
  <c r="F160" i="13"/>
  <c r="G160" i="13"/>
  <c r="H160" i="13"/>
  <c r="I160" i="13"/>
  <c r="J160" i="13"/>
  <c r="K160" i="13"/>
  <c r="L160" i="13"/>
  <c r="C161" i="13"/>
  <c r="D161" i="13"/>
  <c r="E161" i="13"/>
  <c r="F161" i="13"/>
  <c r="G161" i="13"/>
  <c r="H161" i="13"/>
  <c r="I161" i="13"/>
  <c r="J161" i="13"/>
  <c r="K161" i="13"/>
  <c r="L161" i="13"/>
  <c r="C162" i="13"/>
  <c r="D162" i="13"/>
  <c r="E162" i="13"/>
  <c r="F162" i="13"/>
  <c r="G162" i="13"/>
  <c r="H162" i="13"/>
  <c r="I162" i="13"/>
  <c r="J162" i="13"/>
  <c r="K162" i="13"/>
  <c r="L162" i="13"/>
  <c r="C163" i="13"/>
  <c r="D163" i="13"/>
  <c r="E163" i="13"/>
  <c r="F163" i="13"/>
  <c r="G163" i="13"/>
  <c r="H163" i="13"/>
  <c r="I163" i="13"/>
  <c r="J163" i="13"/>
  <c r="K163" i="13"/>
  <c r="L163" i="13"/>
  <c r="C164" i="13"/>
  <c r="D164" i="13"/>
  <c r="E164" i="13"/>
  <c r="F164" i="13"/>
  <c r="G164" i="13"/>
  <c r="H164" i="13"/>
  <c r="I164" i="13"/>
  <c r="J164" i="13"/>
  <c r="K164" i="13"/>
  <c r="L164" i="13"/>
  <c r="C165" i="13"/>
  <c r="D165" i="13"/>
  <c r="E165" i="13"/>
  <c r="F165" i="13"/>
  <c r="G165" i="13"/>
  <c r="H165" i="13"/>
  <c r="I165" i="13"/>
  <c r="J165" i="13"/>
  <c r="K165" i="13"/>
  <c r="L165" i="13"/>
  <c r="C166" i="13"/>
  <c r="D166" i="13"/>
  <c r="E166" i="13"/>
  <c r="F166" i="13"/>
  <c r="G166" i="13"/>
  <c r="H166" i="13"/>
  <c r="I166" i="13"/>
  <c r="J166" i="13"/>
  <c r="K166" i="13"/>
  <c r="L166" i="13"/>
  <c r="C167" i="13"/>
  <c r="D167" i="13"/>
  <c r="E167" i="13"/>
  <c r="F167" i="13"/>
  <c r="G167" i="13"/>
  <c r="H167" i="13"/>
  <c r="I167" i="13"/>
  <c r="J167" i="13"/>
  <c r="K167" i="13"/>
  <c r="L167" i="13"/>
  <c r="C168" i="13"/>
  <c r="D168" i="13"/>
  <c r="E168" i="13"/>
  <c r="F168" i="13"/>
  <c r="G168" i="13"/>
  <c r="H168" i="13"/>
  <c r="I168" i="13"/>
  <c r="J168" i="13"/>
  <c r="K168" i="13"/>
  <c r="L168" i="13"/>
  <c r="C169" i="13"/>
  <c r="D169" i="13"/>
  <c r="E169" i="13"/>
  <c r="F169" i="13"/>
  <c r="G169" i="13"/>
  <c r="H169" i="13"/>
  <c r="I169" i="13"/>
  <c r="J169" i="13"/>
  <c r="K169" i="13"/>
  <c r="L169" i="13"/>
  <c r="C170" i="13"/>
  <c r="D170" i="13"/>
  <c r="E170" i="13"/>
  <c r="F170" i="13"/>
  <c r="G170" i="13"/>
  <c r="H170" i="13"/>
  <c r="I170" i="13"/>
  <c r="J170" i="13"/>
  <c r="K170" i="13"/>
  <c r="L170" i="13"/>
  <c r="C171" i="13"/>
  <c r="D171" i="13"/>
  <c r="E171" i="13"/>
  <c r="F171" i="13"/>
  <c r="G171" i="13"/>
  <c r="H171" i="13"/>
  <c r="I171" i="13"/>
  <c r="J171" i="13"/>
  <c r="K171" i="13"/>
  <c r="L171" i="13"/>
  <c r="C172" i="13"/>
  <c r="D172" i="13"/>
  <c r="E172" i="13"/>
  <c r="F172" i="13"/>
  <c r="G172" i="13"/>
  <c r="H172" i="13"/>
  <c r="I172" i="13"/>
  <c r="J172" i="13"/>
  <c r="K172" i="13"/>
  <c r="L172" i="13"/>
  <c r="C173" i="13"/>
  <c r="D173" i="13"/>
  <c r="E173" i="13"/>
  <c r="F173" i="13"/>
  <c r="G173" i="13"/>
  <c r="H173" i="13"/>
  <c r="I173" i="13"/>
  <c r="J173" i="13"/>
  <c r="K173" i="13"/>
  <c r="L173" i="13"/>
  <c r="C174" i="13"/>
  <c r="D174" i="13"/>
  <c r="E174" i="13"/>
  <c r="F174" i="13"/>
  <c r="G174" i="13"/>
  <c r="H174" i="13"/>
  <c r="I174" i="13"/>
  <c r="J174" i="13"/>
  <c r="K174" i="13"/>
  <c r="L174" i="13"/>
  <c r="C175" i="13"/>
  <c r="D175" i="13"/>
  <c r="E175" i="13"/>
  <c r="F175" i="13"/>
  <c r="G175" i="13"/>
  <c r="H175" i="13"/>
  <c r="I175" i="13"/>
  <c r="J175" i="13"/>
  <c r="K175" i="13"/>
  <c r="L175" i="13"/>
  <c r="C176" i="13"/>
  <c r="D176" i="13"/>
  <c r="E176" i="13"/>
  <c r="F176" i="13"/>
  <c r="G176" i="13"/>
  <c r="H176" i="13"/>
  <c r="I176" i="13"/>
  <c r="J176" i="13"/>
  <c r="K176" i="13"/>
  <c r="L176" i="13"/>
  <c r="C177" i="13"/>
  <c r="D177" i="13"/>
  <c r="E177" i="13"/>
  <c r="F177" i="13"/>
  <c r="G177" i="13"/>
  <c r="H177" i="13"/>
  <c r="I177" i="13"/>
  <c r="J177" i="13"/>
  <c r="K177" i="13"/>
  <c r="L177" i="13"/>
  <c r="C178" i="13"/>
  <c r="D178" i="13"/>
  <c r="E178" i="13"/>
  <c r="F178" i="13"/>
  <c r="G178" i="13"/>
  <c r="H178" i="13"/>
  <c r="I178" i="13"/>
  <c r="J178" i="13"/>
  <c r="K178" i="13"/>
  <c r="L178" i="13"/>
  <c r="C179" i="13"/>
  <c r="D179" i="13"/>
  <c r="E179" i="13"/>
  <c r="F179" i="13"/>
  <c r="G179" i="13"/>
  <c r="H179" i="13"/>
  <c r="I179" i="13"/>
  <c r="J179" i="13"/>
  <c r="K179" i="13"/>
  <c r="L179" i="13"/>
  <c r="C180" i="13"/>
  <c r="D180" i="13"/>
  <c r="E180" i="13"/>
  <c r="F180" i="13"/>
  <c r="G180" i="13"/>
  <c r="H180" i="13"/>
  <c r="I180" i="13"/>
  <c r="J180" i="13"/>
  <c r="K180" i="13"/>
  <c r="L180" i="13"/>
  <c r="C181" i="13"/>
  <c r="D181" i="13"/>
  <c r="E181" i="13"/>
  <c r="F181" i="13"/>
  <c r="G181" i="13"/>
  <c r="H181" i="13"/>
  <c r="I181" i="13"/>
  <c r="J181" i="13"/>
  <c r="K181" i="13"/>
  <c r="L181" i="13"/>
  <c r="C182" i="13"/>
  <c r="D182" i="13"/>
  <c r="E182" i="13"/>
  <c r="F182" i="13"/>
  <c r="G182" i="13"/>
  <c r="H182" i="13"/>
  <c r="I182" i="13"/>
  <c r="J182" i="13"/>
  <c r="K182" i="13"/>
  <c r="L182" i="13"/>
  <c r="C183" i="13"/>
  <c r="D183" i="13"/>
  <c r="E183" i="13"/>
  <c r="F183" i="13"/>
  <c r="G183" i="13"/>
  <c r="H183" i="13"/>
  <c r="I183" i="13"/>
  <c r="J183" i="13"/>
  <c r="K183" i="13"/>
  <c r="L183" i="13"/>
  <c r="C184" i="13"/>
  <c r="D184" i="13"/>
  <c r="E184" i="13"/>
  <c r="F184" i="13"/>
  <c r="G184" i="13"/>
  <c r="H184" i="13"/>
  <c r="I184" i="13"/>
  <c r="J184" i="13"/>
  <c r="K184" i="13"/>
  <c r="L184" i="13"/>
  <c r="C185" i="13"/>
  <c r="D185" i="13"/>
  <c r="E185" i="13"/>
  <c r="F185" i="13"/>
  <c r="G185" i="13"/>
  <c r="H185" i="13"/>
  <c r="I185" i="13"/>
  <c r="J185" i="13"/>
  <c r="K185" i="13"/>
  <c r="L185" i="13"/>
  <c r="C186" i="13"/>
  <c r="D186" i="13"/>
  <c r="E186" i="13"/>
  <c r="F186" i="13"/>
  <c r="G186" i="13"/>
  <c r="H186" i="13"/>
  <c r="I186" i="13"/>
  <c r="J186" i="13"/>
  <c r="K186" i="13"/>
  <c r="L186" i="13"/>
  <c r="C187" i="13"/>
  <c r="D187" i="13"/>
  <c r="E187" i="13"/>
  <c r="F187" i="13"/>
  <c r="G187" i="13"/>
  <c r="H187" i="13"/>
  <c r="I187" i="13"/>
  <c r="J187" i="13"/>
  <c r="K187" i="13"/>
  <c r="L187" i="13"/>
  <c r="C188" i="13"/>
  <c r="D188" i="13"/>
  <c r="E188" i="13"/>
  <c r="F188" i="13"/>
  <c r="G188" i="13"/>
  <c r="H188" i="13"/>
  <c r="I188" i="13"/>
  <c r="J188" i="13"/>
  <c r="K188" i="13"/>
  <c r="L188" i="13"/>
  <c r="C189" i="13"/>
  <c r="D189" i="13"/>
  <c r="E189" i="13"/>
  <c r="F189" i="13"/>
  <c r="G189" i="13"/>
  <c r="H189" i="13"/>
  <c r="I189" i="13"/>
  <c r="J189" i="13"/>
  <c r="K189" i="13"/>
  <c r="L189" i="13"/>
  <c r="C190" i="13"/>
  <c r="D190" i="13"/>
  <c r="E190" i="13"/>
  <c r="F190" i="13"/>
  <c r="G190" i="13"/>
  <c r="H190" i="13"/>
  <c r="I190" i="13"/>
  <c r="J190" i="13"/>
  <c r="K190" i="13"/>
  <c r="L190" i="13"/>
  <c r="C191" i="13"/>
  <c r="D191" i="13"/>
  <c r="E191" i="13"/>
  <c r="F191" i="13"/>
  <c r="G191" i="13"/>
  <c r="H191" i="13"/>
  <c r="I191" i="13"/>
  <c r="J191" i="13"/>
  <c r="K191" i="13"/>
  <c r="L191" i="13"/>
  <c r="C192" i="13"/>
  <c r="D192" i="13"/>
  <c r="E192" i="13"/>
  <c r="F192" i="13"/>
  <c r="G192" i="13"/>
  <c r="H192" i="13"/>
  <c r="I192" i="13"/>
  <c r="J192" i="13"/>
  <c r="K192" i="13"/>
  <c r="L192" i="13"/>
  <c r="C193" i="13"/>
  <c r="D193" i="13"/>
  <c r="E193" i="13"/>
  <c r="F193" i="13"/>
  <c r="G193" i="13"/>
  <c r="H193" i="13"/>
  <c r="I193" i="13"/>
  <c r="J193" i="13"/>
  <c r="K193" i="13"/>
  <c r="L193" i="13"/>
  <c r="C194" i="13"/>
  <c r="D194" i="13"/>
  <c r="E194" i="13"/>
  <c r="F194" i="13"/>
  <c r="G194" i="13"/>
  <c r="H194" i="13"/>
  <c r="I194" i="13"/>
  <c r="J194" i="13"/>
  <c r="K194" i="13"/>
  <c r="L194" i="13"/>
  <c r="C195" i="13"/>
  <c r="D195" i="13"/>
  <c r="E195" i="13"/>
  <c r="F195" i="13"/>
  <c r="G195" i="13"/>
  <c r="H195" i="13"/>
  <c r="I195" i="13"/>
  <c r="J195" i="13"/>
  <c r="K195" i="13"/>
  <c r="L195" i="13"/>
  <c r="C196" i="13"/>
  <c r="D196" i="13"/>
  <c r="E196" i="13"/>
  <c r="F196" i="13"/>
  <c r="G196" i="13"/>
  <c r="H196" i="13"/>
  <c r="I196" i="13"/>
  <c r="J196" i="13"/>
  <c r="K196" i="13"/>
  <c r="L196" i="13"/>
  <c r="C197" i="13"/>
  <c r="D197" i="13"/>
  <c r="E197" i="13"/>
  <c r="F197" i="13"/>
  <c r="G197" i="13"/>
  <c r="H197" i="13"/>
  <c r="I197" i="13"/>
  <c r="J197" i="13"/>
  <c r="K197" i="13"/>
  <c r="L197" i="13"/>
  <c r="C198" i="13"/>
  <c r="D198" i="13"/>
  <c r="E198" i="13"/>
  <c r="F198" i="13"/>
  <c r="G198" i="13"/>
  <c r="H198" i="13"/>
  <c r="I198" i="13"/>
  <c r="J198" i="13"/>
  <c r="K198" i="13"/>
  <c r="L198" i="13"/>
  <c r="C199" i="13"/>
  <c r="D199" i="13"/>
  <c r="E199" i="13"/>
  <c r="F199" i="13"/>
  <c r="G199" i="13"/>
  <c r="H199" i="13"/>
  <c r="I199" i="13"/>
  <c r="J199" i="13"/>
  <c r="K199" i="13"/>
  <c r="L199" i="13"/>
  <c r="C200" i="13"/>
  <c r="D200" i="13"/>
  <c r="E200" i="13"/>
  <c r="F200" i="13"/>
  <c r="G200" i="13"/>
  <c r="H200" i="13"/>
  <c r="I200" i="13"/>
  <c r="J200" i="13"/>
  <c r="K200" i="13"/>
  <c r="L200" i="13"/>
  <c r="C201" i="13"/>
  <c r="D201" i="13"/>
  <c r="E201" i="13"/>
  <c r="F201" i="13"/>
  <c r="G201" i="13"/>
  <c r="H201" i="13"/>
  <c r="I201" i="13"/>
  <c r="J201" i="13"/>
  <c r="K201" i="13"/>
  <c r="L201" i="13"/>
  <c r="C202" i="13"/>
  <c r="D202" i="13"/>
  <c r="E202" i="13"/>
  <c r="F202" i="13"/>
  <c r="G202" i="13"/>
  <c r="H202" i="13"/>
  <c r="I202" i="13"/>
  <c r="J202" i="13"/>
  <c r="K202" i="13"/>
  <c r="L202" i="13"/>
  <c r="C203" i="13"/>
  <c r="D203" i="13"/>
  <c r="E203" i="13"/>
  <c r="F203" i="13"/>
  <c r="G203" i="13"/>
  <c r="H203" i="13"/>
  <c r="I203" i="13"/>
  <c r="J203" i="13"/>
  <c r="K203" i="13"/>
  <c r="L203" i="13"/>
  <c r="C204" i="13"/>
  <c r="D204" i="13"/>
  <c r="E204" i="13"/>
  <c r="F204" i="13"/>
  <c r="G204" i="13"/>
  <c r="H204" i="13"/>
  <c r="I204" i="13"/>
  <c r="J204" i="13"/>
  <c r="K204" i="13"/>
  <c r="L204" i="13"/>
  <c r="C205" i="13"/>
  <c r="D205" i="13"/>
  <c r="E205" i="13"/>
  <c r="F205" i="13"/>
  <c r="G205" i="13"/>
  <c r="H205" i="13"/>
  <c r="I205" i="13"/>
  <c r="J205" i="13"/>
  <c r="K205" i="13"/>
  <c r="L205" i="13"/>
  <c r="C206" i="13"/>
  <c r="D206" i="13"/>
  <c r="E206" i="13"/>
  <c r="F206" i="13"/>
  <c r="G206" i="13"/>
  <c r="H206" i="13"/>
  <c r="I206" i="13"/>
  <c r="J206" i="13"/>
  <c r="K206" i="13"/>
  <c r="L206" i="13"/>
  <c r="C207" i="13"/>
  <c r="D207" i="13"/>
  <c r="E207" i="13"/>
  <c r="F207" i="13"/>
  <c r="G207" i="13"/>
  <c r="H207" i="13"/>
  <c r="I207" i="13"/>
  <c r="J207" i="13"/>
  <c r="K207" i="13"/>
  <c r="L207" i="13"/>
  <c r="C208" i="13"/>
  <c r="D208" i="13"/>
  <c r="E208" i="13"/>
  <c r="F208" i="13"/>
  <c r="G208" i="13"/>
  <c r="H208" i="13"/>
  <c r="I208" i="13"/>
  <c r="J208" i="13"/>
  <c r="K208" i="13"/>
  <c r="L208" i="13"/>
  <c r="C209" i="13"/>
  <c r="D209" i="13"/>
  <c r="E209" i="13"/>
  <c r="F209" i="13"/>
  <c r="G209" i="13"/>
  <c r="H209" i="13"/>
  <c r="I209" i="13"/>
  <c r="J209" i="13"/>
  <c r="K209" i="13"/>
  <c r="L209" i="13"/>
  <c r="C210" i="13"/>
  <c r="D210" i="13"/>
  <c r="E210" i="13"/>
  <c r="F210" i="13"/>
  <c r="G210" i="13"/>
  <c r="H210" i="13"/>
  <c r="I210" i="13"/>
  <c r="J210" i="13"/>
  <c r="K210" i="13"/>
  <c r="L210" i="13"/>
  <c r="C211" i="13"/>
  <c r="D211" i="13"/>
  <c r="E211" i="13"/>
  <c r="F211" i="13"/>
  <c r="G211" i="13"/>
  <c r="H211" i="13"/>
  <c r="I211" i="13"/>
  <c r="J211" i="13"/>
  <c r="K211" i="13"/>
  <c r="L211" i="13"/>
  <c r="C212" i="13"/>
  <c r="D212" i="13"/>
  <c r="E212" i="13"/>
  <c r="F212" i="13"/>
  <c r="G212" i="13"/>
  <c r="H212" i="13"/>
  <c r="I212" i="13"/>
  <c r="J212" i="13"/>
  <c r="K212" i="13"/>
  <c r="L212" i="13"/>
  <c r="C213" i="13"/>
  <c r="D213" i="13"/>
  <c r="E213" i="13"/>
  <c r="F213" i="13"/>
  <c r="G213" i="13"/>
  <c r="H213" i="13"/>
  <c r="I213" i="13"/>
  <c r="J213" i="13"/>
  <c r="K213" i="13"/>
  <c r="L213" i="13"/>
  <c r="C214" i="13"/>
  <c r="D214" i="13"/>
  <c r="E214" i="13"/>
  <c r="F214" i="13"/>
  <c r="G214" i="13"/>
  <c r="H214" i="13"/>
  <c r="I214" i="13"/>
  <c r="J214" i="13"/>
  <c r="K214" i="13"/>
  <c r="L214" i="13"/>
  <c r="C215" i="13"/>
  <c r="D215" i="13"/>
  <c r="E215" i="13"/>
  <c r="F215" i="13"/>
  <c r="G215" i="13"/>
  <c r="H215" i="13"/>
  <c r="I215" i="13"/>
  <c r="J215" i="13"/>
  <c r="K215" i="13"/>
  <c r="L215" i="13"/>
  <c r="C216" i="13"/>
  <c r="D216" i="13"/>
  <c r="E216" i="13"/>
  <c r="F216" i="13"/>
  <c r="G216" i="13"/>
  <c r="H216" i="13"/>
  <c r="I216" i="13"/>
  <c r="J216" i="13"/>
  <c r="K216" i="13"/>
  <c r="L216" i="13"/>
  <c r="C217" i="13"/>
  <c r="D217" i="13"/>
  <c r="E217" i="13"/>
  <c r="F217" i="13"/>
  <c r="G217" i="13"/>
  <c r="H217" i="13"/>
  <c r="I217" i="13"/>
  <c r="J217" i="13"/>
  <c r="K217" i="13"/>
  <c r="L217" i="13"/>
  <c r="C218" i="13"/>
  <c r="D218" i="13"/>
  <c r="E218" i="13"/>
  <c r="F218" i="13"/>
  <c r="G218" i="13"/>
  <c r="H218" i="13"/>
  <c r="I218" i="13"/>
  <c r="J218" i="13"/>
  <c r="K218" i="13"/>
  <c r="L218" i="13"/>
  <c r="C219" i="13"/>
  <c r="D219" i="13"/>
  <c r="E219" i="13"/>
  <c r="F219" i="13"/>
  <c r="G219" i="13"/>
  <c r="H219" i="13"/>
  <c r="I219" i="13"/>
  <c r="J219" i="13"/>
  <c r="K219" i="13"/>
  <c r="L219" i="13"/>
  <c r="C220" i="13"/>
  <c r="D220" i="13"/>
  <c r="E220" i="13"/>
  <c r="F220" i="13"/>
  <c r="G220" i="13"/>
  <c r="H220" i="13"/>
  <c r="I220" i="13"/>
  <c r="J220" i="13"/>
  <c r="K220" i="13"/>
  <c r="L220" i="13"/>
  <c r="C221" i="13"/>
  <c r="D221" i="13"/>
  <c r="E221" i="13"/>
  <c r="F221" i="13"/>
  <c r="G221" i="13"/>
  <c r="H221" i="13"/>
  <c r="I221" i="13"/>
  <c r="J221" i="13"/>
  <c r="K221" i="13"/>
  <c r="L221" i="13"/>
  <c r="C222" i="13"/>
  <c r="D222" i="13"/>
  <c r="E222" i="13"/>
  <c r="F222" i="13"/>
  <c r="G222" i="13"/>
  <c r="H222" i="13"/>
  <c r="I222" i="13"/>
  <c r="J222" i="13"/>
  <c r="K222" i="13"/>
  <c r="L222" i="13"/>
  <c r="C223" i="13"/>
  <c r="D223" i="13"/>
  <c r="E223" i="13"/>
  <c r="F223" i="13"/>
  <c r="G223" i="13"/>
  <c r="H223" i="13"/>
  <c r="I223" i="13"/>
  <c r="J223" i="13"/>
  <c r="K223" i="13"/>
  <c r="L223" i="13"/>
  <c r="C224" i="13"/>
  <c r="D224" i="13"/>
  <c r="E224" i="13"/>
  <c r="F224" i="13"/>
  <c r="G224" i="13"/>
  <c r="H224" i="13"/>
  <c r="I224" i="13"/>
  <c r="J224" i="13"/>
  <c r="K224" i="13"/>
  <c r="L224" i="13"/>
  <c r="C225" i="13"/>
  <c r="D225" i="13"/>
  <c r="E225" i="13"/>
  <c r="F225" i="13"/>
  <c r="G225" i="13"/>
  <c r="H225" i="13"/>
  <c r="I225" i="13"/>
  <c r="J225" i="13"/>
  <c r="K225" i="13"/>
  <c r="L225" i="13"/>
  <c r="C226" i="13"/>
  <c r="D226" i="13"/>
  <c r="E226" i="13"/>
  <c r="F226" i="13"/>
  <c r="G226" i="13"/>
  <c r="H226" i="13"/>
  <c r="I226" i="13"/>
  <c r="J226" i="13"/>
  <c r="K226" i="13"/>
  <c r="L226" i="13"/>
  <c r="C227" i="13"/>
  <c r="D227" i="13"/>
  <c r="E227" i="13"/>
  <c r="F227" i="13"/>
  <c r="G227" i="13"/>
  <c r="H227" i="13"/>
  <c r="I227" i="13"/>
  <c r="J227" i="13"/>
  <c r="K227" i="13"/>
  <c r="L227" i="13"/>
  <c r="C228" i="13"/>
  <c r="D228" i="13"/>
  <c r="E228" i="13"/>
  <c r="F228" i="13"/>
  <c r="G228" i="13"/>
  <c r="H228" i="13"/>
  <c r="I228" i="13"/>
  <c r="J228" i="13"/>
  <c r="K228" i="13"/>
  <c r="L228" i="13"/>
  <c r="C229" i="13"/>
  <c r="D229" i="13"/>
  <c r="E229" i="13"/>
  <c r="F229" i="13"/>
  <c r="G229" i="13"/>
  <c r="H229" i="13"/>
  <c r="I229" i="13"/>
  <c r="J229" i="13"/>
  <c r="K229" i="13"/>
  <c r="L229" i="13"/>
  <c r="C230" i="13"/>
  <c r="D230" i="13"/>
  <c r="E230" i="13"/>
  <c r="F230" i="13"/>
  <c r="G230" i="13"/>
  <c r="H230" i="13"/>
  <c r="I230" i="13"/>
  <c r="J230" i="13"/>
  <c r="K230" i="13"/>
  <c r="L230" i="13"/>
  <c r="C231" i="13"/>
  <c r="D231" i="13"/>
  <c r="E231" i="13"/>
  <c r="F231" i="13"/>
  <c r="G231" i="13"/>
  <c r="H231" i="13"/>
  <c r="I231" i="13"/>
  <c r="J231" i="13"/>
  <c r="K231" i="13"/>
  <c r="L231" i="13"/>
  <c r="C232" i="13"/>
  <c r="D232" i="13"/>
  <c r="E232" i="13"/>
  <c r="F232" i="13"/>
  <c r="G232" i="13"/>
  <c r="H232" i="13"/>
  <c r="I232" i="13"/>
  <c r="J232" i="13"/>
  <c r="K232" i="13"/>
  <c r="L232" i="13"/>
  <c r="C233" i="13"/>
  <c r="D233" i="13"/>
  <c r="E233" i="13"/>
  <c r="F233" i="13"/>
  <c r="G233" i="13"/>
  <c r="H233" i="13"/>
  <c r="I233" i="13"/>
  <c r="J233" i="13"/>
  <c r="K233" i="13"/>
  <c r="L233" i="13"/>
  <c r="C234" i="13"/>
  <c r="D234" i="13"/>
  <c r="E234" i="13"/>
  <c r="F234" i="13"/>
  <c r="G234" i="13"/>
  <c r="H234" i="13"/>
  <c r="I234" i="13"/>
  <c r="J234" i="13"/>
  <c r="K234" i="13"/>
  <c r="L234" i="13"/>
  <c r="C235" i="13"/>
  <c r="D235" i="13"/>
  <c r="E235" i="13"/>
  <c r="F235" i="13"/>
  <c r="G235" i="13"/>
  <c r="H235" i="13"/>
  <c r="I235" i="13"/>
  <c r="J235" i="13"/>
  <c r="K235" i="13"/>
  <c r="L235" i="13"/>
  <c r="C236" i="13"/>
  <c r="D236" i="13"/>
  <c r="E236" i="13"/>
  <c r="F236" i="13"/>
  <c r="G236" i="13"/>
  <c r="H236" i="13"/>
  <c r="I236" i="13"/>
  <c r="J236" i="13"/>
  <c r="K236" i="13"/>
  <c r="L236" i="13"/>
  <c r="C237" i="13"/>
  <c r="D237" i="13"/>
  <c r="E237" i="13"/>
  <c r="F237" i="13"/>
  <c r="G237" i="13"/>
  <c r="H237" i="13"/>
  <c r="I237" i="13"/>
  <c r="J237" i="13"/>
  <c r="K237" i="13"/>
  <c r="L237" i="13"/>
  <c r="C238" i="13"/>
  <c r="D238" i="13"/>
  <c r="E238" i="13"/>
  <c r="F238" i="13"/>
  <c r="G238" i="13"/>
  <c r="H238" i="13"/>
  <c r="I238" i="13"/>
  <c r="J238" i="13"/>
  <c r="K238" i="13"/>
  <c r="L238" i="13"/>
  <c r="C239" i="13"/>
  <c r="D239" i="13"/>
  <c r="E239" i="13"/>
  <c r="F239" i="13"/>
  <c r="G239" i="13"/>
  <c r="H239" i="13"/>
  <c r="I239" i="13"/>
  <c r="J239" i="13"/>
  <c r="K239" i="13"/>
  <c r="L239" i="13"/>
  <c r="C240" i="13"/>
  <c r="D240" i="13"/>
  <c r="E240" i="13"/>
  <c r="F240" i="13"/>
  <c r="G240" i="13"/>
  <c r="H240" i="13"/>
  <c r="I240" i="13"/>
  <c r="J240" i="13"/>
  <c r="K240" i="13"/>
  <c r="L240" i="13"/>
  <c r="C241" i="13"/>
  <c r="D241" i="13"/>
  <c r="E241" i="13"/>
  <c r="F241" i="13"/>
  <c r="G241" i="13"/>
  <c r="H241" i="13"/>
  <c r="I241" i="13"/>
  <c r="J241" i="13"/>
  <c r="K241" i="13"/>
  <c r="L241" i="13"/>
  <c r="C242" i="13"/>
  <c r="D242" i="13"/>
  <c r="E242" i="13"/>
  <c r="F242" i="13"/>
  <c r="G242" i="13"/>
  <c r="H242" i="13"/>
  <c r="I242" i="13"/>
  <c r="J242" i="13"/>
  <c r="K242" i="13"/>
  <c r="L242" i="13"/>
  <c r="C243" i="13"/>
  <c r="D243" i="13"/>
  <c r="E243" i="13"/>
  <c r="F243" i="13"/>
  <c r="G243" i="13"/>
  <c r="H243" i="13"/>
  <c r="I243" i="13"/>
  <c r="J243" i="13"/>
  <c r="K243" i="13"/>
  <c r="L243" i="13"/>
  <c r="C244" i="13"/>
  <c r="D244" i="13"/>
  <c r="E244" i="13"/>
  <c r="F244" i="13"/>
  <c r="G244" i="13"/>
  <c r="H244" i="13"/>
  <c r="I244" i="13"/>
  <c r="J244" i="13"/>
  <c r="K244" i="13"/>
  <c r="L244" i="13"/>
  <c r="C245" i="13"/>
  <c r="D245" i="13"/>
  <c r="E245" i="13"/>
  <c r="F245" i="13"/>
  <c r="G245" i="13"/>
  <c r="H245" i="13"/>
  <c r="I245" i="13"/>
  <c r="J245" i="13"/>
  <c r="K245" i="13"/>
  <c r="L245" i="13"/>
  <c r="C246" i="13"/>
  <c r="D246" i="13"/>
  <c r="E246" i="13"/>
  <c r="F246" i="13"/>
  <c r="G246" i="13"/>
  <c r="H246" i="13"/>
  <c r="I246" i="13"/>
  <c r="J246" i="13"/>
  <c r="K246" i="13"/>
  <c r="L246" i="13"/>
  <c r="C247" i="13"/>
  <c r="D247" i="13"/>
  <c r="E247" i="13"/>
  <c r="F247" i="13"/>
  <c r="G247" i="13"/>
  <c r="H247" i="13"/>
  <c r="I247" i="13"/>
  <c r="J247" i="13"/>
  <c r="K247" i="13"/>
  <c r="L247" i="13"/>
  <c r="C248" i="13"/>
  <c r="D248" i="13"/>
  <c r="E248" i="13"/>
  <c r="F248" i="13"/>
  <c r="G248" i="13"/>
  <c r="H248" i="13"/>
  <c r="I248" i="13"/>
  <c r="J248" i="13"/>
  <c r="K248" i="13"/>
  <c r="L248" i="13"/>
  <c r="C249" i="13"/>
  <c r="D249" i="13"/>
  <c r="E249" i="13"/>
  <c r="F249" i="13"/>
  <c r="G249" i="13"/>
  <c r="H249" i="13"/>
  <c r="I249" i="13"/>
  <c r="J249" i="13"/>
  <c r="K249" i="13"/>
  <c r="L249" i="13"/>
  <c r="C250" i="13"/>
  <c r="D250" i="13"/>
  <c r="E250" i="13"/>
  <c r="F250" i="13"/>
  <c r="G250" i="13"/>
  <c r="H250" i="13"/>
  <c r="I250" i="13"/>
  <c r="J250" i="13"/>
  <c r="K250" i="13"/>
  <c r="L250" i="13"/>
  <c r="C251" i="13"/>
  <c r="D251" i="13"/>
  <c r="E251" i="13"/>
  <c r="F251" i="13"/>
  <c r="G251" i="13"/>
  <c r="H251" i="13"/>
  <c r="I251" i="13"/>
  <c r="J251" i="13"/>
  <c r="K251" i="13"/>
  <c r="L251" i="13"/>
  <c r="C252" i="13"/>
  <c r="D252" i="13"/>
  <c r="E252" i="13"/>
  <c r="F252" i="13"/>
  <c r="G252" i="13"/>
  <c r="H252" i="13"/>
  <c r="I252" i="13"/>
  <c r="J252" i="13"/>
  <c r="K252" i="13"/>
  <c r="L252" i="13"/>
  <c r="C253" i="13"/>
  <c r="D253" i="13"/>
  <c r="E253" i="13"/>
  <c r="F253" i="13"/>
  <c r="G253" i="13"/>
  <c r="H253" i="13"/>
  <c r="I253" i="13"/>
  <c r="J253" i="13"/>
  <c r="K253" i="13"/>
  <c r="L253" i="13"/>
  <c r="C254" i="13"/>
  <c r="D254" i="13"/>
  <c r="E254" i="13"/>
  <c r="F254" i="13"/>
  <c r="G254" i="13"/>
  <c r="H254" i="13"/>
  <c r="I254" i="13"/>
  <c r="J254" i="13"/>
  <c r="K254" i="13"/>
  <c r="L254" i="13"/>
  <c r="C255" i="13"/>
  <c r="D255" i="13"/>
  <c r="E255" i="13"/>
  <c r="F255" i="13"/>
  <c r="G255" i="13"/>
  <c r="H255" i="13"/>
  <c r="I255" i="13"/>
  <c r="J255" i="13"/>
  <c r="K255" i="13"/>
  <c r="L255" i="13"/>
  <c r="C256" i="13"/>
  <c r="D256" i="13"/>
  <c r="E256" i="13"/>
  <c r="F256" i="13"/>
  <c r="G256" i="13"/>
  <c r="H256" i="13"/>
  <c r="I256" i="13"/>
  <c r="J256" i="13"/>
  <c r="K256" i="13"/>
  <c r="L256" i="13"/>
  <c r="C257" i="13"/>
  <c r="D257" i="13"/>
  <c r="E257" i="13"/>
  <c r="F257" i="13"/>
  <c r="G257" i="13"/>
  <c r="H257" i="13"/>
  <c r="I257" i="13"/>
  <c r="J257" i="13"/>
  <c r="K257" i="13"/>
  <c r="L257" i="13"/>
  <c r="C258" i="13"/>
  <c r="D258" i="13"/>
  <c r="E258" i="13"/>
  <c r="F258" i="13"/>
  <c r="G258" i="13"/>
  <c r="H258" i="13"/>
  <c r="I258" i="13"/>
  <c r="J258" i="13"/>
  <c r="K258" i="13"/>
  <c r="L258" i="13"/>
  <c r="C259" i="13"/>
  <c r="D259" i="13"/>
  <c r="E259" i="13"/>
  <c r="F259" i="13"/>
  <c r="G259" i="13"/>
  <c r="H259" i="13"/>
  <c r="I259" i="13"/>
  <c r="J259" i="13"/>
  <c r="K259" i="13"/>
  <c r="L259" i="13"/>
  <c r="C260" i="13"/>
  <c r="D260" i="13"/>
  <c r="E260" i="13"/>
  <c r="F260" i="13"/>
  <c r="G260" i="13"/>
  <c r="H260" i="13"/>
  <c r="I260" i="13"/>
  <c r="J260" i="13"/>
  <c r="K260" i="13"/>
  <c r="L260" i="13"/>
  <c r="C261" i="13"/>
  <c r="D261" i="13"/>
  <c r="E261" i="13"/>
  <c r="F261" i="13"/>
  <c r="G261" i="13"/>
  <c r="H261" i="13"/>
  <c r="I261" i="13"/>
  <c r="J261" i="13"/>
  <c r="K261" i="13"/>
  <c r="L261" i="13"/>
  <c r="C262" i="13"/>
  <c r="D262" i="13"/>
  <c r="E262" i="13"/>
  <c r="F262" i="13"/>
  <c r="G262" i="13"/>
  <c r="H262" i="13"/>
  <c r="I262" i="13"/>
  <c r="J262" i="13"/>
  <c r="K262" i="13"/>
  <c r="L262" i="13"/>
  <c r="C263" i="13"/>
  <c r="D263" i="13"/>
  <c r="E263" i="13"/>
  <c r="F263" i="13"/>
  <c r="G263" i="13"/>
  <c r="H263" i="13"/>
  <c r="I263" i="13"/>
  <c r="J263" i="13"/>
  <c r="K263" i="13"/>
  <c r="L263" i="13"/>
  <c r="C264" i="13"/>
  <c r="D264" i="13"/>
  <c r="E264" i="13"/>
  <c r="F264" i="13"/>
  <c r="G264" i="13"/>
  <c r="H264" i="13"/>
  <c r="I264" i="13"/>
  <c r="J264" i="13"/>
  <c r="K264" i="13"/>
  <c r="L264" i="13"/>
  <c r="C265" i="13"/>
  <c r="D265" i="13"/>
  <c r="E265" i="13"/>
  <c r="F265" i="13"/>
  <c r="G265" i="13"/>
  <c r="H265" i="13"/>
  <c r="I265" i="13"/>
  <c r="J265" i="13"/>
  <c r="K265" i="13"/>
  <c r="L265" i="13"/>
  <c r="C266" i="13"/>
  <c r="D266" i="13"/>
  <c r="E266" i="13"/>
  <c r="F266" i="13"/>
  <c r="G266" i="13"/>
  <c r="H266" i="13"/>
  <c r="I266" i="13"/>
  <c r="J266" i="13"/>
  <c r="K266" i="13"/>
  <c r="L266" i="13"/>
  <c r="C267" i="13"/>
  <c r="D267" i="13"/>
  <c r="E267" i="13"/>
  <c r="F267" i="13"/>
  <c r="G267" i="13"/>
  <c r="H267" i="13"/>
  <c r="I267" i="13"/>
  <c r="J267" i="13"/>
  <c r="K267" i="13"/>
  <c r="L267" i="13"/>
  <c r="C268" i="13"/>
  <c r="D268" i="13"/>
  <c r="E268" i="13"/>
  <c r="F268" i="13"/>
  <c r="G268" i="13"/>
  <c r="H268" i="13"/>
  <c r="I268" i="13"/>
  <c r="J268" i="13"/>
  <c r="K268" i="13"/>
  <c r="L268" i="13"/>
  <c r="C269" i="13"/>
  <c r="D269" i="13"/>
  <c r="E269" i="13"/>
  <c r="F269" i="13"/>
  <c r="G269" i="13"/>
  <c r="H269" i="13"/>
  <c r="I269" i="13"/>
  <c r="J269" i="13"/>
  <c r="K269" i="13"/>
  <c r="L269" i="13"/>
  <c r="C270" i="13"/>
  <c r="D270" i="13"/>
  <c r="E270" i="13"/>
  <c r="F270" i="13"/>
  <c r="G270" i="13"/>
  <c r="H270" i="13"/>
  <c r="I270" i="13"/>
  <c r="J270" i="13"/>
  <c r="K270" i="13"/>
  <c r="L270" i="13"/>
  <c r="C271" i="13"/>
  <c r="D271" i="13"/>
  <c r="E271" i="13"/>
  <c r="F271" i="13"/>
  <c r="G271" i="13"/>
  <c r="H271" i="13"/>
  <c r="I271" i="13"/>
  <c r="J271" i="13"/>
  <c r="K271" i="13"/>
  <c r="L271" i="13"/>
  <c r="C272" i="13"/>
  <c r="D272" i="13"/>
  <c r="E272" i="13"/>
  <c r="F272" i="13"/>
  <c r="G272" i="13"/>
  <c r="H272" i="13"/>
  <c r="I272" i="13"/>
  <c r="J272" i="13"/>
  <c r="K272" i="13"/>
  <c r="L272" i="13"/>
  <c r="C273" i="13"/>
  <c r="D273" i="13"/>
  <c r="E273" i="13"/>
  <c r="F273" i="13"/>
  <c r="G273" i="13"/>
  <c r="H273" i="13"/>
  <c r="I273" i="13"/>
  <c r="J273" i="13"/>
  <c r="K273" i="13"/>
  <c r="L273" i="13"/>
  <c r="C274" i="13"/>
  <c r="D274" i="13"/>
  <c r="E274" i="13"/>
  <c r="F274" i="13"/>
  <c r="G274" i="13"/>
  <c r="H274" i="13"/>
  <c r="I274" i="13"/>
  <c r="J274" i="13"/>
  <c r="K274" i="13"/>
  <c r="L274" i="13"/>
  <c r="C275" i="13"/>
  <c r="D275" i="13"/>
  <c r="E275" i="13"/>
  <c r="F275" i="13"/>
  <c r="G275" i="13"/>
  <c r="H275" i="13"/>
  <c r="I275" i="13"/>
  <c r="J275" i="13"/>
  <c r="K275" i="13"/>
  <c r="L275" i="13"/>
  <c r="C276" i="13"/>
  <c r="D276" i="13"/>
  <c r="E276" i="13"/>
  <c r="F276" i="13"/>
  <c r="G276" i="13"/>
  <c r="H276" i="13"/>
  <c r="I276" i="13"/>
  <c r="J276" i="13"/>
  <c r="K276" i="13"/>
  <c r="L276" i="13"/>
  <c r="C277" i="13"/>
  <c r="D277" i="13"/>
  <c r="E277" i="13"/>
  <c r="F277" i="13"/>
  <c r="G277" i="13"/>
  <c r="H277" i="13"/>
  <c r="I277" i="13"/>
  <c r="J277" i="13"/>
  <c r="K277" i="13"/>
  <c r="L277" i="13"/>
  <c r="C278" i="13"/>
  <c r="D278" i="13"/>
  <c r="E278" i="13"/>
  <c r="F278" i="13"/>
  <c r="G278" i="13"/>
  <c r="H278" i="13"/>
  <c r="I278" i="13"/>
  <c r="J278" i="13"/>
  <c r="K278" i="13"/>
  <c r="L278" i="13"/>
  <c r="C279" i="13"/>
  <c r="D279" i="13"/>
  <c r="E279" i="13"/>
  <c r="F279" i="13"/>
  <c r="G279" i="13"/>
  <c r="H279" i="13"/>
  <c r="I279" i="13"/>
  <c r="J279" i="13"/>
  <c r="K279" i="13"/>
  <c r="L279" i="13"/>
  <c r="C280" i="13"/>
  <c r="D280" i="13"/>
  <c r="E280" i="13"/>
  <c r="F280" i="13"/>
  <c r="G280" i="13"/>
  <c r="H280" i="13"/>
  <c r="I280" i="13"/>
  <c r="J280" i="13"/>
  <c r="K280" i="13"/>
  <c r="L280" i="13"/>
  <c r="C281" i="13"/>
  <c r="D281" i="13"/>
  <c r="E281" i="13"/>
  <c r="F281" i="13"/>
  <c r="G281" i="13"/>
  <c r="H281" i="13"/>
  <c r="I281" i="13"/>
  <c r="J281" i="13"/>
  <c r="K281" i="13"/>
  <c r="L281" i="13"/>
  <c r="C282" i="13"/>
  <c r="D282" i="13"/>
  <c r="E282" i="13"/>
  <c r="F282" i="13"/>
  <c r="G282" i="13"/>
  <c r="H282" i="13"/>
  <c r="I282" i="13"/>
  <c r="J282" i="13"/>
  <c r="K282" i="13"/>
  <c r="L282" i="13"/>
  <c r="C283" i="13"/>
  <c r="D283" i="13"/>
  <c r="E283" i="13"/>
  <c r="F283" i="13"/>
  <c r="G283" i="13"/>
  <c r="H283" i="13"/>
  <c r="I283" i="13"/>
  <c r="J283" i="13"/>
  <c r="K283" i="13"/>
  <c r="L283" i="13"/>
  <c r="C284" i="13"/>
  <c r="D284" i="13"/>
  <c r="E284" i="13"/>
  <c r="F284" i="13"/>
  <c r="G284" i="13"/>
  <c r="H284" i="13"/>
  <c r="I284" i="13"/>
  <c r="J284" i="13"/>
  <c r="K284" i="13"/>
  <c r="L284" i="13"/>
  <c r="C285" i="13"/>
  <c r="D285" i="13"/>
  <c r="E285" i="13"/>
  <c r="F285" i="13"/>
  <c r="G285" i="13"/>
  <c r="H285" i="13"/>
  <c r="I285" i="13"/>
  <c r="J285" i="13"/>
  <c r="K285" i="13"/>
  <c r="L285" i="13"/>
  <c r="C286" i="13"/>
  <c r="D286" i="13"/>
  <c r="E286" i="13"/>
  <c r="F286" i="13"/>
  <c r="G286" i="13"/>
  <c r="H286" i="13"/>
  <c r="I286" i="13"/>
  <c r="J286" i="13"/>
  <c r="K286" i="13"/>
  <c r="L286" i="13"/>
  <c r="C287" i="13"/>
  <c r="D287" i="13"/>
  <c r="E287" i="13"/>
  <c r="F287" i="13"/>
  <c r="G287" i="13"/>
  <c r="H287" i="13"/>
  <c r="I287" i="13"/>
  <c r="J287" i="13"/>
  <c r="K287" i="13"/>
  <c r="L287" i="13"/>
  <c r="C288" i="13"/>
  <c r="D288" i="13"/>
  <c r="E288" i="13"/>
  <c r="F288" i="13"/>
  <c r="G288" i="13"/>
  <c r="H288" i="13"/>
  <c r="I288" i="13"/>
  <c r="J288" i="13"/>
  <c r="K288" i="13"/>
  <c r="L288" i="13"/>
  <c r="C289" i="13"/>
  <c r="D289" i="13"/>
  <c r="E289" i="13"/>
  <c r="F289" i="13"/>
  <c r="G289" i="13"/>
  <c r="H289" i="13"/>
  <c r="I289" i="13"/>
  <c r="J289" i="13"/>
  <c r="K289" i="13"/>
  <c r="L289" i="13"/>
  <c r="C290" i="13"/>
  <c r="D290" i="13"/>
  <c r="E290" i="13"/>
  <c r="F290" i="13"/>
  <c r="G290" i="13"/>
  <c r="H290" i="13"/>
  <c r="I290" i="13"/>
  <c r="J290" i="13"/>
  <c r="K290" i="13"/>
  <c r="L290" i="13"/>
  <c r="C291" i="13"/>
  <c r="D291" i="13"/>
  <c r="E291" i="13"/>
  <c r="F291" i="13"/>
  <c r="G291" i="13"/>
  <c r="H291" i="13"/>
  <c r="I291" i="13"/>
  <c r="J291" i="13"/>
  <c r="K291" i="13"/>
  <c r="L291" i="13"/>
  <c r="C292" i="13"/>
  <c r="D292" i="13"/>
  <c r="E292" i="13"/>
  <c r="F292" i="13"/>
  <c r="G292" i="13"/>
  <c r="H292" i="13"/>
  <c r="I292" i="13"/>
  <c r="J292" i="13"/>
  <c r="K292" i="13"/>
  <c r="L292" i="13"/>
  <c r="C293" i="13"/>
  <c r="D293" i="13"/>
  <c r="E293" i="13"/>
  <c r="F293" i="13"/>
  <c r="G293" i="13"/>
  <c r="H293" i="13"/>
  <c r="I293" i="13"/>
  <c r="J293" i="13"/>
  <c r="K293" i="13"/>
  <c r="L293" i="13"/>
  <c r="C294" i="13"/>
  <c r="D294" i="13"/>
  <c r="E294" i="13"/>
  <c r="F294" i="13"/>
  <c r="G294" i="13"/>
  <c r="H294" i="13"/>
  <c r="I294" i="13"/>
  <c r="J294" i="13"/>
  <c r="K294" i="13"/>
  <c r="L294" i="13"/>
  <c r="C295" i="13"/>
  <c r="D295" i="13"/>
  <c r="E295" i="13"/>
  <c r="F295" i="13"/>
  <c r="G295" i="13"/>
  <c r="H295" i="13"/>
  <c r="I295" i="13"/>
  <c r="J295" i="13"/>
  <c r="K295" i="13"/>
  <c r="L295" i="13"/>
  <c r="C296" i="13"/>
  <c r="D296" i="13"/>
  <c r="E296" i="13"/>
  <c r="F296" i="13"/>
  <c r="G296" i="13"/>
  <c r="H296" i="13"/>
  <c r="I296" i="13"/>
  <c r="J296" i="13"/>
  <c r="K296" i="13"/>
  <c r="L296" i="13"/>
  <c r="C297" i="13"/>
  <c r="D297" i="13"/>
  <c r="E297" i="13"/>
  <c r="F297" i="13"/>
  <c r="G297" i="13"/>
  <c r="H297" i="13"/>
  <c r="I297" i="13"/>
  <c r="J297" i="13"/>
  <c r="K297" i="13"/>
  <c r="L297" i="13"/>
  <c r="C298" i="13"/>
  <c r="D298" i="13"/>
  <c r="E298" i="13"/>
  <c r="F298" i="13"/>
  <c r="G298" i="13"/>
  <c r="H298" i="13"/>
  <c r="I298" i="13"/>
  <c r="J298" i="13"/>
  <c r="K298" i="13"/>
  <c r="L298" i="13"/>
  <c r="C299" i="13"/>
  <c r="D299" i="13"/>
  <c r="E299" i="13"/>
  <c r="F299" i="13"/>
  <c r="G299" i="13"/>
  <c r="H299" i="13"/>
  <c r="I299" i="13"/>
  <c r="J299" i="13"/>
  <c r="K299" i="13"/>
  <c r="L299" i="13"/>
  <c r="C300" i="13"/>
  <c r="D300" i="13"/>
  <c r="E300" i="13"/>
  <c r="F300" i="13"/>
  <c r="G300" i="13"/>
  <c r="H300" i="13"/>
  <c r="I300" i="13"/>
  <c r="J300" i="13"/>
  <c r="K300" i="13"/>
  <c r="L300" i="13"/>
  <c r="C301" i="13"/>
  <c r="D301" i="13"/>
  <c r="E301" i="13"/>
  <c r="F301" i="13"/>
  <c r="G301" i="13"/>
  <c r="H301" i="13"/>
  <c r="I301" i="13"/>
  <c r="J301" i="13"/>
  <c r="K301" i="13"/>
  <c r="L301" i="13"/>
  <c r="C302" i="13"/>
  <c r="D302" i="13"/>
  <c r="E302" i="13"/>
  <c r="F302" i="13"/>
  <c r="G302" i="13"/>
  <c r="H302" i="13"/>
  <c r="I302" i="13"/>
  <c r="J302" i="13"/>
  <c r="K302" i="13"/>
  <c r="L302" i="13"/>
  <c r="C303" i="13"/>
  <c r="D303" i="13"/>
  <c r="E303" i="13"/>
  <c r="F303" i="13"/>
  <c r="G303" i="13"/>
  <c r="H303" i="13"/>
  <c r="I303" i="13"/>
  <c r="J303" i="13"/>
  <c r="K303" i="13"/>
  <c r="L303" i="13"/>
  <c r="C304" i="13"/>
  <c r="D304" i="13"/>
  <c r="E304" i="13"/>
  <c r="F304" i="13"/>
  <c r="G304" i="13"/>
  <c r="H304" i="13"/>
  <c r="I304" i="13"/>
  <c r="J304" i="13"/>
  <c r="K304" i="13"/>
  <c r="L304" i="13"/>
  <c r="C305" i="13"/>
  <c r="D305" i="13"/>
  <c r="E305" i="13"/>
  <c r="F305" i="13"/>
  <c r="G305" i="13"/>
  <c r="H305" i="13"/>
  <c r="I305" i="13"/>
  <c r="J305" i="13"/>
  <c r="K305" i="13"/>
  <c r="L305" i="13"/>
  <c r="C306" i="13"/>
  <c r="D306" i="13"/>
  <c r="E306" i="13"/>
  <c r="F306" i="13"/>
  <c r="G306" i="13"/>
  <c r="H306" i="13"/>
  <c r="I306" i="13"/>
  <c r="J306" i="13"/>
  <c r="K306" i="13"/>
  <c r="L306" i="13"/>
  <c r="C307" i="13"/>
  <c r="D307" i="13"/>
  <c r="E307" i="13"/>
  <c r="F307" i="13"/>
  <c r="G307" i="13"/>
  <c r="H307" i="13"/>
  <c r="I307" i="13"/>
  <c r="J307" i="13"/>
  <c r="K307" i="13"/>
  <c r="L307" i="13"/>
  <c r="C308" i="13"/>
  <c r="D308" i="13"/>
  <c r="E308" i="13"/>
  <c r="F308" i="13"/>
  <c r="G308" i="13"/>
  <c r="H308" i="13"/>
  <c r="I308" i="13"/>
  <c r="J308" i="13"/>
  <c r="K308" i="13"/>
  <c r="L308" i="13"/>
  <c r="C309" i="13"/>
  <c r="D309" i="13"/>
  <c r="E309" i="13"/>
  <c r="F309" i="13"/>
  <c r="G309" i="13"/>
  <c r="H309" i="13"/>
  <c r="I309" i="13"/>
  <c r="J309" i="13"/>
  <c r="K309" i="13"/>
  <c r="L309" i="13"/>
  <c r="C310" i="13"/>
  <c r="D310" i="13"/>
  <c r="E310" i="13"/>
  <c r="F310" i="13"/>
  <c r="G310" i="13"/>
  <c r="H310" i="13"/>
  <c r="I310" i="13"/>
  <c r="J310" i="13"/>
  <c r="K310" i="13"/>
  <c r="L310" i="13"/>
  <c r="C311" i="13"/>
  <c r="D311" i="13"/>
  <c r="E311" i="13"/>
  <c r="F311" i="13"/>
  <c r="G311" i="13"/>
  <c r="H311" i="13"/>
  <c r="I311" i="13"/>
  <c r="J311" i="13"/>
  <c r="K311" i="13"/>
  <c r="L311" i="13"/>
  <c r="J304" i="4"/>
  <c r="M304" i="12" s="1"/>
  <c r="K304" i="4"/>
  <c r="G304" i="12" s="1"/>
  <c r="N308" i="4"/>
  <c r="Q308" i="12" s="1"/>
  <c r="D302" i="11"/>
  <c r="D302" i="4" s="1"/>
  <c r="D302" i="12" s="1"/>
  <c r="E302" i="11"/>
  <c r="E302" i="4" s="1"/>
  <c r="I302" i="12" s="1"/>
  <c r="F302" i="11"/>
  <c r="F302" i="4" s="1"/>
  <c r="E302" i="12" s="1"/>
  <c r="G302" i="11"/>
  <c r="G302" i="4" s="1"/>
  <c r="F302" i="12" s="1"/>
  <c r="H302" i="11"/>
  <c r="H302" i="4" s="1"/>
  <c r="J302" i="12" s="1"/>
  <c r="I302" i="11"/>
  <c r="I302" i="4" s="1"/>
  <c r="L302" i="12" s="1"/>
  <c r="J302" i="11"/>
  <c r="J302" i="4" s="1"/>
  <c r="M302" i="12" s="1"/>
  <c r="K302" i="11"/>
  <c r="K302" i="4" s="1"/>
  <c r="G302" i="12" s="1"/>
  <c r="L302" i="11"/>
  <c r="L302" i="4" s="1"/>
  <c r="N302" i="12" s="1"/>
  <c r="M302" i="11"/>
  <c r="M302" i="4" s="1"/>
  <c r="O302" i="12" s="1"/>
  <c r="N302" i="11"/>
  <c r="N302" i="4" s="1"/>
  <c r="Q302" i="12" s="1"/>
  <c r="O302" i="11"/>
  <c r="O302" i="4" s="1"/>
  <c r="R302" i="12" s="1"/>
  <c r="D303" i="11"/>
  <c r="D303" i="4" s="1"/>
  <c r="D303" i="12" s="1"/>
  <c r="E303" i="11"/>
  <c r="E303" i="4" s="1"/>
  <c r="I303" i="12" s="1"/>
  <c r="F303" i="11"/>
  <c r="F303" i="4" s="1"/>
  <c r="E303" i="12" s="1"/>
  <c r="G303" i="11"/>
  <c r="G303" i="4" s="1"/>
  <c r="F303" i="12" s="1"/>
  <c r="H303" i="11"/>
  <c r="H303" i="4" s="1"/>
  <c r="J303" i="12" s="1"/>
  <c r="I303" i="11"/>
  <c r="I303" i="4" s="1"/>
  <c r="L303" i="12" s="1"/>
  <c r="J303" i="11"/>
  <c r="J303" i="4" s="1"/>
  <c r="M303" i="12" s="1"/>
  <c r="K303" i="11"/>
  <c r="K303" i="4" s="1"/>
  <c r="G303" i="12" s="1"/>
  <c r="L303" i="11"/>
  <c r="L303" i="4" s="1"/>
  <c r="N303" i="12" s="1"/>
  <c r="M303" i="11"/>
  <c r="M303" i="4" s="1"/>
  <c r="O303" i="12" s="1"/>
  <c r="N303" i="11"/>
  <c r="N303" i="4" s="1"/>
  <c r="Q303" i="12" s="1"/>
  <c r="O303" i="11"/>
  <c r="O303" i="4" s="1"/>
  <c r="R303" i="12" s="1"/>
  <c r="D304" i="11"/>
  <c r="D304" i="4" s="1"/>
  <c r="D304" i="12" s="1"/>
  <c r="E304" i="11"/>
  <c r="E304" i="4" s="1"/>
  <c r="I304" i="12" s="1"/>
  <c r="F304" i="11"/>
  <c r="F304" i="4" s="1"/>
  <c r="E304" i="12" s="1"/>
  <c r="G304" i="11"/>
  <c r="G304" i="4" s="1"/>
  <c r="F304" i="12" s="1"/>
  <c r="H304" i="11"/>
  <c r="H304" i="4" s="1"/>
  <c r="J304" i="12" s="1"/>
  <c r="I304" i="11"/>
  <c r="I304" i="4" s="1"/>
  <c r="L304" i="12" s="1"/>
  <c r="J304" i="11"/>
  <c r="K304" i="11"/>
  <c r="L304" i="11"/>
  <c r="L304" i="4" s="1"/>
  <c r="N304" i="12" s="1"/>
  <c r="M304" i="11"/>
  <c r="M304" i="4" s="1"/>
  <c r="O304" i="12" s="1"/>
  <c r="N304" i="11"/>
  <c r="N304" i="4" s="1"/>
  <c r="Q304" i="12" s="1"/>
  <c r="O304" i="11"/>
  <c r="O304" i="4" s="1"/>
  <c r="R304" i="12" s="1"/>
  <c r="D305" i="11"/>
  <c r="D305" i="4" s="1"/>
  <c r="D305" i="12" s="1"/>
  <c r="E305" i="11"/>
  <c r="E305" i="4" s="1"/>
  <c r="I305" i="12" s="1"/>
  <c r="F305" i="11"/>
  <c r="F305" i="4" s="1"/>
  <c r="E305" i="12" s="1"/>
  <c r="G305" i="11"/>
  <c r="G305" i="4" s="1"/>
  <c r="F305" i="12" s="1"/>
  <c r="H305" i="11"/>
  <c r="H305" i="4" s="1"/>
  <c r="J305" i="12" s="1"/>
  <c r="I305" i="11"/>
  <c r="I305" i="4" s="1"/>
  <c r="L305" i="12" s="1"/>
  <c r="J305" i="11"/>
  <c r="J305" i="4" s="1"/>
  <c r="M305" i="12" s="1"/>
  <c r="K305" i="11"/>
  <c r="K305" i="4" s="1"/>
  <c r="G305" i="12" s="1"/>
  <c r="L305" i="11"/>
  <c r="L305" i="4" s="1"/>
  <c r="N305" i="12" s="1"/>
  <c r="M305" i="11"/>
  <c r="M305" i="4" s="1"/>
  <c r="O305" i="12" s="1"/>
  <c r="N305" i="11"/>
  <c r="N305" i="4" s="1"/>
  <c r="Q305" i="12" s="1"/>
  <c r="O305" i="11"/>
  <c r="O305" i="4" s="1"/>
  <c r="R305" i="12" s="1"/>
  <c r="D306" i="11"/>
  <c r="D306" i="4" s="1"/>
  <c r="D306" i="12" s="1"/>
  <c r="E306" i="11"/>
  <c r="E306" i="4" s="1"/>
  <c r="I306" i="12" s="1"/>
  <c r="F306" i="11"/>
  <c r="F306" i="4" s="1"/>
  <c r="E306" i="12" s="1"/>
  <c r="G306" i="11"/>
  <c r="G306" i="4" s="1"/>
  <c r="F306" i="12" s="1"/>
  <c r="H306" i="11"/>
  <c r="H306" i="4" s="1"/>
  <c r="J306" i="12" s="1"/>
  <c r="I306" i="11"/>
  <c r="I306" i="4" s="1"/>
  <c r="L306" i="12" s="1"/>
  <c r="J306" i="11"/>
  <c r="J306" i="4" s="1"/>
  <c r="M306" i="12" s="1"/>
  <c r="K306" i="11"/>
  <c r="K306" i="4" s="1"/>
  <c r="G306" i="12" s="1"/>
  <c r="L306" i="11"/>
  <c r="L306" i="4" s="1"/>
  <c r="N306" i="12" s="1"/>
  <c r="M306" i="11"/>
  <c r="M306" i="4" s="1"/>
  <c r="O306" i="12" s="1"/>
  <c r="N306" i="11"/>
  <c r="N306" i="4" s="1"/>
  <c r="Q306" i="12" s="1"/>
  <c r="O306" i="11"/>
  <c r="O306" i="4" s="1"/>
  <c r="R306" i="12" s="1"/>
  <c r="D307" i="11"/>
  <c r="D307" i="4" s="1"/>
  <c r="D307" i="12" s="1"/>
  <c r="E307" i="11"/>
  <c r="E307" i="4" s="1"/>
  <c r="I307" i="12" s="1"/>
  <c r="F307" i="11"/>
  <c r="F307" i="4" s="1"/>
  <c r="E307" i="12" s="1"/>
  <c r="G307" i="11"/>
  <c r="G307" i="4" s="1"/>
  <c r="F307" i="12" s="1"/>
  <c r="H307" i="11"/>
  <c r="H307" i="4" s="1"/>
  <c r="J307" i="12" s="1"/>
  <c r="I307" i="11"/>
  <c r="I307" i="4" s="1"/>
  <c r="L307" i="12" s="1"/>
  <c r="J307" i="11"/>
  <c r="J307" i="4" s="1"/>
  <c r="M307" i="12" s="1"/>
  <c r="K307" i="11"/>
  <c r="K307" i="4" s="1"/>
  <c r="G307" i="12" s="1"/>
  <c r="L307" i="11"/>
  <c r="L307" i="4" s="1"/>
  <c r="N307" i="12" s="1"/>
  <c r="M307" i="11"/>
  <c r="M307" i="4" s="1"/>
  <c r="O307" i="12" s="1"/>
  <c r="N307" i="11"/>
  <c r="N307" i="4" s="1"/>
  <c r="Q307" i="12" s="1"/>
  <c r="O307" i="11"/>
  <c r="O307" i="4" s="1"/>
  <c r="R307" i="12" s="1"/>
  <c r="D308" i="11"/>
  <c r="D308" i="4" s="1"/>
  <c r="D308" i="12" s="1"/>
  <c r="E308" i="11"/>
  <c r="E308" i="4" s="1"/>
  <c r="I308" i="12" s="1"/>
  <c r="F308" i="11"/>
  <c r="F308" i="4" s="1"/>
  <c r="E308" i="12" s="1"/>
  <c r="G308" i="11"/>
  <c r="G308" i="4" s="1"/>
  <c r="F308" i="12" s="1"/>
  <c r="H308" i="11"/>
  <c r="H308" i="4" s="1"/>
  <c r="J308" i="12" s="1"/>
  <c r="I308" i="11"/>
  <c r="I308" i="4" s="1"/>
  <c r="L308" i="12" s="1"/>
  <c r="J308" i="11"/>
  <c r="J308" i="4" s="1"/>
  <c r="M308" i="12" s="1"/>
  <c r="K308" i="11"/>
  <c r="K308" i="4" s="1"/>
  <c r="G308" i="12" s="1"/>
  <c r="L308" i="11"/>
  <c r="L308" i="4" s="1"/>
  <c r="N308" i="12" s="1"/>
  <c r="M308" i="11"/>
  <c r="M308" i="4" s="1"/>
  <c r="O308" i="12" s="1"/>
  <c r="N308" i="11"/>
  <c r="O308" i="11"/>
  <c r="O308" i="4" s="1"/>
  <c r="R308" i="12" s="1"/>
  <c r="D309" i="11"/>
  <c r="D309" i="4" s="1"/>
  <c r="D309" i="12" s="1"/>
  <c r="E309" i="11"/>
  <c r="E309" i="4" s="1"/>
  <c r="I309" i="12" s="1"/>
  <c r="F309" i="11"/>
  <c r="F309" i="4" s="1"/>
  <c r="E309" i="12" s="1"/>
  <c r="G309" i="11"/>
  <c r="G309" i="4" s="1"/>
  <c r="F309" i="12" s="1"/>
  <c r="H309" i="11"/>
  <c r="H309" i="4" s="1"/>
  <c r="J309" i="12" s="1"/>
  <c r="I309" i="11"/>
  <c r="I309" i="4" s="1"/>
  <c r="L309" i="12" s="1"/>
  <c r="J309" i="11"/>
  <c r="J309" i="4" s="1"/>
  <c r="M309" i="12" s="1"/>
  <c r="K309" i="11"/>
  <c r="K309" i="4" s="1"/>
  <c r="G309" i="12" s="1"/>
  <c r="L309" i="11"/>
  <c r="L309" i="4" s="1"/>
  <c r="N309" i="12" s="1"/>
  <c r="M309" i="11"/>
  <c r="M309" i="4" s="1"/>
  <c r="O309" i="12" s="1"/>
  <c r="N309" i="11"/>
  <c r="N309" i="4" s="1"/>
  <c r="Q309" i="12" s="1"/>
  <c r="O309" i="11"/>
  <c r="O309" i="4" s="1"/>
  <c r="R309" i="12" s="1"/>
  <c r="D310" i="11"/>
  <c r="D310" i="4" s="1"/>
  <c r="D310" i="12" s="1"/>
  <c r="E310" i="11"/>
  <c r="E310" i="4" s="1"/>
  <c r="I310" i="12" s="1"/>
  <c r="F310" i="11"/>
  <c r="F310" i="4" s="1"/>
  <c r="E310" i="12" s="1"/>
  <c r="G310" i="11"/>
  <c r="G310" i="4" s="1"/>
  <c r="F310" i="12" s="1"/>
  <c r="H310" i="11"/>
  <c r="H310" i="4" s="1"/>
  <c r="J310" i="12" s="1"/>
  <c r="I310" i="11"/>
  <c r="I310" i="4" s="1"/>
  <c r="L310" i="12" s="1"/>
  <c r="J310" i="11"/>
  <c r="J310" i="4" s="1"/>
  <c r="M310" i="12" s="1"/>
  <c r="K310" i="11"/>
  <c r="K310" i="4" s="1"/>
  <c r="G310" i="12" s="1"/>
  <c r="L310" i="11"/>
  <c r="L310" i="4" s="1"/>
  <c r="N310" i="12" s="1"/>
  <c r="M310" i="11"/>
  <c r="M310" i="4" s="1"/>
  <c r="O310" i="12" s="1"/>
  <c r="N310" i="11"/>
  <c r="N310" i="4" s="1"/>
  <c r="Q310" i="12" s="1"/>
  <c r="O310" i="11"/>
  <c r="O310" i="4" s="1"/>
  <c r="R310" i="12" s="1"/>
  <c r="D311" i="11"/>
  <c r="D311" i="4" s="1"/>
  <c r="D311" i="12" s="1"/>
  <c r="E311" i="11"/>
  <c r="E311" i="4" s="1"/>
  <c r="I311" i="12" s="1"/>
  <c r="F311" i="11"/>
  <c r="F311" i="4" s="1"/>
  <c r="E311" i="12" s="1"/>
  <c r="G311" i="11"/>
  <c r="G311" i="4" s="1"/>
  <c r="F311" i="12" s="1"/>
  <c r="H311" i="11"/>
  <c r="H311" i="4" s="1"/>
  <c r="J311" i="12" s="1"/>
  <c r="I311" i="11"/>
  <c r="I311" i="4" s="1"/>
  <c r="L311" i="12" s="1"/>
  <c r="J311" i="11"/>
  <c r="J311" i="4" s="1"/>
  <c r="M311" i="12" s="1"/>
  <c r="K311" i="11"/>
  <c r="K311" i="4" s="1"/>
  <c r="G311" i="12" s="1"/>
  <c r="L311" i="11"/>
  <c r="L311" i="4" s="1"/>
  <c r="N311" i="12" s="1"/>
  <c r="M311" i="11"/>
  <c r="M311" i="4" s="1"/>
  <c r="O311" i="12" s="1"/>
  <c r="N311" i="11"/>
  <c r="N311" i="4" s="1"/>
  <c r="Q311" i="12" s="1"/>
  <c r="O311" i="11"/>
  <c r="O311" i="4" s="1"/>
  <c r="R311" i="12" s="1"/>
  <c r="B310" i="13" l="1"/>
  <c r="B302" i="13"/>
  <c r="B305" i="13"/>
  <c r="B311" i="13"/>
  <c r="B309" i="13"/>
  <c r="B308" i="13"/>
  <c r="B307" i="13"/>
  <c r="B306" i="13"/>
  <c r="B304" i="13"/>
  <c r="B303" i="13"/>
  <c r="E2" i="11" l="1"/>
  <c r="E2" i="4" s="1"/>
  <c r="I2" i="12" s="1"/>
  <c r="F2" i="11"/>
  <c r="F2" i="4" s="1"/>
  <c r="E2" i="12" s="1"/>
  <c r="G2" i="11"/>
  <c r="G2" i="4" s="1"/>
  <c r="F2" i="12" s="1"/>
  <c r="H2" i="11"/>
  <c r="H2" i="4" s="1"/>
  <c r="J2" i="12" s="1"/>
  <c r="I2" i="11"/>
  <c r="I2" i="4" s="1"/>
  <c r="L2" i="12" s="1"/>
  <c r="J2" i="11"/>
  <c r="J2" i="4" s="1"/>
  <c r="M2" i="12" s="1"/>
  <c r="K2" i="11"/>
  <c r="K2" i="4" s="1"/>
  <c r="G2" i="12" s="1"/>
  <c r="L2" i="11"/>
  <c r="L2" i="4" s="1"/>
  <c r="N2" i="12" s="1"/>
  <c r="M2" i="11"/>
  <c r="M2" i="4" s="1"/>
  <c r="O2" i="12" s="1"/>
  <c r="N2" i="11"/>
  <c r="N2" i="4" s="1"/>
  <c r="Q2" i="12" s="1"/>
  <c r="O2" i="11"/>
  <c r="O2" i="4" s="1"/>
  <c r="R2" i="12" s="1"/>
  <c r="E3" i="11"/>
  <c r="E3" i="4" s="1"/>
  <c r="I3" i="12" s="1"/>
  <c r="F3" i="11"/>
  <c r="F3" i="4" s="1"/>
  <c r="E3" i="12" s="1"/>
  <c r="G3" i="11"/>
  <c r="G3" i="4" s="1"/>
  <c r="F3" i="12" s="1"/>
  <c r="H3" i="11"/>
  <c r="H3" i="4" s="1"/>
  <c r="J3" i="12" s="1"/>
  <c r="I3" i="11"/>
  <c r="I3" i="4" s="1"/>
  <c r="L3" i="12" s="1"/>
  <c r="J3" i="11"/>
  <c r="J3" i="4" s="1"/>
  <c r="M3" i="12" s="1"/>
  <c r="K3" i="11"/>
  <c r="K3" i="4" s="1"/>
  <c r="G3" i="12" s="1"/>
  <c r="L3" i="11"/>
  <c r="L3" i="4" s="1"/>
  <c r="N3" i="12" s="1"/>
  <c r="M3" i="11"/>
  <c r="M3" i="4" s="1"/>
  <c r="O3" i="12" s="1"/>
  <c r="N3" i="11"/>
  <c r="N3" i="4" s="1"/>
  <c r="Q3" i="12" s="1"/>
  <c r="O3" i="11"/>
  <c r="O3" i="4" s="1"/>
  <c r="R3" i="12" s="1"/>
  <c r="E4" i="11"/>
  <c r="E4" i="4" s="1"/>
  <c r="I4" i="12" s="1"/>
  <c r="F4" i="11"/>
  <c r="F4" i="4" s="1"/>
  <c r="E4" i="12" s="1"/>
  <c r="G4" i="11"/>
  <c r="G4" i="4" s="1"/>
  <c r="F4" i="12" s="1"/>
  <c r="H4" i="11"/>
  <c r="H4" i="4" s="1"/>
  <c r="J4" i="12" s="1"/>
  <c r="I4" i="11"/>
  <c r="I4" i="4" s="1"/>
  <c r="L4" i="12" s="1"/>
  <c r="J4" i="11"/>
  <c r="J4" i="4" s="1"/>
  <c r="M4" i="12" s="1"/>
  <c r="K4" i="11"/>
  <c r="K4" i="4" s="1"/>
  <c r="G4" i="12" s="1"/>
  <c r="L4" i="11"/>
  <c r="L4" i="4" s="1"/>
  <c r="N4" i="12" s="1"/>
  <c r="M4" i="11"/>
  <c r="M4" i="4" s="1"/>
  <c r="O4" i="12" s="1"/>
  <c r="N4" i="11"/>
  <c r="N4" i="4" s="1"/>
  <c r="Q4" i="12" s="1"/>
  <c r="O4" i="11"/>
  <c r="O4" i="4" s="1"/>
  <c r="R4" i="12" s="1"/>
  <c r="E5" i="11"/>
  <c r="E5" i="4" s="1"/>
  <c r="I5" i="12" s="1"/>
  <c r="F5" i="11"/>
  <c r="F5" i="4" s="1"/>
  <c r="E5" i="12" s="1"/>
  <c r="G5" i="11"/>
  <c r="G5" i="4" s="1"/>
  <c r="F5" i="12" s="1"/>
  <c r="H5" i="11"/>
  <c r="H5" i="4" s="1"/>
  <c r="J5" i="12" s="1"/>
  <c r="I5" i="11"/>
  <c r="I5" i="4" s="1"/>
  <c r="L5" i="12" s="1"/>
  <c r="J5" i="11"/>
  <c r="J5" i="4" s="1"/>
  <c r="M5" i="12" s="1"/>
  <c r="K5" i="11"/>
  <c r="K5" i="4" s="1"/>
  <c r="G5" i="12" s="1"/>
  <c r="L5" i="11"/>
  <c r="L5" i="4" s="1"/>
  <c r="N5" i="12" s="1"/>
  <c r="M5" i="11"/>
  <c r="M5" i="4" s="1"/>
  <c r="O5" i="12" s="1"/>
  <c r="N5" i="11"/>
  <c r="N5" i="4" s="1"/>
  <c r="Q5" i="12" s="1"/>
  <c r="O5" i="11"/>
  <c r="O5" i="4" s="1"/>
  <c r="R5" i="12" s="1"/>
  <c r="E6" i="11"/>
  <c r="E6" i="4" s="1"/>
  <c r="I6" i="12" s="1"/>
  <c r="F6" i="11"/>
  <c r="F6" i="4" s="1"/>
  <c r="E6" i="12" s="1"/>
  <c r="G6" i="11"/>
  <c r="G6" i="4" s="1"/>
  <c r="F6" i="12" s="1"/>
  <c r="H6" i="11"/>
  <c r="H6" i="4" s="1"/>
  <c r="J6" i="12" s="1"/>
  <c r="I6" i="11"/>
  <c r="I6" i="4" s="1"/>
  <c r="L6" i="12" s="1"/>
  <c r="J6" i="11"/>
  <c r="J6" i="4" s="1"/>
  <c r="M6" i="12" s="1"/>
  <c r="K6" i="11"/>
  <c r="K6" i="4" s="1"/>
  <c r="G6" i="12" s="1"/>
  <c r="L6" i="11"/>
  <c r="L6" i="4" s="1"/>
  <c r="N6" i="12" s="1"/>
  <c r="M6" i="11"/>
  <c r="M6" i="4" s="1"/>
  <c r="O6" i="12" s="1"/>
  <c r="N6" i="11"/>
  <c r="N6" i="4" s="1"/>
  <c r="Q6" i="12" s="1"/>
  <c r="O6" i="11"/>
  <c r="O6" i="4" s="1"/>
  <c r="R6" i="12" s="1"/>
  <c r="E7" i="11"/>
  <c r="E7" i="4" s="1"/>
  <c r="I7" i="12" s="1"/>
  <c r="F7" i="11"/>
  <c r="F7" i="4" s="1"/>
  <c r="E7" i="12" s="1"/>
  <c r="G7" i="11"/>
  <c r="G7" i="4" s="1"/>
  <c r="F7" i="12" s="1"/>
  <c r="H7" i="11"/>
  <c r="H7" i="4" s="1"/>
  <c r="J7" i="12" s="1"/>
  <c r="I7" i="11"/>
  <c r="I7" i="4" s="1"/>
  <c r="L7" i="12" s="1"/>
  <c r="J7" i="11"/>
  <c r="J7" i="4" s="1"/>
  <c r="M7" i="12" s="1"/>
  <c r="K7" i="11"/>
  <c r="K7" i="4" s="1"/>
  <c r="G7" i="12" s="1"/>
  <c r="L7" i="11"/>
  <c r="L7" i="4" s="1"/>
  <c r="N7" i="12" s="1"/>
  <c r="M7" i="11"/>
  <c r="M7" i="4" s="1"/>
  <c r="O7" i="12" s="1"/>
  <c r="N7" i="11"/>
  <c r="N7" i="4" s="1"/>
  <c r="Q7" i="12" s="1"/>
  <c r="O7" i="11"/>
  <c r="O7" i="4" s="1"/>
  <c r="R7" i="12" s="1"/>
  <c r="E8" i="11"/>
  <c r="E8" i="4" s="1"/>
  <c r="I8" i="12" s="1"/>
  <c r="F8" i="11"/>
  <c r="F8" i="4" s="1"/>
  <c r="E8" i="12" s="1"/>
  <c r="G8" i="11"/>
  <c r="G8" i="4" s="1"/>
  <c r="F8" i="12" s="1"/>
  <c r="H8" i="11"/>
  <c r="H8" i="4" s="1"/>
  <c r="J8" i="12" s="1"/>
  <c r="I8" i="11"/>
  <c r="I8" i="4" s="1"/>
  <c r="L8" i="12" s="1"/>
  <c r="J8" i="11"/>
  <c r="J8" i="4" s="1"/>
  <c r="M8" i="12" s="1"/>
  <c r="K8" i="11"/>
  <c r="K8" i="4" s="1"/>
  <c r="G8" i="12" s="1"/>
  <c r="L8" i="11"/>
  <c r="L8" i="4" s="1"/>
  <c r="N8" i="12" s="1"/>
  <c r="M8" i="11"/>
  <c r="M8" i="4" s="1"/>
  <c r="O8" i="12" s="1"/>
  <c r="N8" i="11"/>
  <c r="N8" i="4" s="1"/>
  <c r="Q8" i="12" s="1"/>
  <c r="O8" i="11"/>
  <c r="O8" i="4" s="1"/>
  <c r="R8" i="12" s="1"/>
  <c r="E9" i="11"/>
  <c r="E9" i="4" s="1"/>
  <c r="I9" i="12" s="1"/>
  <c r="F9" i="11"/>
  <c r="F9" i="4" s="1"/>
  <c r="E9" i="12" s="1"/>
  <c r="G9" i="11"/>
  <c r="G9" i="4" s="1"/>
  <c r="F9" i="12" s="1"/>
  <c r="H9" i="11"/>
  <c r="H9" i="4" s="1"/>
  <c r="J9" i="12" s="1"/>
  <c r="I9" i="11"/>
  <c r="I9" i="4" s="1"/>
  <c r="L9" i="12" s="1"/>
  <c r="J9" i="11"/>
  <c r="J9" i="4" s="1"/>
  <c r="M9" i="12" s="1"/>
  <c r="K9" i="11"/>
  <c r="K9" i="4" s="1"/>
  <c r="G9" i="12" s="1"/>
  <c r="L9" i="11"/>
  <c r="L9" i="4" s="1"/>
  <c r="N9" i="12" s="1"/>
  <c r="M9" i="11"/>
  <c r="M9" i="4" s="1"/>
  <c r="O9" i="12" s="1"/>
  <c r="N9" i="11"/>
  <c r="N9" i="4" s="1"/>
  <c r="Q9" i="12" s="1"/>
  <c r="O9" i="11"/>
  <c r="O9" i="4" s="1"/>
  <c r="R9" i="12" s="1"/>
  <c r="E10" i="11"/>
  <c r="E10" i="4" s="1"/>
  <c r="I10" i="12" s="1"/>
  <c r="F10" i="11"/>
  <c r="F10" i="4" s="1"/>
  <c r="E10" i="12" s="1"/>
  <c r="G10" i="11"/>
  <c r="G10" i="4" s="1"/>
  <c r="F10" i="12" s="1"/>
  <c r="H10" i="11"/>
  <c r="H10" i="4" s="1"/>
  <c r="J10" i="12" s="1"/>
  <c r="I10" i="11"/>
  <c r="I10" i="4" s="1"/>
  <c r="L10" i="12" s="1"/>
  <c r="J10" i="11"/>
  <c r="J10" i="4" s="1"/>
  <c r="M10" i="12" s="1"/>
  <c r="K10" i="11"/>
  <c r="K10" i="4" s="1"/>
  <c r="G10" i="12" s="1"/>
  <c r="L10" i="11"/>
  <c r="L10" i="4" s="1"/>
  <c r="N10" i="12" s="1"/>
  <c r="M10" i="11"/>
  <c r="M10" i="4" s="1"/>
  <c r="O10" i="12" s="1"/>
  <c r="N10" i="11"/>
  <c r="N10" i="4" s="1"/>
  <c r="Q10" i="12" s="1"/>
  <c r="O10" i="11"/>
  <c r="O10" i="4" s="1"/>
  <c r="R10" i="12" s="1"/>
  <c r="E11" i="11"/>
  <c r="E11" i="4" s="1"/>
  <c r="I11" i="12" s="1"/>
  <c r="F11" i="11"/>
  <c r="F11" i="4" s="1"/>
  <c r="E11" i="12" s="1"/>
  <c r="G11" i="11"/>
  <c r="G11" i="4" s="1"/>
  <c r="F11" i="12" s="1"/>
  <c r="H11" i="11"/>
  <c r="H11" i="4" s="1"/>
  <c r="J11" i="12" s="1"/>
  <c r="I11" i="11"/>
  <c r="I11" i="4" s="1"/>
  <c r="L11" i="12" s="1"/>
  <c r="J11" i="11"/>
  <c r="J11" i="4" s="1"/>
  <c r="M11" i="12" s="1"/>
  <c r="K11" i="11"/>
  <c r="K11" i="4" s="1"/>
  <c r="G11" i="12" s="1"/>
  <c r="L11" i="11"/>
  <c r="L11" i="4" s="1"/>
  <c r="N11" i="12" s="1"/>
  <c r="M11" i="11"/>
  <c r="M11" i="4" s="1"/>
  <c r="O11" i="12" s="1"/>
  <c r="N11" i="11"/>
  <c r="N11" i="4" s="1"/>
  <c r="Q11" i="12" s="1"/>
  <c r="O11" i="11"/>
  <c r="O11" i="4" s="1"/>
  <c r="R11" i="12" s="1"/>
  <c r="E12" i="11"/>
  <c r="E12" i="4" s="1"/>
  <c r="I12" i="12" s="1"/>
  <c r="F12" i="11"/>
  <c r="F12" i="4" s="1"/>
  <c r="E12" i="12" s="1"/>
  <c r="G12" i="11"/>
  <c r="G12" i="4" s="1"/>
  <c r="F12" i="12" s="1"/>
  <c r="H12" i="11"/>
  <c r="H12" i="4" s="1"/>
  <c r="J12" i="12" s="1"/>
  <c r="I12" i="11"/>
  <c r="I12" i="4" s="1"/>
  <c r="L12" i="12" s="1"/>
  <c r="J12" i="11"/>
  <c r="J12" i="4" s="1"/>
  <c r="M12" i="12" s="1"/>
  <c r="K12" i="11"/>
  <c r="K12" i="4" s="1"/>
  <c r="G12" i="12" s="1"/>
  <c r="L12" i="11"/>
  <c r="L12" i="4" s="1"/>
  <c r="N12" i="12" s="1"/>
  <c r="M12" i="11"/>
  <c r="M12" i="4" s="1"/>
  <c r="O12" i="12" s="1"/>
  <c r="N12" i="11"/>
  <c r="N12" i="4" s="1"/>
  <c r="Q12" i="12" s="1"/>
  <c r="O12" i="11"/>
  <c r="O12" i="4" s="1"/>
  <c r="R12" i="12" s="1"/>
  <c r="E13" i="11"/>
  <c r="E13" i="4" s="1"/>
  <c r="I13" i="12" s="1"/>
  <c r="F13" i="11"/>
  <c r="F13" i="4" s="1"/>
  <c r="E13" i="12" s="1"/>
  <c r="G13" i="11"/>
  <c r="G13" i="4" s="1"/>
  <c r="F13" i="12" s="1"/>
  <c r="H13" i="11"/>
  <c r="H13" i="4" s="1"/>
  <c r="J13" i="12" s="1"/>
  <c r="I13" i="11"/>
  <c r="I13" i="4" s="1"/>
  <c r="L13" i="12" s="1"/>
  <c r="J13" i="11"/>
  <c r="J13" i="4" s="1"/>
  <c r="M13" i="12" s="1"/>
  <c r="K13" i="11"/>
  <c r="K13" i="4" s="1"/>
  <c r="G13" i="12" s="1"/>
  <c r="L13" i="11"/>
  <c r="L13" i="4" s="1"/>
  <c r="N13" i="12" s="1"/>
  <c r="M13" i="11"/>
  <c r="M13" i="4" s="1"/>
  <c r="O13" i="12" s="1"/>
  <c r="N13" i="11"/>
  <c r="N13" i="4" s="1"/>
  <c r="Q13" i="12" s="1"/>
  <c r="O13" i="11"/>
  <c r="O13" i="4" s="1"/>
  <c r="R13" i="12" s="1"/>
  <c r="E14" i="11"/>
  <c r="E14" i="4" s="1"/>
  <c r="I14" i="12" s="1"/>
  <c r="F14" i="11"/>
  <c r="F14" i="4" s="1"/>
  <c r="E14" i="12" s="1"/>
  <c r="G14" i="11"/>
  <c r="G14" i="4" s="1"/>
  <c r="F14" i="12" s="1"/>
  <c r="H14" i="11"/>
  <c r="H14" i="4" s="1"/>
  <c r="J14" i="12" s="1"/>
  <c r="I14" i="11"/>
  <c r="I14" i="4" s="1"/>
  <c r="L14" i="12" s="1"/>
  <c r="J14" i="11"/>
  <c r="J14" i="4" s="1"/>
  <c r="M14" i="12" s="1"/>
  <c r="K14" i="11"/>
  <c r="K14" i="4" s="1"/>
  <c r="G14" i="12" s="1"/>
  <c r="L14" i="11"/>
  <c r="L14" i="4" s="1"/>
  <c r="N14" i="12" s="1"/>
  <c r="M14" i="11"/>
  <c r="M14" i="4" s="1"/>
  <c r="O14" i="12" s="1"/>
  <c r="N14" i="11"/>
  <c r="N14" i="4" s="1"/>
  <c r="Q14" i="12" s="1"/>
  <c r="O14" i="11"/>
  <c r="O14" i="4" s="1"/>
  <c r="R14" i="12" s="1"/>
  <c r="E15" i="11"/>
  <c r="E15" i="4" s="1"/>
  <c r="I15" i="12" s="1"/>
  <c r="F15" i="11"/>
  <c r="F15" i="4" s="1"/>
  <c r="E15" i="12" s="1"/>
  <c r="G15" i="11"/>
  <c r="G15" i="4" s="1"/>
  <c r="F15" i="12" s="1"/>
  <c r="H15" i="11"/>
  <c r="H15" i="4" s="1"/>
  <c r="J15" i="12" s="1"/>
  <c r="I15" i="11"/>
  <c r="I15" i="4" s="1"/>
  <c r="L15" i="12" s="1"/>
  <c r="J15" i="11"/>
  <c r="J15" i="4" s="1"/>
  <c r="M15" i="12" s="1"/>
  <c r="K15" i="11"/>
  <c r="K15" i="4" s="1"/>
  <c r="G15" i="12" s="1"/>
  <c r="L15" i="11"/>
  <c r="L15" i="4" s="1"/>
  <c r="N15" i="12" s="1"/>
  <c r="M15" i="11"/>
  <c r="M15" i="4" s="1"/>
  <c r="O15" i="12" s="1"/>
  <c r="N15" i="11"/>
  <c r="N15" i="4" s="1"/>
  <c r="Q15" i="12" s="1"/>
  <c r="O15" i="11"/>
  <c r="O15" i="4" s="1"/>
  <c r="R15" i="12" s="1"/>
  <c r="E16" i="11"/>
  <c r="E16" i="4" s="1"/>
  <c r="I16" i="12" s="1"/>
  <c r="F16" i="11"/>
  <c r="F16" i="4" s="1"/>
  <c r="E16" i="12" s="1"/>
  <c r="G16" i="11"/>
  <c r="G16" i="4" s="1"/>
  <c r="F16" i="12" s="1"/>
  <c r="H16" i="11"/>
  <c r="H16" i="4" s="1"/>
  <c r="J16" i="12" s="1"/>
  <c r="I16" i="11"/>
  <c r="I16" i="4" s="1"/>
  <c r="L16" i="12" s="1"/>
  <c r="J16" i="11"/>
  <c r="J16" i="4" s="1"/>
  <c r="M16" i="12" s="1"/>
  <c r="K16" i="11"/>
  <c r="K16" i="4" s="1"/>
  <c r="G16" i="12" s="1"/>
  <c r="L16" i="11"/>
  <c r="L16" i="4" s="1"/>
  <c r="N16" i="12" s="1"/>
  <c r="M16" i="11"/>
  <c r="M16" i="4" s="1"/>
  <c r="O16" i="12" s="1"/>
  <c r="N16" i="11"/>
  <c r="N16" i="4" s="1"/>
  <c r="Q16" i="12" s="1"/>
  <c r="O16" i="11"/>
  <c r="O16" i="4" s="1"/>
  <c r="R16" i="12" s="1"/>
  <c r="E17" i="11"/>
  <c r="E17" i="4" s="1"/>
  <c r="I17" i="12" s="1"/>
  <c r="F17" i="11"/>
  <c r="F17" i="4" s="1"/>
  <c r="E17" i="12" s="1"/>
  <c r="G17" i="11"/>
  <c r="G17" i="4" s="1"/>
  <c r="F17" i="12" s="1"/>
  <c r="H17" i="11"/>
  <c r="H17" i="4" s="1"/>
  <c r="J17" i="12" s="1"/>
  <c r="I17" i="11"/>
  <c r="I17" i="4" s="1"/>
  <c r="L17" i="12" s="1"/>
  <c r="J17" i="11"/>
  <c r="J17" i="4" s="1"/>
  <c r="M17" i="12" s="1"/>
  <c r="K17" i="11"/>
  <c r="K17" i="4" s="1"/>
  <c r="G17" i="12" s="1"/>
  <c r="L17" i="11"/>
  <c r="L17" i="4" s="1"/>
  <c r="N17" i="12" s="1"/>
  <c r="M17" i="11"/>
  <c r="M17" i="4" s="1"/>
  <c r="O17" i="12" s="1"/>
  <c r="N17" i="11"/>
  <c r="N17" i="4" s="1"/>
  <c r="Q17" i="12" s="1"/>
  <c r="O17" i="11"/>
  <c r="O17" i="4" s="1"/>
  <c r="R17" i="12" s="1"/>
  <c r="E18" i="11"/>
  <c r="E18" i="4" s="1"/>
  <c r="I18" i="12" s="1"/>
  <c r="F18" i="11"/>
  <c r="F18" i="4" s="1"/>
  <c r="E18" i="12" s="1"/>
  <c r="G18" i="11"/>
  <c r="G18" i="4" s="1"/>
  <c r="F18" i="12" s="1"/>
  <c r="H18" i="11"/>
  <c r="H18" i="4" s="1"/>
  <c r="J18" i="12" s="1"/>
  <c r="I18" i="11"/>
  <c r="I18" i="4" s="1"/>
  <c r="L18" i="12" s="1"/>
  <c r="J18" i="11"/>
  <c r="J18" i="4" s="1"/>
  <c r="M18" i="12" s="1"/>
  <c r="K18" i="11"/>
  <c r="K18" i="4" s="1"/>
  <c r="G18" i="12" s="1"/>
  <c r="L18" i="11"/>
  <c r="L18" i="4" s="1"/>
  <c r="N18" i="12" s="1"/>
  <c r="M18" i="11"/>
  <c r="M18" i="4" s="1"/>
  <c r="O18" i="12" s="1"/>
  <c r="N18" i="11"/>
  <c r="N18" i="4" s="1"/>
  <c r="Q18" i="12" s="1"/>
  <c r="O18" i="11"/>
  <c r="O18" i="4" s="1"/>
  <c r="R18" i="12" s="1"/>
  <c r="E19" i="11"/>
  <c r="E19" i="4" s="1"/>
  <c r="I19" i="12" s="1"/>
  <c r="F19" i="11"/>
  <c r="F19" i="4" s="1"/>
  <c r="E19" i="12" s="1"/>
  <c r="G19" i="11"/>
  <c r="G19" i="4" s="1"/>
  <c r="F19" i="12" s="1"/>
  <c r="H19" i="11"/>
  <c r="H19" i="4" s="1"/>
  <c r="J19" i="12" s="1"/>
  <c r="I19" i="11"/>
  <c r="I19" i="4" s="1"/>
  <c r="L19" i="12" s="1"/>
  <c r="J19" i="11"/>
  <c r="J19" i="4" s="1"/>
  <c r="M19" i="12" s="1"/>
  <c r="K19" i="11"/>
  <c r="K19" i="4" s="1"/>
  <c r="G19" i="12" s="1"/>
  <c r="L19" i="11"/>
  <c r="L19" i="4" s="1"/>
  <c r="N19" i="12" s="1"/>
  <c r="M19" i="11"/>
  <c r="M19" i="4" s="1"/>
  <c r="O19" i="12" s="1"/>
  <c r="N19" i="11"/>
  <c r="N19" i="4" s="1"/>
  <c r="Q19" i="12" s="1"/>
  <c r="O19" i="11"/>
  <c r="O19" i="4" s="1"/>
  <c r="R19" i="12" s="1"/>
  <c r="E20" i="11"/>
  <c r="E20" i="4" s="1"/>
  <c r="I20" i="12" s="1"/>
  <c r="F20" i="11"/>
  <c r="F20" i="4" s="1"/>
  <c r="E20" i="12" s="1"/>
  <c r="G20" i="11"/>
  <c r="G20" i="4" s="1"/>
  <c r="F20" i="12" s="1"/>
  <c r="H20" i="11"/>
  <c r="H20" i="4" s="1"/>
  <c r="J20" i="12" s="1"/>
  <c r="I20" i="11"/>
  <c r="I20" i="4" s="1"/>
  <c r="L20" i="12" s="1"/>
  <c r="J20" i="11"/>
  <c r="J20" i="4" s="1"/>
  <c r="M20" i="12" s="1"/>
  <c r="K20" i="11"/>
  <c r="K20" i="4" s="1"/>
  <c r="G20" i="12" s="1"/>
  <c r="L20" i="11"/>
  <c r="L20" i="4" s="1"/>
  <c r="N20" i="12" s="1"/>
  <c r="M20" i="11"/>
  <c r="M20" i="4" s="1"/>
  <c r="O20" i="12" s="1"/>
  <c r="N20" i="11"/>
  <c r="N20" i="4" s="1"/>
  <c r="Q20" i="12" s="1"/>
  <c r="O20" i="11"/>
  <c r="O20" i="4" s="1"/>
  <c r="R20" i="12" s="1"/>
  <c r="E21" i="11"/>
  <c r="E21" i="4" s="1"/>
  <c r="I21" i="12" s="1"/>
  <c r="F21" i="11"/>
  <c r="F21" i="4" s="1"/>
  <c r="E21" i="12" s="1"/>
  <c r="G21" i="11"/>
  <c r="G21" i="4" s="1"/>
  <c r="F21" i="12" s="1"/>
  <c r="H21" i="11"/>
  <c r="H21" i="4" s="1"/>
  <c r="J21" i="12" s="1"/>
  <c r="I21" i="11"/>
  <c r="I21" i="4" s="1"/>
  <c r="L21" i="12" s="1"/>
  <c r="J21" i="11"/>
  <c r="J21" i="4" s="1"/>
  <c r="M21" i="12" s="1"/>
  <c r="K21" i="11"/>
  <c r="K21" i="4" s="1"/>
  <c r="G21" i="12" s="1"/>
  <c r="L21" i="11"/>
  <c r="L21" i="4" s="1"/>
  <c r="N21" i="12" s="1"/>
  <c r="M21" i="11"/>
  <c r="M21" i="4" s="1"/>
  <c r="O21" i="12" s="1"/>
  <c r="N21" i="11"/>
  <c r="N21" i="4" s="1"/>
  <c r="Q21" i="12" s="1"/>
  <c r="O21" i="11"/>
  <c r="O21" i="4" s="1"/>
  <c r="R21" i="12" s="1"/>
  <c r="E22" i="11"/>
  <c r="E22" i="4" s="1"/>
  <c r="I22" i="12" s="1"/>
  <c r="F22" i="11"/>
  <c r="F22" i="4" s="1"/>
  <c r="E22" i="12" s="1"/>
  <c r="G22" i="11"/>
  <c r="G22" i="4" s="1"/>
  <c r="F22" i="12" s="1"/>
  <c r="H22" i="11"/>
  <c r="H22" i="4" s="1"/>
  <c r="J22" i="12" s="1"/>
  <c r="I22" i="11"/>
  <c r="I22" i="4" s="1"/>
  <c r="L22" i="12" s="1"/>
  <c r="J22" i="11"/>
  <c r="J22" i="4" s="1"/>
  <c r="M22" i="12" s="1"/>
  <c r="K22" i="11"/>
  <c r="K22" i="4" s="1"/>
  <c r="G22" i="12" s="1"/>
  <c r="L22" i="11"/>
  <c r="L22" i="4" s="1"/>
  <c r="N22" i="12" s="1"/>
  <c r="M22" i="11"/>
  <c r="M22" i="4" s="1"/>
  <c r="O22" i="12" s="1"/>
  <c r="N22" i="11"/>
  <c r="N22" i="4" s="1"/>
  <c r="Q22" i="12" s="1"/>
  <c r="O22" i="11"/>
  <c r="O22" i="4" s="1"/>
  <c r="R22" i="12" s="1"/>
  <c r="E23" i="11"/>
  <c r="E23" i="4" s="1"/>
  <c r="I23" i="12" s="1"/>
  <c r="F23" i="11"/>
  <c r="F23" i="4" s="1"/>
  <c r="E23" i="12" s="1"/>
  <c r="G23" i="11"/>
  <c r="G23" i="4" s="1"/>
  <c r="F23" i="12" s="1"/>
  <c r="H23" i="11"/>
  <c r="H23" i="4" s="1"/>
  <c r="J23" i="12" s="1"/>
  <c r="I23" i="11"/>
  <c r="I23" i="4" s="1"/>
  <c r="L23" i="12" s="1"/>
  <c r="J23" i="11"/>
  <c r="J23" i="4" s="1"/>
  <c r="M23" i="12" s="1"/>
  <c r="K23" i="11"/>
  <c r="K23" i="4" s="1"/>
  <c r="G23" i="12" s="1"/>
  <c r="L23" i="11"/>
  <c r="L23" i="4" s="1"/>
  <c r="N23" i="12" s="1"/>
  <c r="M23" i="11"/>
  <c r="M23" i="4" s="1"/>
  <c r="O23" i="12" s="1"/>
  <c r="N23" i="11"/>
  <c r="N23" i="4" s="1"/>
  <c r="Q23" i="12" s="1"/>
  <c r="O23" i="11"/>
  <c r="O23" i="4" s="1"/>
  <c r="R23" i="12" s="1"/>
  <c r="E24" i="11"/>
  <c r="E24" i="4" s="1"/>
  <c r="I24" i="12" s="1"/>
  <c r="F24" i="11"/>
  <c r="F24" i="4" s="1"/>
  <c r="E24" i="12" s="1"/>
  <c r="G24" i="11"/>
  <c r="G24" i="4" s="1"/>
  <c r="F24" i="12" s="1"/>
  <c r="H24" i="11"/>
  <c r="H24" i="4" s="1"/>
  <c r="J24" i="12" s="1"/>
  <c r="I24" i="11"/>
  <c r="I24" i="4" s="1"/>
  <c r="L24" i="12" s="1"/>
  <c r="J24" i="11"/>
  <c r="J24" i="4" s="1"/>
  <c r="M24" i="12" s="1"/>
  <c r="K24" i="11"/>
  <c r="K24" i="4" s="1"/>
  <c r="G24" i="12" s="1"/>
  <c r="L24" i="11"/>
  <c r="L24" i="4" s="1"/>
  <c r="N24" i="12" s="1"/>
  <c r="M24" i="11"/>
  <c r="M24" i="4" s="1"/>
  <c r="O24" i="12" s="1"/>
  <c r="N24" i="11"/>
  <c r="N24" i="4" s="1"/>
  <c r="Q24" i="12" s="1"/>
  <c r="O24" i="11"/>
  <c r="O24" i="4" s="1"/>
  <c r="R24" i="12" s="1"/>
  <c r="E25" i="11"/>
  <c r="E25" i="4" s="1"/>
  <c r="I25" i="12" s="1"/>
  <c r="F25" i="11"/>
  <c r="F25" i="4" s="1"/>
  <c r="E25" i="12" s="1"/>
  <c r="G25" i="11"/>
  <c r="G25" i="4" s="1"/>
  <c r="F25" i="12" s="1"/>
  <c r="H25" i="11"/>
  <c r="H25" i="4" s="1"/>
  <c r="J25" i="12" s="1"/>
  <c r="I25" i="11"/>
  <c r="I25" i="4" s="1"/>
  <c r="L25" i="12" s="1"/>
  <c r="J25" i="11"/>
  <c r="J25" i="4" s="1"/>
  <c r="M25" i="12" s="1"/>
  <c r="K25" i="11"/>
  <c r="K25" i="4" s="1"/>
  <c r="G25" i="12" s="1"/>
  <c r="L25" i="11"/>
  <c r="L25" i="4" s="1"/>
  <c r="N25" i="12" s="1"/>
  <c r="M25" i="11"/>
  <c r="M25" i="4" s="1"/>
  <c r="O25" i="12" s="1"/>
  <c r="N25" i="11"/>
  <c r="N25" i="4" s="1"/>
  <c r="Q25" i="12" s="1"/>
  <c r="O25" i="11"/>
  <c r="O25" i="4" s="1"/>
  <c r="R25" i="12" s="1"/>
  <c r="E26" i="11"/>
  <c r="E26" i="4" s="1"/>
  <c r="I26" i="12" s="1"/>
  <c r="F26" i="11"/>
  <c r="F26" i="4" s="1"/>
  <c r="E26" i="12" s="1"/>
  <c r="G26" i="11"/>
  <c r="G26" i="4" s="1"/>
  <c r="F26" i="12" s="1"/>
  <c r="H26" i="11"/>
  <c r="H26" i="4" s="1"/>
  <c r="J26" i="12" s="1"/>
  <c r="I26" i="11"/>
  <c r="I26" i="4" s="1"/>
  <c r="L26" i="12" s="1"/>
  <c r="J26" i="11"/>
  <c r="J26" i="4" s="1"/>
  <c r="M26" i="12" s="1"/>
  <c r="K26" i="11"/>
  <c r="K26" i="4" s="1"/>
  <c r="G26" i="12" s="1"/>
  <c r="L26" i="11"/>
  <c r="L26" i="4" s="1"/>
  <c r="N26" i="12" s="1"/>
  <c r="M26" i="11"/>
  <c r="M26" i="4" s="1"/>
  <c r="O26" i="12" s="1"/>
  <c r="N26" i="11"/>
  <c r="N26" i="4" s="1"/>
  <c r="Q26" i="12" s="1"/>
  <c r="O26" i="11"/>
  <c r="O26" i="4" s="1"/>
  <c r="R26" i="12" s="1"/>
  <c r="E27" i="11"/>
  <c r="E27" i="4" s="1"/>
  <c r="I27" i="12" s="1"/>
  <c r="F27" i="11"/>
  <c r="F27" i="4" s="1"/>
  <c r="E27" i="12" s="1"/>
  <c r="G27" i="11"/>
  <c r="G27" i="4" s="1"/>
  <c r="F27" i="12" s="1"/>
  <c r="H27" i="11"/>
  <c r="H27" i="4" s="1"/>
  <c r="J27" i="12" s="1"/>
  <c r="I27" i="11"/>
  <c r="I27" i="4" s="1"/>
  <c r="L27" i="12" s="1"/>
  <c r="J27" i="11"/>
  <c r="J27" i="4" s="1"/>
  <c r="M27" i="12" s="1"/>
  <c r="K27" i="11"/>
  <c r="K27" i="4" s="1"/>
  <c r="G27" i="12" s="1"/>
  <c r="L27" i="11"/>
  <c r="L27" i="4" s="1"/>
  <c r="N27" i="12" s="1"/>
  <c r="M27" i="11"/>
  <c r="M27" i="4" s="1"/>
  <c r="O27" i="12" s="1"/>
  <c r="N27" i="11"/>
  <c r="N27" i="4" s="1"/>
  <c r="Q27" i="12" s="1"/>
  <c r="O27" i="11"/>
  <c r="O27" i="4" s="1"/>
  <c r="R27" i="12" s="1"/>
  <c r="E28" i="11"/>
  <c r="E28" i="4" s="1"/>
  <c r="I28" i="12" s="1"/>
  <c r="F28" i="11"/>
  <c r="F28" i="4" s="1"/>
  <c r="E28" i="12" s="1"/>
  <c r="G28" i="11"/>
  <c r="G28" i="4" s="1"/>
  <c r="F28" i="12" s="1"/>
  <c r="H28" i="11"/>
  <c r="H28" i="4" s="1"/>
  <c r="J28" i="12" s="1"/>
  <c r="I28" i="11"/>
  <c r="I28" i="4" s="1"/>
  <c r="L28" i="12" s="1"/>
  <c r="J28" i="11"/>
  <c r="J28" i="4" s="1"/>
  <c r="M28" i="12" s="1"/>
  <c r="K28" i="11"/>
  <c r="K28" i="4" s="1"/>
  <c r="G28" i="12" s="1"/>
  <c r="L28" i="11"/>
  <c r="L28" i="4" s="1"/>
  <c r="N28" i="12" s="1"/>
  <c r="M28" i="11"/>
  <c r="M28" i="4" s="1"/>
  <c r="O28" i="12" s="1"/>
  <c r="N28" i="11"/>
  <c r="N28" i="4" s="1"/>
  <c r="Q28" i="12" s="1"/>
  <c r="O28" i="11"/>
  <c r="O28" i="4" s="1"/>
  <c r="R28" i="12" s="1"/>
  <c r="E29" i="11"/>
  <c r="E29" i="4" s="1"/>
  <c r="I29" i="12" s="1"/>
  <c r="F29" i="11"/>
  <c r="F29" i="4" s="1"/>
  <c r="E29" i="12" s="1"/>
  <c r="G29" i="11"/>
  <c r="G29" i="4" s="1"/>
  <c r="F29" i="12" s="1"/>
  <c r="H29" i="11"/>
  <c r="H29" i="4" s="1"/>
  <c r="J29" i="12" s="1"/>
  <c r="I29" i="11"/>
  <c r="I29" i="4" s="1"/>
  <c r="L29" i="12" s="1"/>
  <c r="J29" i="11"/>
  <c r="J29" i="4" s="1"/>
  <c r="M29" i="12" s="1"/>
  <c r="K29" i="11"/>
  <c r="K29" i="4" s="1"/>
  <c r="G29" i="12" s="1"/>
  <c r="L29" i="11"/>
  <c r="L29" i="4" s="1"/>
  <c r="N29" i="12" s="1"/>
  <c r="M29" i="11"/>
  <c r="M29" i="4" s="1"/>
  <c r="O29" i="12" s="1"/>
  <c r="N29" i="11"/>
  <c r="N29" i="4" s="1"/>
  <c r="Q29" i="12" s="1"/>
  <c r="O29" i="11"/>
  <c r="O29" i="4" s="1"/>
  <c r="R29" i="12" s="1"/>
  <c r="E30" i="11"/>
  <c r="E30" i="4" s="1"/>
  <c r="I30" i="12" s="1"/>
  <c r="F30" i="11"/>
  <c r="F30" i="4" s="1"/>
  <c r="E30" i="12" s="1"/>
  <c r="G30" i="11"/>
  <c r="G30" i="4" s="1"/>
  <c r="F30" i="12" s="1"/>
  <c r="H30" i="11"/>
  <c r="H30" i="4" s="1"/>
  <c r="J30" i="12" s="1"/>
  <c r="I30" i="11"/>
  <c r="I30" i="4" s="1"/>
  <c r="L30" i="12" s="1"/>
  <c r="J30" i="11"/>
  <c r="J30" i="4" s="1"/>
  <c r="M30" i="12" s="1"/>
  <c r="K30" i="11"/>
  <c r="K30" i="4" s="1"/>
  <c r="G30" i="12" s="1"/>
  <c r="L30" i="11"/>
  <c r="L30" i="4" s="1"/>
  <c r="N30" i="12" s="1"/>
  <c r="M30" i="11"/>
  <c r="M30" i="4" s="1"/>
  <c r="O30" i="12" s="1"/>
  <c r="N30" i="11"/>
  <c r="N30" i="4" s="1"/>
  <c r="Q30" i="12" s="1"/>
  <c r="O30" i="11"/>
  <c r="O30" i="4" s="1"/>
  <c r="R30" i="12" s="1"/>
  <c r="E31" i="11"/>
  <c r="E31" i="4" s="1"/>
  <c r="I31" i="12" s="1"/>
  <c r="F31" i="11"/>
  <c r="F31" i="4" s="1"/>
  <c r="E31" i="12" s="1"/>
  <c r="G31" i="11"/>
  <c r="G31" i="4" s="1"/>
  <c r="F31" i="12" s="1"/>
  <c r="H31" i="11"/>
  <c r="H31" i="4" s="1"/>
  <c r="J31" i="12" s="1"/>
  <c r="I31" i="11"/>
  <c r="I31" i="4" s="1"/>
  <c r="L31" i="12" s="1"/>
  <c r="J31" i="11"/>
  <c r="J31" i="4" s="1"/>
  <c r="M31" i="12" s="1"/>
  <c r="K31" i="11"/>
  <c r="K31" i="4" s="1"/>
  <c r="G31" i="12" s="1"/>
  <c r="L31" i="11"/>
  <c r="L31" i="4" s="1"/>
  <c r="N31" i="12" s="1"/>
  <c r="M31" i="11"/>
  <c r="M31" i="4" s="1"/>
  <c r="O31" i="12" s="1"/>
  <c r="N31" i="11"/>
  <c r="N31" i="4" s="1"/>
  <c r="Q31" i="12" s="1"/>
  <c r="O31" i="11"/>
  <c r="O31" i="4" s="1"/>
  <c r="R31" i="12" s="1"/>
  <c r="E32" i="11"/>
  <c r="E32" i="4" s="1"/>
  <c r="I32" i="12" s="1"/>
  <c r="F32" i="11"/>
  <c r="F32" i="4" s="1"/>
  <c r="E32" i="12" s="1"/>
  <c r="G32" i="11"/>
  <c r="G32" i="4" s="1"/>
  <c r="F32" i="12" s="1"/>
  <c r="H32" i="11"/>
  <c r="H32" i="4" s="1"/>
  <c r="J32" i="12" s="1"/>
  <c r="I32" i="11"/>
  <c r="I32" i="4" s="1"/>
  <c r="L32" i="12" s="1"/>
  <c r="J32" i="11"/>
  <c r="J32" i="4" s="1"/>
  <c r="M32" i="12" s="1"/>
  <c r="K32" i="11"/>
  <c r="K32" i="4" s="1"/>
  <c r="G32" i="12" s="1"/>
  <c r="L32" i="11"/>
  <c r="L32" i="4" s="1"/>
  <c r="N32" i="12" s="1"/>
  <c r="M32" i="11"/>
  <c r="M32" i="4" s="1"/>
  <c r="O32" i="12" s="1"/>
  <c r="N32" i="11"/>
  <c r="N32" i="4" s="1"/>
  <c r="Q32" i="12" s="1"/>
  <c r="O32" i="11"/>
  <c r="O32" i="4" s="1"/>
  <c r="R32" i="12" s="1"/>
  <c r="E33" i="11"/>
  <c r="E33" i="4" s="1"/>
  <c r="I33" i="12" s="1"/>
  <c r="F33" i="11"/>
  <c r="F33" i="4" s="1"/>
  <c r="E33" i="12" s="1"/>
  <c r="G33" i="11"/>
  <c r="G33" i="4" s="1"/>
  <c r="F33" i="12" s="1"/>
  <c r="H33" i="11"/>
  <c r="H33" i="4" s="1"/>
  <c r="J33" i="12" s="1"/>
  <c r="I33" i="11"/>
  <c r="I33" i="4" s="1"/>
  <c r="L33" i="12" s="1"/>
  <c r="J33" i="11"/>
  <c r="J33" i="4" s="1"/>
  <c r="M33" i="12" s="1"/>
  <c r="K33" i="11"/>
  <c r="K33" i="4" s="1"/>
  <c r="G33" i="12" s="1"/>
  <c r="L33" i="11"/>
  <c r="L33" i="4" s="1"/>
  <c r="N33" i="12" s="1"/>
  <c r="M33" i="11"/>
  <c r="M33" i="4" s="1"/>
  <c r="O33" i="12" s="1"/>
  <c r="N33" i="11"/>
  <c r="N33" i="4" s="1"/>
  <c r="Q33" i="12" s="1"/>
  <c r="O33" i="11"/>
  <c r="O33" i="4" s="1"/>
  <c r="R33" i="12" s="1"/>
  <c r="E34" i="11"/>
  <c r="E34" i="4" s="1"/>
  <c r="I34" i="12" s="1"/>
  <c r="F34" i="11"/>
  <c r="F34" i="4" s="1"/>
  <c r="E34" i="12" s="1"/>
  <c r="G34" i="11"/>
  <c r="G34" i="4" s="1"/>
  <c r="F34" i="12" s="1"/>
  <c r="H34" i="11"/>
  <c r="H34" i="4" s="1"/>
  <c r="J34" i="12" s="1"/>
  <c r="I34" i="11"/>
  <c r="I34" i="4" s="1"/>
  <c r="L34" i="12" s="1"/>
  <c r="J34" i="11"/>
  <c r="J34" i="4" s="1"/>
  <c r="M34" i="12" s="1"/>
  <c r="K34" i="11"/>
  <c r="K34" i="4" s="1"/>
  <c r="G34" i="12" s="1"/>
  <c r="L34" i="11"/>
  <c r="L34" i="4" s="1"/>
  <c r="N34" i="12" s="1"/>
  <c r="M34" i="11"/>
  <c r="M34" i="4" s="1"/>
  <c r="O34" i="12" s="1"/>
  <c r="N34" i="11"/>
  <c r="N34" i="4" s="1"/>
  <c r="Q34" i="12" s="1"/>
  <c r="O34" i="11"/>
  <c r="O34" i="4" s="1"/>
  <c r="R34" i="12" s="1"/>
  <c r="E35" i="11"/>
  <c r="E35" i="4" s="1"/>
  <c r="I35" i="12" s="1"/>
  <c r="F35" i="11"/>
  <c r="F35" i="4" s="1"/>
  <c r="E35" i="12" s="1"/>
  <c r="G35" i="11"/>
  <c r="G35" i="4" s="1"/>
  <c r="F35" i="12" s="1"/>
  <c r="H35" i="11"/>
  <c r="H35" i="4" s="1"/>
  <c r="J35" i="12" s="1"/>
  <c r="I35" i="11"/>
  <c r="I35" i="4" s="1"/>
  <c r="L35" i="12" s="1"/>
  <c r="J35" i="11"/>
  <c r="J35" i="4" s="1"/>
  <c r="M35" i="12" s="1"/>
  <c r="K35" i="11"/>
  <c r="K35" i="4" s="1"/>
  <c r="G35" i="12" s="1"/>
  <c r="L35" i="11"/>
  <c r="L35" i="4" s="1"/>
  <c r="N35" i="12" s="1"/>
  <c r="M35" i="11"/>
  <c r="M35" i="4" s="1"/>
  <c r="O35" i="12" s="1"/>
  <c r="N35" i="11"/>
  <c r="N35" i="4" s="1"/>
  <c r="Q35" i="12" s="1"/>
  <c r="O35" i="11"/>
  <c r="O35" i="4" s="1"/>
  <c r="R35" i="12" s="1"/>
  <c r="E36" i="11"/>
  <c r="E36" i="4" s="1"/>
  <c r="I36" i="12" s="1"/>
  <c r="F36" i="11"/>
  <c r="F36" i="4" s="1"/>
  <c r="E36" i="12" s="1"/>
  <c r="G36" i="11"/>
  <c r="G36" i="4" s="1"/>
  <c r="F36" i="12" s="1"/>
  <c r="H36" i="11"/>
  <c r="H36" i="4" s="1"/>
  <c r="J36" i="12" s="1"/>
  <c r="I36" i="11"/>
  <c r="I36" i="4" s="1"/>
  <c r="L36" i="12" s="1"/>
  <c r="J36" i="11"/>
  <c r="J36" i="4" s="1"/>
  <c r="M36" i="12" s="1"/>
  <c r="K36" i="11"/>
  <c r="K36" i="4" s="1"/>
  <c r="G36" i="12" s="1"/>
  <c r="L36" i="11"/>
  <c r="L36" i="4" s="1"/>
  <c r="N36" i="12" s="1"/>
  <c r="M36" i="11"/>
  <c r="M36" i="4" s="1"/>
  <c r="O36" i="12" s="1"/>
  <c r="N36" i="11"/>
  <c r="N36" i="4" s="1"/>
  <c r="Q36" i="12" s="1"/>
  <c r="O36" i="11"/>
  <c r="O36" i="4" s="1"/>
  <c r="R36" i="12" s="1"/>
  <c r="E37" i="11"/>
  <c r="E37" i="4" s="1"/>
  <c r="I37" i="12" s="1"/>
  <c r="F37" i="11"/>
  <c r="F37" i="4" s="1"/>
  <c r="E37" i="12" s="1"/>
  <c r="G37" i="11"/>
  <c r="G37" i="4" s="1"/>
  <c r="F37" i="12" s="1"/>
  <c r="H37" i="11"/>
  <c r="H37" i="4" s="1"/>
  <c r="J37" i="12" s="1"/>
  <c r="I37" i="11"/>
  <c r="I37" i="4" s="1"/>
  <c r="L37" i="12" s="1"/>
  <c r="J37" i="11"/>
  <c r="J37" i="4" s="1"/>
  <c r="M37" i="12" s="1"/>
  <c r="K37" i="11"/>
  <c r="K37" i="4" s="1"/>
  <c r="G37" i="12" s="1"/>
  <c r="L37" i="11"/>
  <c r="L37" i="4" s="1"/>
  <c r="N37" i="12" s="1"/>
  <c r="M37" i="11"/>
  <c r="M37" i="4" s="1"/>
  <c r="O37" i="12" s="1"/>
  <c r="N37" i="11"/>
  <c r="N37" i="4" s="1"/>
  <c r="Q37" i="12" s="1"/>
  <c r="O37" i="11"/>
  <c r="O37" i="4" s="1"/>
  <c r="R37" i="12" s="1"/>
  <c r="E38" i="11"/>
  <c r="E38" i="4" s="1"/>
  <c r="I38" i="12" s="1"/>
  <c r="F38" i="11"/>
  <c r="F38" i="4" s="1"/>
  <c r="E38" i="12" s="1"/>
  <c r="G38" i="11"/>
  <c r="G38" i="4" s="1"/>
  <c r="F38" i="12" s="1"/>
  <c r="H38" i="11"/>
  <c r="H38" i="4" s="1"/>
  <c r="J38" i="12" s="1"/>
  <c r="I38" i="11"/>
  <c r="I38" i="4" s="1"/>
  <c r="L38" i="12" s="1"/>
  <c r="J38" i="11"/>
  <c r="J38" i="4" s="1"/>
  <c r="M38" i="12" s="1"/>
  <c r="K38" i="11"/>
  <c r="K38" i="4" s="1"/>
  <c r="G38" i="12" s="1"/>
  <c r="L38" i="11"/>
  <c r="L38" i="4" s="1"/>
  <c r="N38" i="12" s="1"/>
  <c r="M38" i="11"/>
  <c r="M38" i="4" s="1"/>
  <c r="O38" i="12" s="1"/>
  <c r="N38" i="11"/>
  <c r="N38" i="4" s="1"/>
  <c r="Q38" i="12" s="1"/>
  <c r="O38" i="11"/>
  <c r="O38" i="4" s="1"/>
  <c r="R38" i="12" s="1"/>
  <c r="E39" i="11"/>
  <c r="E39" i="4" s="1"/>
  <c r="I39" i="12" s="1"/>
  <c r="F39" i="11"/>
  <c r="F39" i="4" s="1"/>
  <c r="E39" i="12" s="1"/>
  <c r="G39" i="11"/>
  <c r="G39" i="4" s="1"/>
  <c r="F39" i="12" s="1"/>
  <c r="H39" i="11"/>
  <c r="H39" i="4" s="1"/>
  <c r="J39" i="12" s="1"/>
  <c r="I39" i="11"/>
  <c r="I39" i="4" s="1"/>
  <c r="L39" i="12" s="1"/>
  <c r="J39" i="11"/>
  <c r="J39" i="4" s="1"/>
  <c r="M39" i="12" s="1"/>
  <c r="K39" i="11"/>
  <c r="K39" i="4" s="1"/>
  <c r="G39" i="12" s="1"/>
  <c r="L39" i="11"/>
  <c r="L39" i="4" s="1"/>
  <c r="N39" i="12" s="1"/>
  <c r="M39" i="11"/>
  <c r="M39" i="4" s="1"/>
  <c r="O39" i="12" s="1"/>
  <c r="N39" i="11"/>
  <c r="N39" i="4" s="1"/>
  <c r="Q39" i="12" s="1"/>
  <c r="O39" i="11"/>
  <c r="O39" i="4" s="1"/>
  <c r="R39" i="12" s="1"/>
  <c r="E40" i="11"/>
  <c r="E40" i="4" s="1"/>
  <c r="I40" i="12" s="1"/>
  <c r="F40" i="11"/>
  <c r="F40" i="4" s="1"/>
  <c r="E40" i="12" s="1"/>
  <c r="G40" i="11"/>
  <c r="G40" i="4" s="1"/>
  <c r="F40" i="12" s="1"/>
  <c r="H40" i="11"/>
  <c r="H40" i="4" s="1"/>
  <c r="J40" i="12" s="1"/>
  <c r="I40" i="11"/>
  <c r="I40" i="4" s="1"/>
  <c r="L40" i="12" s="1"/>
  <c r="J40" i="11"/>
  <c r="J40" i="4" s="1"/>
  <c r="M40" i="12" s="1"/>
  <c r="K40" i="11"/>
  <c r="K40" i="4" s="1"/>
  <c r="G40" i="12" s="1"/>
  <c r="L40" i="11"/>
  <c r="L40" i="4" s="1"/>
  <c r="N40" i="12" s="1"/>
  <c r="M40" i="11"/>
  <c r="M40" i="4" s="1"/>
  <c r="O40" i="12" s="1"/>
  <c r="N40" i="11"/>
  <c r="N40" i="4" s="1"/>
  <c r="Q40" i="12" s="1"/>
  <c r="O40" i="11"/>
  <c r="O40" i="4" s="1"/>
  <c r="R40" i="12" s="1"/>
  <c r="E41" i="11"/>
  <c r="E41" i="4" s="1"/>
  <c r="I41" i="12" s="1"/>
  <c r="F41" i="11"/>
  <c r="F41" i="4" s="1"/>
  <c r="E41" i="12" s="1"/>
  <c r="G41" i="11"/>
  <c r="G41" i="4" s="1"/>
  <c r="F41" i="12" s="1"/>
  <c r="H41" i="11"/>
  <c r="H41" i="4" s="1"/>
  <c r="J41" i="12" s="1"/>
  <c r="I41" i="11"/>
  <c r="I41" i="4" s="1"/>
  <c r="L41" i="12" s="1"/>
  <c r="J41" i="11"/>
  <c r="J41" i="4" s="1"/>
  <c r="M41" i="12" s="1"/>
  <c r="K41" i="11"/>
  <c r="K41" i="4" s="1"/>
  <c r="G41" i="12" s="1"/>
  <c r="L41" i="11"/>
  <c r="L41" i="4" s="1"/>
  <c r="N41" i="12" s="1"/>
  <c r="M41" i="11"/>
  <c r="M41" i="4" s="1"/>
  <c r="O41" i="12" s="1"/>
  <c r="N41" i="11"/>
  <c r="N41" i="4" s="1"/>
  <c r="Q41" i="12" s="1"/>
  <c r="O41" i="11"/>
  <c r="O41" i="4" s="1"/>
  <c r="R41" i="12" s="1"/>
  <c r="E42" i="11"/>
  <c r="E42" i="4" s="1"/>
  <c r="I42" i="12" s="1"/>
  <c r="F42" i="11"/>
  <c r="F42" i="4" s="1"/>
  <c r="E42" i="12" s="1"/>
  <c r="G42" i="11"/>
  <c r="G42" i="4" s="1"/>
  <c r="F42" i="12" s="1"/>
  <c r="H42" i="11"/>
  <c r="H42" i="4" s="1"/>
  <c r="J42" i="12" s="1"/>
  <c r="I42" i="11"/>
  <c r="I42" i="4" s="1"/>
  <c r="L42" i="12" s="1"/>
  <c r="J42" i="11"/>
  <c r="J42" i="4" s="1"/>
  <c r="M42" i="12" s="1"/>
  <c r="K42" i="11"/>
  <c r="K42" i="4" s="1"/>
  <c r="G42" i="12" s="1"/>
  <c r="L42" i="11"/>
  <c r="L42" i="4" s="1"/>
  <c r="N42" i="12" s="1"/>
  <c r="M42" i="11"/>
  <c r="M42" i="4" s="1"/>
  <c r="O42" i="12" s="1"/>
  <c r="N42" i="11"/>
  <c r="N42" i="4" s="1"/>
  <c r="Q42" i="12" s="1"/>
  <c r="O42" i="11"/>
  <c r="O42" i="4" s="1"/>
  <c r="R42" i="12" s="1"/>
  <c r="E43" i="11"/>
  <c r="E43" i="4" s="1"/>
  <c r="I43" i="12" s="1"/>
  <c r="F43" i="11"/>
  <c r="F43" i="4" s="1"/>
  <c r="E43" i="12" s="1"/>
  <c r="G43" i="11"/>
  <c r="G43" i="4" s="1"/>
  <c r="F43" i="12" s="1"/>
  <c r="H43" i="11"/>
  <c r="H43" i="4" s="1"/>
  <c r="J43" i="12" s="1"/>
  <c r="I43" i="11"/>
  <c r="I43" i="4" s="1"/>
  <c r="L43" i="12" s="1"/>
  <c r="J43" i="11"/>
  <c r="J43" i="4" s="1"/>
  <c r="M43" i="12" s="1"/>
  <c r="K43" i="11"/>
  <c r="K43" i="4" s="1"/>
  <c r="G43" i="12" s="1"/>
  <c r="L43" i="11"/>
  <c r="L43" i="4" s="1"/>
  <c r="N43" i="12" s="1"/>
  <c r="M43" i="11"/>
  <c r="M43" i="4" s="1"/>
  <c r="O43" i="12" s="1"/>
  <c r="N43" i="11"/>
  <c r="N43" i="4" s="1"/>
  <c r="Q43" i="12" s="1"/>
  <c r="O43" i="11"/>
  <c r="O43" i="4" s="1"/>
  <c r="R43" i="12" s="1"/>
  <c r="E44" i="11"/>
  <c r="E44" i="4" s="1"/>
  <c r="I44" i="12" s="1"/>
  <c r="F44" i="11"/>
  <c r="F44" i="4" s="1"/>
  <c r="E44" i="12" s="1"/>
  <c r="G44" i="11"/>
  <c r="G44" i="4" s="1"/>
  <c r="F44" i="12" s="1"/>
  <c r="H44" i="11"/>
  <c r="H44" i="4" s="1"/>
  <c r="J44" i="12" s="1"/>
  <c r="I44" i="11"/>
  <c r="I44" i="4" s="1"/>
  <c r="L44" i="12" s="1"/>
  <c r="J44" i="11"/>
  <c r="J44" i="4" s="1"/>
  <c r="M44" i="12" s="1"/>
  <c r="K44" i="11"/>
  <c r="K44" i="4" s="1"/>
  <c r="G44" i="12" s="1"/>
  <c r="L44" i="11"/>
  <c r="L44" i="4" s="1"/>
  <c r="N44" i="12" s="1"/>
  <c r="M44" i="11"/>
  <c r="M44" i="4" s="1"/>
  <c r="O44" i="12" s="1"/>
  <c r="N44" i="11"/>
  <c r="N44" i="4" s="1"/>
  <c r="Q44" i="12" s="1"/>
  <c r="O44" i="11"/>
  <c r="O44" i="4" s="1"/>
  <c r="R44" i="12" s="1"/>
  <c r="E45" i="11"/>
  <c r="E45" i="4" s="1"/>
  <c r="I45" i="12" s="1"/>
  <c r="F45" i="11"/>
  <c r="F45" i="4" s="1"/>
  <c r="E45" i="12" s="1"/>
  <c r="G45" i="11"/>
  <c r="G45" i="4" s="1"/>
  <c r="F45" i="12" s="1"/>
  <c r="H45" i="11"/>
  <c r="H45" i="4" s="1"/>
  <c r="J45" i="12" s="1"/>
  <c r="I45" i="11"/>
  <c r="I45" i="4" s="1"/>
  <c r="L45" i="12" s="1"/>
  <c r="J45" i="11"/>
  <c r="J45" i="4" s="1"/>
  <c r="M45" i="12" s="1"/>
  <c r="K45" i="11"/>
  <c r="K45" i="4" s="1"/>
  <c r="G45" i="12" s="1"/>
  <c r="L45" i="11"/>
  <c r="L45" i="4" s="1"/>
  <c r="N45" i="12" s="1"/>
  <c r="M45" i="11"/>
  <c r="M45" i="4" s="1"/>
  <c r="O45" i="12" s="1"/>
  <c r="N45" i="11"/>
  <c r="N45" i="4" s="1"/>
  <c r="Q45" i="12" s="1"/>
  <c r="O45" i="11"/>
  <c r="O45" i="4" s="1"/>
  <c r="R45" i="12" s="1"/>
  <c r="E46" i="11"/>
  <c r="E46" i="4" s="1"/>
  <c r="I46" i="12" s="1"/>
  <c r="F46" i="11"/>
  <c r="F46" i="4" s="1"/>
  <c r="E46" i="12" s="1"/>
  <c r="G46" i="11"/>
  <c r="G46" i="4" s="1"/>
  <c r="F46" i="12" s="1"/>
  <c r="H46" i="11"/>
  <c r="H46" i="4" s="1"/>
  <c r="J46" i="12" s="1"/>
  <c r="I46" i="11"/>
  <c r="I46" i="4" s="1"/>
  <c r="L46" i="12" s="1"/>
  <c r="J46" i="11"/>
  <c r="J46" i="4" s="1"/>
  <c r="M46" i="12" s="1"/>
  <c r="K46" i="11"/>
  <c r="K46" i="4" s="1"/>
  <c r="G46" i="12" s="1"/>
  <c r="L46" i="11"/>
  <c r="L46" i="4" s="1"/>
  <c r="N46" i="12" s="1"/>
  <c r="M46" i="11"/>
  <c r="M46" i="4" s="1"/>
  <c r="O46" i="12" s="1"/>
  <c r="N46" i="11"/>
  <c r="N46" i="4" s="1"/>
  <c r="Q46" i="12" s="1"/>
  <c r="O46" i="11"/>
  <c r="O46" i="4" s="1"/>
  <c r="R46" i="12" s="1"/>
  <c r="E47" i="11"/>
  <c r="E47" i="4" s="1"/>
  <c r="I47" i="12" s="1"/>
  <c r="F47" i="11"/>
  <c r="F47" i="4" s="1"/>
  <c r="E47" i="12" s="1"/>
  <c r="G47" i="11"/>
  <c r="G47" i="4" s="1"/>
  <c r="F47" i="12" s="1"/>
  <c r="H47" i="11"/>
  <c r="H47" i="4" s="1"/>
  <c r="J47" i="12" s="1"/>
  <c r="I47" i="11"/>
  <c r="I47" i="4" s="1"/>
  <c r="L47" i="12" s="1"/>
  <c r="J47" i="11"/>
  <c r="J47" i="4" s="1"/>
  <c r="M47" i="12" s="1"/>
  <c r="K47" i="11"/>
  <c r="K47" i="4" s="1"/>
  <c r="G47" i="12" s="1"/>
  <c r="L47" i="11"/>
  <c r="L47" i="4" s="1"/>
  <c r="N47" i="12" s="1"/>
  <c r="M47" i="11"/>
  <c r="M47" i="4" s="1"/>
  <c r="O47" i="12" s="1"/>
  <c r="N47" i="11"/>
  <c r="N47" i="4" s="1"/>
  <c r="Q47" i="12" s="1"/>
  <c r="O47" i="11"/>
  <c r="O47" i="4" s="1"/>
  <c r="R47" i="12" s="1"/>
  <c r="E48" i="11"/>
  <c r="E48" i="4" s="1"/>
  <c r="I48" i="12" s="1"/>
  <c r="F48" i="11"/>
  <c r="F48" i="4" s="1"/>
  <c r="E48" i="12" s="1"/>
  <c r="G48" i="11"/>
  <c r="G48" i="4" s="1"/>
  <c r="F48" i="12" s="1"/>
  <c r="H48" i="11"/>
  <c r="H48" i="4" s="1"/>
  <c r="J48" i="12" s="1"/>
  <c r="I48" i="11"/>
  <c r="I48" i="4" s="1"/>
  <c r="L48" i="12" s="1"/>
  <c r="J48" i="11"/>
  <c r="J48" i="4" s="1"/>
  <c r="M48" i="12" s="1"/>
  <c r="K48" i="11"/>
  <c r="K48" i="4" s="1"/>
  <c r="G48" i="12" s="1"/>
  <c r="L48" i="11"/>
  <c r="L48" i="4" s="1"/>
  <c r="N48" i="12" s="1"/>
  <c r="M48" i="11"/>
  <c r="M48" i="4" s="1"/>
  <c r="O48" i="12" s="1"/>
  <c r="N48" i="11"/>
  <c r="N48" i="4" s="1"/>
  <c r="Q48" i="12" s="1"/>
  <c r="O48" i="11"/>
  <c r="O48" i="4" s="1"/>
  <c r="R48" i="12" s="1"/>
  <c r="E49" i="11"/>
  <c r="E49" i="4" s="1"/>
  <c r="I49" i="12" s="1"/>
  <c r="F49" i="11"/>
  <c r="F49" i="4" s="1"/>
  <c r="E49" i="12" s="1"/>
  <c r="G49" i="11"/>
  <c r="G49" i="4" s="1"/>
  <c r="F49" i="12" s="1"/>
  <c r="H49" i="11"/>
  <c r="H49" i="4" s="1"/>
  <c r="J49" i="12" s="1"/>
  <c r="I49" i="11"/>
  <c r="I49" i="4" s="1"/>
  <c r="L49" i="12" s="1"/>
  <c r="J49" i="11"/>
  <c r="J49" i="4" s="1"/>
  <c r="M49" i="12" s="1"/>
  <c r="K49" i="11"/>
  <c r="K49" i="4" s="1"/>
  <c r="G49" i="12" s="1"/>
  <c r="L49" i="11"/>
  <c r="L49" i="4" s="1"/>
  <c r="N49" i="12" s="1"/>
  <c r="M49" i="11"/>
  <c r="M49" i="4" s="1"/>
  <c r="O49" i="12" s="1"/>
  <c r="N49" i="11"/>
  <c r="N49" i="4" s="1"/>
  <c r="Q49" i="12" s="1"/>
  <c r="O49" i="11"/>
  <c r="O49" i="4" s="1"/>
  <c r="R49" i="12" s="1"/>
  <c r="E50" i="11"/>
  <c r="E50" i="4" s="1"/>
  <c r="I50" i="12" s="1"/>
  <c r="F50" i="11"/>
  <c r="F50" i="4" s="1"/>
  <c r="E50" i="12" s="1"/>
  <c r="G50" i="11"/>
  <c r="G50" i="4" s="1"/>
  <c r="F50" i="12" s="1"/>
  <c r="H50" i="11"/>
  <c r="H50" i="4" s="1"/>
  <c r="J50" i="12" s="1"/>
  <c r="I50" i="11"/>
  <c r="I50" i="4" s="1"/>
  <c r="L50" i="12" s="1"/>
  <c r="J50" i="11"/>
  <c r="J50" i="4" s="1"/>
  <c r="M50" i="12" s="1"/>
  <c r="K50" i="11"/>
  <c r="K50" i="4" s="1"/>
  <c r="G50" i="12" s="1"/>
  <c r="L50" i="11"/>
  <c r="L50" i="4" s="1"/>
  <c r="N50" i="12" s="1"/>
  <c r="M50" i="11"/>
  <c r="M50" i="4" s="1"/>
  <c r="O50" i="12" s="1"/>
  <c r="N50" i="11"/>
  <c r="N50" i="4" s="1"/>
  <c r="Q50" i="12" s="1"/>
  <c r="O50" i="11"/>
  <c r="O50" i="4" s="1"/>
  <c r="R50" i="12" s="1"/>
  <c r="E51" i="11"/>
  <c r="E51" i="4" s="1"/>
  <c r="I51" i="12" s="1"/>
  <c r="F51" i="11"/>
  <c r="F51" i="4" s="1"/>
  <c r="E51" i="12" s="1"/>
  <c r="G51" i="11"/>
  <c r="G51" i="4" s="1"/>
  <c r="F51" i="12" s="1"/>
  <c r="H51" i="11"/>
  <c r="H51" i="4" s="1"/>
  <c r="J51" i="12" s="1"/>
  <c r="I51" i="11"/>
  <c r="I51" i="4" s="1"/>
  <c r="L51" i="12" s="1"/>
  <c r="J51" i="11"/>
  <c r="J51" i="4" s="1"/>
  <c r="M51" i="12" s="1"/>
  <c r="K51" i="11"/>
  <c r="K51" i="4" s="1"/>
  <c r="G51" i="12" s="1"/>
  <c r="L51" i="11"/>
  <c r="L51" i="4" s="1"/>
  <c r="N51" i="12" s="1"/>
  <c r="M51" i="11"/>
  <c r="M51" i="4" s="1"/>
  <c r="O51" i="12" s="1"/>
  <c r="N51" i="11"/>
  <c r="N51" i="4" s="1"/>
  <c r="Q51" i="12" s="1"/>
  <c r="O51" i="11"/>
  <c r="O51" i="4" s="1"/>
  <c r="R51" i="12" s="1"/>
  <c r="E52" i="11"/>
  <c r="E52" i="4" s="1"/>
  <c r="I52" i="12" s="1"/>
  <c r="F52" i="11"/>
  <c r="F52" i="4" s="1"/>
  <c r="E52" i="12" s="1"/>
  <c r="G52" i="11"/>
  <c r="G52" i="4" s="1"/>
  <c r="F52" i="12" s="1"/>
  <c r="H52" i="11"/>
  <c r="H52" i="4" s="1"/>
  <c r="J52" i="12" s="1"/>
  <c r="I52" i="11"/>
  <c r="I52" i="4" s="1"/>
  <c r="L52" i="12" s="1"/>
  <c r="J52" i="11"/>
  <c r="J52" i="4" s="1"/>
  <c r="M52" i="12" s="1"/>
  <c r="K52" i="11"/>
  <c r="K52" i="4" s="1"/>
  <c r="G52" i="12" s="1"/>
  <c r="L52" i="11"/>
  <c r="L52" i="4" s="1"/>
  <c r="N52" i="12" s="1"/>
  <c r="M52" i="11"/>
  <c r="M52" i="4" s="1"/>
  <c r="O52" i="12" s="1"/>
  <c r="N52" i="11"/>
  <c r="N52" i="4" s="1"/>
  <c r="Q52" i="12" s="1"/>
  <c r="O52" i="11"/>
  <c r="O52" i="4" s="1"/>
  <c r="R52" i="12" s="1"/>
  <c r="E53" i="11"/>
  <c r="E53" i="4" s="1"/>
  <c r="I53" i="12" s="1"/>
  <c r="F53" i="11"/>
  <c r="F53" i="4" s="1"/>
  <c r="E53" i="12" s="1"/>
  <c r="G53" i="11"/>
  <c r="G53" i="4" s="1"/>
  <c r="F53" i="12" s="1"/>
  <c r="H53" i="11"/>
  <c r="H53" i="4" s="1"/>
  <c r="J53" i="12" s="1"/>
  <c r="I53" i="11"/>
  <c r="I53" i="4" s="1"/>
  <c r="L53" i="12" s="1"/>
  <c r="J53" i="11"/>
  <c r="J53" i="4" s="1"/>
  <c r="M53" i="12" s="1"/>
  <c r="K53" i="11"/>
  <c r="K53" i="4" s="1"/>
  <c r="G53" i="12" s="1"/>
  <c r="L53" i="11"/>
  <c r="L53" i="4" s="1"/>
  <c r="N53" i="12" s="1"/>
  <c r="M53" i="11"/>
  <c r="M53" i="4" s="1"/>
  <c r="O53" i="12" s="1"/>
  <c r="N53" i="11"/>
  <c r="N53" i="4" s="1"/>
  <c r="Q53" i="12" s="1"/>
  <c r="O53" i="11"/>
  <c r="O53" i="4" s="1"/>
  <c r="R53" i="12" s="1"/>
  <c r="E54" i="11"/>
  <c r="E54" i="4" s="1"/>
  <c r="I54" i="12" s="1"/>
  <c r="F54" i="11"/>
  <c r="F54" i="4" s="1"/>
  <c r="E54" i="12" s="1"/>
  <c r="G54" i="11"/>
  <c r="G54" i="4" s="1"/>
  <c r="F54" i="12" s="1"/>
  <c r="H54" i="11"/>
  <c r="H54" i="4" s="1"/>
  <c r="J54" i="12" s="1"/>
  <c r="I54" i="11"/>
  <c r="I54" i="4" s="1"/>
  <c r="L54" i="12" s="1"/>
  <c r="J54" i="11"/>
  <c r="J54" i="4" s="1"/>
  <c r="M54" i="12" s="1"/>
  <c r="K54" i="11"/>
  <c r="K54" i="4" s="1"/>
  <c r="G54" i="12" s="1"/>
  <c r="L54" i="11"/>
  <c r="L54" i="4" s="1"/>
  <c r="N54" i="12" s="1"/>
  <c r="M54" i="11"/>
  <c r="M54" i="4" s="1"/>
  <c r="O54" i="12" s="1"/>
  <c r="N54" i="11"/>
  <c r="N54" i="4" s="1"/>
  <c r="Q54" i="12" s="1"/>
  <c r="O54" i="11"/>
  <c r="O54" i="4" s="1"/>
  <c r="R54" i="12" s="1"/>
  <c r="E55" i="11"/>
  <c r="E55" i="4" s="1"/>
  <c r="I55" i="12" s="1"/>
  <c r="F55" i="11"/>
  <c r="F55" i="4" s="1"/>
  <c r="E55" i="12" s="1"/>
  <c r="G55" i="11"/>
  <c r="G55" i="4" s="1"/>
  <c r="F55" i="12" s="1"/>
  <c r="H55" i="11"/>
  <c r="H55" i="4" s="1"/>
  <c r="J55" i="12" s="1"/>
  <c r="I55" i="11"/>
  <c r="I55" i="4" s="1"/>
  <c r="L55" i="12" s="1"/>
  <c r="J55" i="11"/>
  <c r="J55" i="4" s="1"/>
  <c r="M55" i="12" s="1"/>
  <c r="K55" i="11"/>
  <c r="K55" i="4" s="1"/>
  <c r="G55" i="12" s="1"/>
  <c r="L55" i="11"/>
  <c r="L55" i="4" s="1"/>
  <c r="N55" i="12" s="1"/>
  <c r="M55" i="11"/>
  <c r="M55" i="4" s="1"/>
  <c r="O55" i="12" s="1"/>
  <c r="N55" i="11"/>
  <c r="N55" i="4" s="1"/>
  <c r="Q55" i="12" s="1"/>
  <c r="O55" i="11"/>
  <c r="O55" i="4" s="1"/>
  <c r="R55" i="12" s="1"/>
  <c r="E56" i="11"/>
  <c r="E56" i="4" s="1"/>
  <c r="I56" i="12" s="1"/>
  <c r="F56" i="11"/>
  <c r="F56" i="4" s="1"/>
  <c r="E56" i="12" s="1"/>
  <c r="G56" i="11"/>
  <c r="G56" i="4" s="1"/>
  <c r="F56" i="12" s="1"/>
  <c r="H56" i="11"/>
  <c r="H56" i="4" s="1"/>
  <c r="J56" i="12" s="1"/>
  <c r="I56" i="11"/>
  <c r="I56" i="4" s="1"/>
  <c r="L56" i="12" s="1"/>
  <c r="J56" i="11"/>
  <c r="J56" i="4" s="1"/>
  <c r="M56" i="12" s="1"/>
  <c r="K56" i="11"/>
  <c r="K56" i="4" s="1"/>
  <c r="G56" i="12" s="1"/>
  <c r="L56" i="11"/>
  <c r="L56" i="4" s="1"/>
  <c r="N56" i="12" s="1"/>
  <c r="M56" i="11"/>
  <c r="M56" i="4" s="1"/>
  <c r="O56" i="12" s="1"/>
  <c r="N56" i="11"/>
  <c r="N56" i="4" s="1"/>
  <c r="Q56" i="12" s="1"/>
  <c r="O56" i="11"/>
  <c r="O56" i="4" s="1"/>
  <c r="R56" i="12" s="1"/>
  <c r="E57" i="11"/>
  <c r="E57" i="4" s="1"/>
  <c r="I57" i="12" s="1"/>
  <c r="F57" i="11"/>
  <c r="F57" i="4" s="1"/>
  <c r="E57" i="12" s="1"/>
  <c r="G57" i="11"/>
  <c r="G57" i="4" s="1"/>
  <c r="F57" i="12" s="1"/>
  <c r="H57" i="11"/>
  <c r="H57" i="4" s="1"/>
  <c r="J57" i="12" s="1"/>
  <c r="I57" i="11"/>
  <c r="I57" i="4" s="1"/>
  <c r="L57" i="12" s="1"/>
  <c r="J57" i="11"/>
  <c r="J57" i="4" s="1"/>
  <c r="M57" i="12" s="1"/>
  <c r="K57" i="11"/>
  <c r="K57" i="4" s="1"/>
  <c r="G57" i="12" s="1"/>
  <c r="L57" i="11"/>
  <c r="L57" i="4" s="1"/>
  <c r="N57" i="12" s="1"/>
  <c r="M57" i="11"/>
  <c r="M57" i="4" s="1"/>
  <c r="O57" i="12" s="1"/>
  <c r="N57" i="11"/>
  <c r="N57" i="4" s="1"/>
  <c r="Q57" i="12" s="1"/>
  <c r="O57" i="11"/>
  <c r="O57" i="4" s="1"/>
  <c r="R57" i="12" s="1"/>
  <c r="E58" i="11"/>
  <c r="E58" i="4" s="1"/>
  <c r="I58" i="12" s="1"/>
  <c r="F58" i="11"/>
  <c r="F58" i="4" s="1"/>
  <c r="E58" i="12" s="1"/>
  <c r="G58" i="11"/>
  <c r="G58" i="4" s="1"/>
  <c r="F58" i="12" s="1"/>
  <c r="H58" i="11"/>
  <c r="H58" i="4" s="1"/>
  <c r="J58" i="12" s="1"/>
  <c r="I58" i="11"/>
  <c r="I58" i="4" s="1"/>
  <c r="L58" i="12" s="1"/>
  <c r="J58" i="11"/>
  <c r="J58" i="4" s="1"/>
  <c r="M58" i="12" s="1"/>
  <c r="K58" i="11"/>
  <c r="K58" i="4" s="1"/>
  <c r="G58" i="12" s="1"/>
  <c r="L58" i="11"/>
  <c r="L58" i="4" s="1"/>
  <c r="N58" i="12" s="1"/>
  <c r="M58" i="11"/>
  <c r="M58" i="4" s="1"/>
  <c r="O58" i="12" s="1"/>
  <c r="N58" i="11"/>
  <c r="N58" i="4" s="1"/>
  <c r="Q58" i="12" s="1"/>
  <c r="O58" i="11"/>
  <c r="O58" i="4" s="1"/>
  <c r="R58" i="12" s="1"/>
  <c r="E59" i="11"/>
  <c r="E59" i="4" s="1"/>
  <c r="I59" i="12" s="1"/>
  <c r="F59" i="11"/>
  <c r="F59" i="4" s="1"/>
  <c r="E59" i="12" s="1"/>
  <c r="G59" i="11"/>
  <c r="G59" i="4" s="1"/>
  <c r="F59" i="12" s="1"/>
  <c r="H59" i="11"/>
  <c r="H59" i="4" s="1"/>
  <c r="J59" i="12" s="1"/>
  <c r="I59" i="11"/>
  <c r="I59" i="4" s="1"/>
  <c r="L59" i="12" s="1"/>
  <c r="J59" i="11"/>
  <c r="J59" i="4" s="1"/>
  <c r="M59" i="12" s="1"/>
  <c r="K59" i="11"/>
  <c r="K59" i="4" s="1"/>
  <c r="G59" i="12" s="1"/>
  <c r="L59" i="11"/>
  <c r="L59" i="4" s="1"/>
  <c r="N59" i="12" s="1"/>
  <c r="M59" i="11"/>
  <c r="M59" i="4" s="1"/>
  <c r="O59" i="12" s="1"/>
  <c r="N59" i="11"/>
  <c r="N59" i="4" s="1"/>
  <c r="Q59" i="12" s="1"/>
  <c r="O59" i="11"/>
  <c r="O59" i="4" s="1"/>
  <c r="R59" i="12" s="1"/>
  <c r="E60" i="11"/>
  <c r="E60" i="4" s="1"/>
  <c r="I60" i="12" s="1"/>
  <c r="F60" i="11"/>
  <c r="F60" i="4" s="1"/>
  <c r="E60" i="12" s="1"/>
  <c r="G60" i="11"/>
  <c r="G60" i="4" s="1"/>
  <c r="F60" i="12" s="1"/>
  <c r="H60" i="11"/>
  <c r="H60" i="4" s="1"/>
  <c r="J60" i="12" s="1"/>
  <c r="I60" i="11"/>
  <c r="I60" i="4" s="1"/>
  <c r="L60" i="12" s="1"/>
  <c r="J60" i="11"/>
  <c r="J60" i="4" s="1"/>
  <c r="M60" i="12" s="1"/>
  <c r="K60" i="11"/>
  <c r="K60" i="4" s="1"/>
  <c r="G60" i="12" s="1"/>
  <c r="L60" i="11"/>
  <c r="L60" i="4" s="1"/>
  <c r="N60" i="12" s="1"/>
  <c r="M60" i="11"/>
  <c r="M60" i="4" s="1"/>
  <c r="O60" i="12" s="1"/>
  <c r="N60" i="11"/>
  <c r="N60" i="4" s="1"/>
  <c r="Q60" i="12" s="1"/>
  <c r="O60" i="11"/>
  <c r="O60" i="4" s="1"/>
  <c r="R60" i="12" s="1"/>
  <c r="E61" i="11"/>
  <c r="E61" i="4" s="1"/>
  <c r="I61" i="12" s="1"/>
  <c r="F61" i="11"/>
  <c r="F61" i="4" s="1"/>
  <c r="E61" i="12" s="1"/>
  <c r="G61" i="11"/>
  <c r="G61" i="4" s="1"/>
  <c r="F61" i="12" s="1"/>
  <c r="H61" i="11"/>
  <c r="H61" i="4" s="1"/>
  <c r="J61" i="12" s="1"/>
  <c r="I61" i="11"/>
  <c r="I61" i="4" s="1"/>
  <c r="L61" i="12" s="1"/>
  <c r="J61" i="11"/>
  <c r="J61" i="4" s="1"/>
  <c r="M61" i="12" s="1"/>
  <c r="K61" i="11"/>
  <c r="K61" i="4" s="1"/>
  <c r="G61" i="12" s="1"/>
  <c r="L61" i="11"/>
  <c r="L61" i="4" s="1"/>
  <c r="N61" i="12" s="1"/>
  <c r="M61" i="11"/>
  <c r="M61" i="4" s="1"/>
  <c r="O61" i="12" s="1"/>
  <c r="N61" i="11"/>
  <c r="N61" i="4" s="1"/>
  <c r="Q61" i="12" s="1"/>
  <c r="O61" i="11"/>
  <c r="O61" i="4" s="1"/>
  <c r="R61" i="12" s="1"/>
  <c r="E62" i="11"/>
  <c r="E62" i="4" s="1"/>
  <c r="I62" i="12" s="1"/>
  <c r="F62" i="11"/>
  <c r="F62" i="4" s="1"/>
  <c r="E62" i="12" s="1"/>
  <c r="G62" i="11"/>
  <c r="G62" i="4" s="1"/>
  <c r="F62" i="12" s="1"/>
  <c r="H62" i="11"/>
  <c r="H62" i="4" s="1"/>
  <c r="J62" i="12" s="1"/>
  <c r="I62" i="11"/>
  <c r="I62" i="4" s="1"/>
  <c r="L62" i="12" s="1"/>
  <c r="J62" i="11"/>
  <c r="J62" i="4" s="1"/>
  <c r="M62" i="12" s="1"/>
  <c r="K62" i="11"/>
  <c r="K62" i="4" s="1"/>
  <c r="G62" i="12" s="1"/>
  <c r="L62" i="11"/>
  <c r="L62" i="4" s="1"/>
  <c r="N62" i="12" s="1"/>
  <c r="M62" i="11"/>
  <c r="M62" i="4" s="1"/>
  <c r="O62" i="12" s="1"/>
  <c r="N62" i="11"/>
  <c r="N62" i="4" s="1"/>
  <c r="Q62" i="12" s="1"/>
  <c r="O62" i="11"/>
  <c r="O62" i="4" s="1"/>
  <c r="R62" i="12" s="1"/>
  <c r="E63" i="11"/>
  <c r="E63" i="4" s="1"/>
  <c r="I63" i="12" s="1"/>
  <c r="F63" i="11"/>
  <c r="F63" i="4" s="1"/>
  <c r="E63" i="12" s="1"/>
  <c r="G63" i="11"/>
  <c r="G63" i="4" s="1"/>
  <c r="F63" i="12" s="1"/>
  <c r="H63" i="11"/>
  <c r="H63" i="4" s="1"/>
  <c r="J63" i="12" s="1"/>
  <c r="I63" i="11"/>
  <c r="I63" i="4" s="1"/>
  <c r="L63" i="12" s="1"/>
  <c r="J63" i="11"/>
  <c r="J63" i="4" s="1"/>
  <c r="M63" i="12" s="1"/>
  <c r="K63" i="11"/>
  <c r="K63" i="4" s="1"/>
  <c r="G63" i="12" s="1"/>
  <c r="L63" i="11"/>
  <c r="L63" i="4" s="1"/>
  <c r="N63" i="12" s="1"/>
  <c r="M63" i="11"/>
  <c r="M63" i="4" s="1"/>
  <c r="O63" i="12" s="1"/>
  <c r="N63" i="11"/>
  <c r="N63" i="4" s="1"/>
  <c r="Q63" i="12" s="1"/>
  <c r="O63" i="11"/>
  <c r="O63" i="4" s="1"/>
  <c r="R63" i="12" s="1"/>
  <c r="E64" i="11"/>
  <c r="E64" i="4" s="1"/>
  <c r="I64" i="12" s="1"/>
  <c r="F64" i="11"/>
  <c r="F64" i="4" s="1"/>
  <c r="E64" i="12" s="1"/>
  <c r="G64" i="11"/>
  <c r="G64" i="4" s="1"/>
  <c r="F64" i="12" s="1"/>
  <c r="H64" i="11"/>
  <c r="H64" i="4" s="1"/>
  <c r="J64" i="12" s="1"/>
  <c r="I64" i="11"/>
  <c r="I64" i="4" s="1"/>
  <c r="L64" i="12" s="1"/>
  <c r="J64" i="11"/>
  <c r="J64" i="4" s="1"/>
  <c r="M64" i="12" s="1"/>
  <c r="K64" i="11"/>
  <c r="K64" i="4" s="1"/>
  <c r="G64" i="12" s="1"/>
  <c r="L64" i="11"/>
  <c r="L64" i="4" s="1"/>
  <c r="N64" i="12" s="1"/>
  <c r="M64" i="11"/>
  <c r="M64" i="4" s="1"/>
  <c r="O64" i="12" s="1"/>
  <c r="N64" i="11"/>
  <c r="N64" i="4" s="1"/>
  <c r="Q64" i="12" s="1"/>
  <c r="O64" i="11"/>
  <c r="O64" i="4" s="1"/>
  <c r="R64" i="12" s="1"/>
  <c r="E65" i="11"/>
  <c r="E65" i="4" s="1"/>
  <c r="I65" i="12" s="1"/>
  <c r="F65" i="11"/>
  <c r="F65" i="4" s="1"/>
  <c r="E65" i="12" s="1"/>
  <c r="G65" i="11"/>
  <c r="G65" i="4" s="1"/>
  <c r="F65" i="12" s="1"/>
  <c r="H65" i="11"/>
  <c r="H65" i="4" s="1"/>
  <c r="J65" i="12" s="1"/>
  <c r="I65" i="11"/>
  <c r="I65" i="4" s="1"/>
  <c r="L65" i="12" s="1"/>
  <c r="J65" i="11"/>
  <c r="J65" i="4" s="1"/>
  <c r="M65" i="12" s="1"/>
  <c r="K65" i="11"/>
  <c r="K65" i="4" s="1"/>
  <c r="G65" i="12" s="1"/>
  <c r="L65" i="11"/>
  <c r="L65" i="4" s="1"/>
  <c r="N65" i="12" s="1"/>
  <c r="M65" i="11"/>
  <c r="M65" i="4" s="1"/>
  <c r="O65" i="12" s="1"/>
  <c r="N65" i="11"/>
  <c r="N65" i="4" s="1"/>
  <c r="Q65" i="12" s="1"/>
  <c r="O65" i="11"/>
  <c r="O65" i="4" s="1"/>
  <c r="R65" i="12" s="1"/>
  <c r="E66" i="11"/>
  <c r="E66" i="4" s="1"/>
  <c r="I66" i="12" s="1"/>
  <c r="F66" i="11"/>
  <c r="F66" i="4" s="1"/>
  <c r="E66" i="12" s="1"/>
  <c r="G66" i="11"/>
  <c r="G66" i="4" s="1"/>
  <c r="F66" i="12" s="1"/>
  <c r="H66" i="11"/>
  <c r="H66" i="4" s="1"/>
  <c r="J66" i="12" s="1"/>
  <c r="I66" i="11"/>
  <c r="I66" i="4" s="1"/>
  <c r="L66" i="12" s="1"/>
  <c r="J66" i="11"/>
  <c r="J66" i="4" s="1"/>
  <c r="M66" i="12" s="1"/>
  <c r="K66" i="11"/>
  <c r="K66" i="4" s="1"/>
  <c r="G66" i="12" s="1"/>
  <c r="L66" i="11"/>
  <c r="L66" i="4" s="1"/>
  <c r="N66" i="12" s="1"/>
  <c r="M66" i="11"/>
  <c r="M66" i="4" s="1"/>
  <c r="O66" i="12" s="1"/>
  <c r="N66" i="11"/>
  <c r="N66" i="4" s="1"/>
  <c r="Q66" i="12" s="1"/>
  <c r="O66" i="11"/>
  <c r="O66" i="4" s="1"/>
  <c r="R66" i="12" s="1"/>
  <c r="E67" i="11"/>
  <c r="E67" i="4" s="1"/>
  <c r="I67" i="12" s="1"/>
  <c r="F67" i="11"/>
  <c r="F67" i="4" s="1"/>
  <c r="E67" i="12" s="1"/>
  <c r="G67" i="11"/>
  <c r="G67" i="4" s="1"/>
  <c r="F67" i="12" s="1"/>
  <c r="H67" i="11"/>
  <c r="H67" i="4" s="1"/>
  <c r="J67" i="12" s="1"/>
  <c r="I67" i="11"/>
  <c r="I67" i="4" s="1"/>
  <c r="L67" i="12" s="1"/>
  <c r="J67" i="11"/>
  <c r="J67" i="4" s="1"/>
  <c r="M67" i="12" s="1"/>
  <c r="K67" i="11"/>
  <c r="K67" i="4" s="1"/>
  <c r="G67" i="12" s="1"/>
  <c r="L67" i="11"/>
  <c r="L67" i="4" s="1"/>
  <c r="N67" i="12" s="1"/>
  <c r="M67" i="11"/>
  <c r="M67" i="4" s="1"/>
  <c r="O67" i="12" s="1"/>
  <c r="N67" i="11"/>
  <c r="N67" i="4" s="1"/>
  <c r="Q67" i="12" s="1"/>
  <c r="O67" i="11"/>
  <c r="O67" i="4" s="1"/>
  <c r="R67" i="12" s="1"/>
  <c r="E68" i="11"/>
  <c r="E68" i="4" s="1"/>
  <c r="I68" i="12" s="1"/>
  <c r="F68" i="11"/>
  <c r="F68" i="4" s="1"/>
  <c r="E68" i="12" s="1"/>
  <c r="G68" i="11"/>
  <c r="G68" i="4" s="1"/>
  <c r="F68" i="12" s="1"/>
  <c r="H68" i="11"/>
  <c r="H68" i="4" s="1"/>
  <c r="J68" i="12" s="1"/>
  <c r="I68" i="11"/>
  <c r="I68" i="4" s="1"/>
  <c r="L68" i="12" s="1"/>
  <c r="J68" i="11"/>
  <c r="J68" i="4" s="1"/>
  <c r="M68" i="12" s="1"/>
  <c r="K68" i="11"/>
  <c r="K68" i="4" s="1"/>
  <c r="G68" i="12" s="1"/>
  <c r="L68" i="11"/>
  <c r="L68" i="4" s="1"/>
  <c r="N68" i="12" s="1"/>
  <c r="M68" i="11"/>
  <c r="M68" i="4" s="1"/>
  <c r="O68" i="12" s="1"/>
  <c r="N68" i="11"/>
  <c r="N68" i="4" s="1"/>
  <c r="Q68" i="12" s="1"/>
  <c r="O68" i="11"/>
  <c r="O68" i="4" s="1"/>
  <c r="R68" i="12" s="1"/>
  <c r="E69" i="11"/>
  <c r="E69" i="4" s="1"/>
  <c r="I69" i="12" s="1"/>
  <c r="F69" i="11"/>
  <c r="F69" i="4" s="1"/>
  <c r="E69" i="12" s="1"/>
  <c r="G69" i="11"/>
  <c r="G69" i="4" s="1"/>
  <c r="F69" i="12" s="1"/>
  <c r="H69" i="11"/>
  <c r="H69" i="4" s="1"/>
  <c r="J69" i="12" s="1"/>
  <c r="I69" i="11"/>
  <c r="I69" i="4" s="1"/>
  <c r="L69" i="12" s="1"/>
  <c r="J69" i="11"/>
  <c r="J69" i="4" s="1"/>
  <c r="M69" i="12" s="1"/>
  <c r="K69" i="11"/>
  <c r="K69" i="4" s="1"/>
  <c r="G69" i="12" s="1"/>
  <c r="L69" i="11"/>
  <c r="L69" i="4" s="1"/>
  <c r="N69" i="12" s="1"/>
  <c r="M69" i="11"/>
  <c r="M69" i="4" s="1"/>
  <c r="O69" i="12" s="1"/>
  <c r="N69" i="11"/>
  <c r="N69" i="4" s="1"/>
  <c r="Q69" i="12" s="1"/>
  <c r="O69" i="11"/>
  <c r="O69" i="4" s="1"/>
  <c r="R69" i="12" s="1"/>
  <c r="E70" i="11"/>
  <c r="E70" i="4" s="1"/>
  <c r="I70" i="12" s="1"/>
  <c r="F70" i="11"/>
  <c r="F70" i="4" s="1"/>
  <c r="E70" i="12" s="1"/>
  <c r="G70" i="11"/>
  <c r="G70" i="4" s="1"/>
  <c r="F70" i="12" s="1"/>
  <c r="H70" i="11"/>
  <c r="H70" i="4" s="1"/>
  <c r="J70" i="12" s="1"/>
  <c r="I70" i="11"/>
  <c r="I70" i="4" s="1"/>
  <c r="L70" i="12" s="1"/>
  <c r="J70" i="11"/>
  <c r="J70" i="4" s="1"/>
  <c r="M70" i="12" s="1"/>
  <c r="K70" i="11"/>
  <c r="K70" i="4" s="1"/>
  <c r="G70" i="12" s="1"/>
  <c r="L70" i="11"/>
  <c r="L70" i="4" s="1"/>
  <c r="N70" i="12" s="1"/>
  <c r="M70" i="11"/>
  <c r="M70" i="4" s="1"/>
  <c r="O70" i="12" s="1"/>
  <c r="N70" i="11"/>
  <c r="N70" i="4" s="1"/>
  <c r="Q70" i="12" s="1"/>
  <c r="O70" i="11"/>
  <c r="O70" i="4" s="1"/>
  <c r="R70" i="12" s="1"/>
  <c r="E71" i="11"/>
  <c r="E71" i="4" s="1"/>
  <c r="I71" i="12" s="1"/>
  <c r="F71" i="11"/>
  <c r="F71" i="4" s="1"/>
  <c r="E71" i="12" s="1"/>
  <c r="G71" i="11"/>
  <c r="G71" i="4" s="1"/>
  <c r="F71" i="12" s="1"/>
  <c r="H71" i="11"/>
  <c r="H71" i="4" s="1"/>
  <c r="J71" i="12" s="1"/>
  <c r="I71" i="11"/>
  <c r="I71" i="4" s="1"/>
  <c r="L71" i="12" s="1"/>
  <c r="J71" i="11"/>
  <c r="J71" i="4" s="1"/>
  <c r="M71" i="12" s="1"/>
  <c r="K71" i="11"/>
  <c r="K71" i="4" s="1"/>
  <c r="G71" i="12" s="1"/>
  <c r="L71" i="11"/>
  <c r="L71" i="4" s="1"/>
  <c r="N71" i="12" s="1"/>
  <c r="M71" i="11"/>
  <c r="M71" i="4" s="1"/>
  <c r="O71" i="12" s="1"/>
  <c r="N71" i="11"/>
  <c r="N71" i="4" s="1"/>
  <c r="Q71" i="12" s="1"/>
  <c r="O71" i="11"/>
  <c r="O71" i="4" s="1"/>
  <c r="R71" i="12" s="1"/>
  <c r="E72" i="11"/>
  <c r="E72" i="4" s="1"/>
  <c r="I72" i="12" s="1"/>
  <c r="F72" i="11"/>
  <c r="F72" i="4" s="1"/>
  <c r="E72" i="12" s="1"/>
  <c r="G72" i="11"/>
  <c r="G72" i="4" s="1"/>
  <c r="F72" i="12" s="1"/>
  <c r="H72" i="11"/>
  <c r="H72" i="4" s="1"/>
  <c r="J72" i="12" s="1"/>
  <c r="I72" i="11"/>
  <c r="I72" i="4" s="1"/>
  <c r="L72" i="12" s="1"/>
  <c r="J72" i="11"/>
  <c r="J72" i="4" s="1"/>
  <c r="M72" i="12" s="1"/>
  <c r="K72" i="11"/>
  <c r="K72" i="4" s="1"/>
  <c r="G72" i="12" s="1"/>
  <c r="L72" i="11"/>
  <c r="L72" i="4" s="1"/>
  <c r="N72" i="12" s="1"/>
  <c r="M72" i="11"/>
  <c r="M72" i="4" s="1"/>
  <c r="O72" i="12" s="1"/>
  <c r="N72" i="11"/>
  <c r="N72" i="4" s="1"/>
  <c r="Q72" i="12" s="1"/>
  <c r="O72" i="11"/>
  <c r="O72" i="4" s="1"/>
  <c r="R72" i="12" s="1"/>
  <c r="E73" i="11"/>
  <c r="E73" i="4" s="1"/>
  <c r="I73" i="12" s="1"/>
  <c r="F73" i="11"/>
  <c r="F73" i="4" s="1"/>
  <c r="E73" i="12" s="1"/>
  <c r="G73" i="11"/>
  <c r="G73" i="4" s="1"/>
  <c r="F73" i="12" s="1"/>
  <c r="H73" i="11"/>
  <c r="H73" i="4" s="1"/>
  <c r="J73" i="12" s="1"/>
  <c r="I73" i="11"/>
  <c r="I73" i="4" s="1"/>
  <c r="L73" i="12" s="1"/>
  <c r="J73" i="11"/>
  <c r="J73" i="4" s="1"/>
  <c r="M73" i="12" s="1"/>
  <c r="K73" i="11"/>
  <c r="K73" i="4" s="1"/>
  <c r="G73" i="12" s="1"/>
  <c r="L73" i="11"/>
  <c r="L73" i="4" s="1"/>
  <c r="N73" i="12" s="1"/>
  <c r="M73" i="11"/>
  <c r="M73" i="4" s="1"/>
  <c r="O73" i="12" s="1"/>
  <c r="N73" i="11"/>
  <c r="N73" i="4" s="1"/>
  <c r="Q73" i="12" s="1"/>
  <c r="O73" i="11"/>
  <c r="O73" i="4" s="1"/>
  <c r="R73" i="12" s="1"/>
  <c r="E74" i="11"/>
  <c r="E74" i="4" s="1"/>
  <c r="I74" i="12" s="1"/>
  <c r="F74" i="11"/>
  <c r="F74" i="4" s="1"/>
  <c r="E74" i="12" s="1"/>
  <c r="G74" i="11"/>
  <c r="G74" i="4" s="1"/>
  <c r="F74" i="12" s="1"/>
  <c r="H74" i="11"/>
  <c r="H74" i="4" s="1"/>
  <c r="J74" i="12" s="1"/>
  <c r="I74" i="11"/>
  <c r="I74" i="4" s="1"/>
  <c r="L74" i="12" s="1"/>
  <c r="J74" i="11"/>
  <c r="J74" i="4" s="1"/>
  <c r="M74" i="12" s="1"/>
  <c r="K74" i="11"/>
  <c r="K74" i="4" s="1"/>
  <c r="G74" i="12" s="1"/>
  <c r="L74" i="11"/>
  <c r="L74" i="4" s="1"/>
  <c r="N74" i="12" s="1"/>
  <c r="M74" i="11"/>
  <c r="M74" i="4" s="1"/>
  <c r="O74" i="12" s="1"/>
  <c r="N74" i="11"/>
  <c r="N74" i="4" s="1"/>
  <c r="Q74" i="12" s="1"/>
  <c r="O74" i="11"/>
  <c r="O74" i="4" s="1"/>
  <c r="R74" i="12" s="1"/>
  <c r="E75" i="11"/>
  <c r="E75" i="4" s="1"/>
  <c r="I75" i="12" s="1"/>
  <c r="F75" i="11"/>
  <c r="F75" i="4" s="1"/>
  <c r="E75" i="12" s="1"/>
  <c r="G75" i="11"/>
  <c r="G75" i="4" s="1"/>
  <c r="F75" i="12" s="1"/>
  <c r="H75" i="11"/>
  <c r="H75" i="4" s="1"/>
  <c r="J75" i="12" s="1"/>
  <c r="I75" i="11"/>
  <c r="I75" i="4" s="1"/>
  <c r="L75" i="12" s="1"/>
  <c r="J75" i="11"/>
  <c r="J75" i="4" s="1"/>
  <c r="M75" i="12" s="1"/>
  <c r="K75" i="11"/>
  <c r="K75" i="4" s="1"/>
  <c r="G75" i="12" s="1"/>
  <c r="L75" i="11"/>
  <c r="L75" i="4" s="1"/>
  <c r="N75" i="12" s="1"/>
  <c r="M75" i="11"/>
  <c r="M75" i="4" s="1"/>
  <c r="O75" i="12" s="1"/>
  <c r="N75" i="11"/>
  <c r="N75" i="4" s="1"/>
  <c r="Q75" i="12" s="1"/>
  <c r="O75" i="11"/>
  <c r="O75" i="4" s="1"/>
  <c r="R75" i="12" s="1"/>
  <c r="E76" i="11"/>
  <c r="E76" i="4" s="1"/>
  <c r="I76" i="12" s="1"/>
  <c r="F76" i="11"/>
  <c r="F76" i="4" s="1"/>
  <c r="E76" i="12" s="1"/>
  <c r="G76" i="11"/>
  <c r="G76" i="4" s="1"/>
  <c r="F76" i="12" s="1"/>
  <c r="H76" i="11"/>
  <c r="H76" i="4" s="1"/>
  <c r="J76" i="12" s="1"/>
  <c r="I76" i="11"/>
  <c r="I76" i="4" s="1"/>
  <c r="L76" i="12" s="1"/>
  <c r="J76" i="11"/>
  <c r="J76" i="4" s="1"/>
  <c r="M76" i="12" s="1"/>
  <c r="K76" i="11"/>
  <c r="K76" i="4" s="1"/>
  <c r="G76" i="12" s="1"/>
  <c r="L76" i="11"/>
  <c r="L76" i="4" s="1"/>
  <c r="N76" i="12" s="1"/>
  <c r="M76" i="11"/>
  <c r="M76" i="4" s="1"/>
  <c r="O76" i="12" s="1"/>
  <c r="N76" i="11"/>
  <c r="N76" i="4" s="1"/>
  <c r="Q76" i="12" s="1"/>
  <c r="O76" i="11"/>
  <c r="O76" i="4" s="1"/>
  <c r="R76" i="12" s="1"/>
  <c r="E77" i="11"/>
  <c r="E77" i="4" s="1"/>
  <c r="I77" i="12" s="1"/>
  <c r="F77" i="11"/>
  <c r="F77" i="4" s="1"/>
  <c r="E77" i="12" s="1"/>
  <c r="G77" i="11"/>
  <c r="G77" i="4" s="1"/>
  <c r="F77" i="12" s="1"/>
  <c r="H77" i="11"/>
  <c r="H77" i="4" s="1"/>
  <c r="J77" i="12" s="1"/>
  <c r="I77" i="11"/>
  <c r="I77" i="4" s="1"/>
  <c r="L77" i="12" s="1"/>
  <c r="J77" i="11"/>
  <c r="J77" i="4" s="1"/>
  <c r="M77" i="12" s="1"/>
  <c r="K77" i="11"/>
  <c r="K77" i="4" s="1"/>
  <c r="G77" i="12" s="1"/>
  <c r="L77" i="11"/>
  <c r="L77" i="4" s="1"/>
  <c r="N77" i="12" s="1"/>
  <c r="M77" i="11"/>
  <c r="M77" i="4" s="1"/>
  <c r="O77" i="12" s="1"/>
  <c r="N77" i="11"/>
  <c r="N77" i="4" s="1"/>
  <c r="Q77" i="12" s="1"/>
  <c r="O77" i="11"/>
  <c r="O77" i="4" s="1"/>
  <c r="R77" i="12" s="1"/>
  <c r="E78" i="11"/>
  <c r="E78" i="4" s="1"/>
  <c r="I78" i="12" s="1"/>
  <c r="F78" i="11"/>
  <c r="F78" i="4" s="1"/>
  <c r="E78" i="12" s="1"/>
  <c r="G78" i="11"/>
  <c r="G78" i="4" s="1"/>
  <c r="F78" i="12" s="1"/>
  <c r="H78" i="11"/>
  <c r="H78" i="4" s="1"/>
  <c r="J78" i="12" s="1"/>
  <c r="I78" i="11"/>
  <c r="I78" i="4" s="1"/>
  <c r="L78" i="12" s="1"/>
  <c r="J78" i="11"/>
  <c r="J78" i="4" s="1"/>
  <c r="M78" i="12" s="1"/>
  <c r="K78" i="11"/>
  <c r="K78" i="4" s="1"/>
  <c r="G78" i="12" s="1"/>
  <c r="L78" i="11"/>
  <c r="L78" i="4" s="1"/>
  <c r="N78" i="12" s="1"/>
  <c r="M78" i="11"/>
  <c r="M78" i="4" s="1"/>
  <c r="O78" i="12" s="1"/>
  <c r="N78" i="11"/>
  <c r="N78" i="4" s="1"/>
  <c r="Q78" i="12" s="1"/>
  <c r="O78" i="11"/>
  <c r="O78" i="4" s="1"/>
  <c r="R78" i="12" s="1"/>
  <c r="E79" i="11"/>
  <c r="E79" i="4" s="1"/>
  <c r="I79" i="12" s="1"/>
  <c r="F79" i="11"/>
  <c r="F79" i="4" s="1"/>
  <c r="E79" i="12" s="1"/>
  <c r="G79" i="11"/>
  <c r="G79" i="4" s="1"/>
  <c r="F79" i="12" s="1"/>
  <c r="H79" i="11"/>
  <c r="H79" i="4" s="1"/>
  <c r="J79" i="12" s="1"/>
  <c r="I79" i="11"/>
  <c r="I79" i="4" s="1"/>
  <c r="L79" i="12" s="1"/>
  <c r="J79" i="11"/>
  <c r="J79" i="4" s="1"/>
  <c r="M79" i="12" s="1"/>
  <c r="K79" i="11"/>
  <c r="K79" i="4" s="1"/>
  <c r="G79" i="12" s="1"/>
  <c r="L79" i="11"/>
  <c r="L79" i="4" s="1"/>
  <c r="N79" i="12" s="1"/>
  <c r="M79" i="11"/>
  <c r="M79" i="4" s="1"/>
  <c r="O79" i="12" s="1"/>
  <c r="N79" i="11"/>
  <c r="N79" i="4" s="1"/>
  <c r="Q79" i="12" s="1"/>
  <c r="O79" i="11"/>
  <c r="O79" i="4" s="1"/>
  <c r="R79" i="12" s="1"/>
  <c r="E80" i="11"/>
  <c r="E80" i="4" s="1"/>
  <c r="I80" i="12" s="1"/>
  <c r="F80" i="11"/>
  <c r="F80" i="4" s="1"/>
  <c r="E80" i="12" s="1"/>
  <c r="G80" i="11"/>
  <c r="G80" i="4" s="1"/>
  <c r="F80" i="12" s="1"/>
  <c r="H80" i="11"/>
  <c r="H80" i="4" s="1"/>
  <c r="J80" i="12" s="1"/>
  <c r="I80" i="11"/>
  <c r="I80" i="4" s="1"/>
  <c r="L80" i="12" s="1"/>
  <c r="J80" i="11"/>
  <c r="J80" i="4" s="1"/>
  <c r="M80" i="12" s="1"/>
  <c r="K80" i="11"/>
  <c r="K80" i="4" s="1"/>
  <c r="G80" i="12" s="1"/>
  <c r="L80" i="11"/>
  <c r="L80" i="4" s="1"/>
  <c r="N80" i="12" s="1"/>
  <c r="M80" i="11"/>
  <c r="M80" i="4" s="1"/>
  <c r="O80" i="12" s="1"/>
  <c r="N80" i="11"/>
  <c r="N80" i="4" s="1"/>
  <c r="Q80" i="12" s="1"/>
  <c r="O80" i="11"/>
  <c r="O80" i="4" s="1"/>
  <c r="R80" i="12" s="1"/>
  <c r="E81" i="11"/>
  <c r="E81" i="4" s="1"/>
  <c r="I81" i="12" s="1"/>
  <c r="F81" i="11"/>
  <c r="F81" i="4" s="1"/>
  <c r="E81" i="12" s="1"/>
  <c r="G81" i="11"/>
  <c r="G81" i="4" s="1"/>
  <c r="F81" i="12" s="1"/>
  <c r="H81" i="11"/>
  <c r="H81" i="4" s="1"/>
  <c r="J81" i="12" s="1"/>
  <c r="I81" i="11"/>
  <c r="I81" i="4" s="1"/>
  <c r="L81" i="12" s="1"/>
  <c r="J81" i="11"/>
  <c r="J81" i="4" s="1"/>
  <c r="M81" i="12" s="1"/>
  <c r="K81" i="11"/>
  <c r="K81" i="4" s="1"/>
  <c r="G81" i="12" s="1"/>
  <c r="L81" i="11"/>
  <c r="L81" i="4" s="1"/>
  <c r="N81" i="12" s="1"/>
  <c r="M81" i="11"/>
  <c r="M81" i="4" s="1"/>
  <c r="O81" i="12" s="1"/>
  <c r="N81" i="11"/>
  <c r="N81" i="4" s="1"/>
  <c r="Q81" i="12" s="1"/>
  <c r="O81" i="11"/>
  <c r="O81" i="4" s="1"/>
  <c r="R81" i="12" s="1"/>
  <c r="E82" i="11"/>
  <c r="E82" i="4" s="1"/>
  <c r="I82" i="12" s="1"/>
  <c r="F82" i="11"/>
  <c r="F82" i="4" s="1"/>
  <c r="E82" i="12" s="1"/>
  <c r="G82" i="11"/>
  <c r="G82" i="4" s="1"/>
  <c r="F82" i="12" s="1"/>
  <c r="H82" i="11"/>
  <c r="H82" i="4" s="1"/>
  <c r="J82" i="12" s="1"/>
  <c r="I82" i="11"/>
  <c r="I82" i="4" s="1"/>
  <c r="L82" i="12" s="1"/>
  <c r="J82" i="11"/>
  <c r="J82" i="4" s="1"/>
  <c r="M82" i="12" s="1"/>
  <c r="K82" i="11"/>
  <c r="K82" i="4" s="1"/>
  <c r="G82" i="12" s="1"/>
  <c r="L82" i="11"/>
  <c r="L82" i="4" s="1"/>
  <c r="N82" i="12" s="1"/>
  <c r="M82" i="11"/>
  <c r="M82" i="4" s="1"/>
  <c r="O82" i="12" s="1"/>
  <c r="N82" i="11"/>
  <c r="N82" i="4" s="1"/>
  <c r="Q82" i="12" s="1"/>
  <c r="O82" i="11"/>
  <c r="O82" i="4" s="1"/>
  <c r="R82" i="12" s="1"/>
  <c r="E83" i="11"/>
  <c r="E83" i="4" s="1"/>
  <c r="I83" i="12" s="1"/>
  <c r="F83" i="11"/>
  <c r="F83" i="4" s="1"/>
  <c r="E83" i="12" s="1"/>
  <c r="G83" i="11"/>
  <c r="G83" i="4" s="1"/>
  <c r="F83" i="12" s="1"/>
  <c r="H83" i="11"/>
  <c r="H83" i="4" s="1"/>
  <c r="J83" i="12" s="1"/>
  <c r="I83" i="11"/>
  <c r="I83" i="4" s="1"/>
  <c r="L83" i="12" s="1"/>
  <c r="J83" i="11"/>
  <c r="J83" i="4" s="1"/>
  <c r="M83" i="12" s="1"/>
  <c r="K83" i="11"/>
  <c r="K83" i="4" s="1"/>
  <c r="G83" i="12" s="1"/>
  <c r="L83" i="11"/>
  <c r="L83" i="4" s="1"/>
  <c r="N83" i="12" s="1"/>
  <c r="M83" i="11"/>
  <c r="M83" i="4" s="1"/>
  <c r="O83" i="12" s="1"/>
  <c r="N83" i="11"/>
  <c r="N83" i="4" s="1"/>
  <c r="Q83" i="12" s="1"/>
  <c r="O83" i="11"/>
  <c r="O83" i="4" s="1"/>
  <c r="R83" i="12" s="1"/>
  <c r="E84" i="11"/>
  <c r="E84" i="4" s="1"/>
  <c r="I84" i="12" s="1"/>
  <c r="F84" i="11"/>
  <c r="F84" i="4" s="1"/>
  <c r="E84" i="12" s="1"/>
  <c r="G84" i="11"/>
  <c r="G84" i="4" s="1"/>
  <c r="F84" i="12" s="1"/>
  <c r="H84" i="11"/>
  <c r="H84" i="4" s="1"/>
  <c r="J84" i="12" s="1"/>
  <c r="I84" i="11"/>
  <c r="I84" i="4" s="1"/>
  <c r="L84" i="12" s="1"/>
  <c r="J84" i="11"/>
  <c r="J84" i="4" s="1"/>
  <c r="M84" i="12" s="1"/>
  <c r="K84" i="11"/>
  <c r="K84" i="4" s="1"/>
  <c r="G84" i="12" s="1"/>
  <c r="L84" i="11"/>
  <c r="L84" i="4" s="1"/>
  <c r="N84" i="12" s="1"/>
  <c r="M84" i="11"/>
  <c r="M84" i="4" s="1"/>
  <c r="O84" i="12" s="1"/>
  <c r="N84" i="11"/>
  <c r="N84" i="4" s="1"/>
  <c r="Q84" i="12" s="1"/>
  <c r="O84" i="11"/>
  <c r="O84" i="4" s="1"/>
  <c r="R84" i="12" s="1"/>
  <c r="E85" i="11"/>
  <c r="E85" i="4" s="1"/>
  <c r="I85" i="12" s="1"/>
  <c r="F85" i="11"/>
  <c r="F85" i="4" s="1"/>
  <c r="E85" i="12" s="1"/>
  <c r="G85" i="11"/>
  <c r="G85" i="4" s="1"/>
  <c r="F85" i="12" s="1"/>
  <c r="H85" i="11"/>
  <c r="H85" i="4" s="1"/>
  <c r="J85" i="12" s="1"/>
  <c r="I85" i="11"/>
  <c r="I85" i="4" s="1"/>
  <c r="L85" i="12" s="1"/>
  <c r="J85" i="11"/>
  <c r="J85" i="4" s="1"/>
  <c r="M85" i="12" s="1"/>
  <c r="K85" i="11"/>
  <c r="K85" i="4" s="1"/>
  <c r="G85" i="12" s="1"/>
  <c r="L85" i="11"/>
  <c r="L85" i="4" s="1"/>
  <c r="N85" i="12" s="1"/>
  <c r="M85" i="11"/>
  <c r="M85" i="4" s="1"/>
  <c r="O85" i="12" s="1"/>
  <c r="N85" i="11"/>
  <c r="N85" i="4" s="1"/>
  <c r="Q85" i="12" s="1"/>
  <c r="O85" i="11"/>
  <c r="O85" i="4" s="1"/>
  <c r="R85" i="12" s="1"/>
  <c r="E86" i="11"/>
  <c r="E86" i="4" s="1"/>
  <c r="I86" i="12" s="1"/>
  <c r="F86" i="11"/>
  <c r="F86" i="4" s="1"/>
  <c r="E86" i="12" s="1"/>
  <c r="G86" i="11"/>
  <c r="G86" i="4" s="1"/>
  <c r="F86" i="12" s="1"/>
  <c r="H86" i="11"/>
  <c r="H86" i="4" s="1"/>
  <c r="J86" i="12" s="1"/>
  <c r="I86" i="11"/>
  <c r="I86" i="4" s="1"/>
  <c r="L86" i="12" s="1"/>
  <c r="J86" i="11"/>
  <c r="J86" i="4" s="1"/>
  <c r="M86" i="12" s="1"/>
  <c r="K86" i="11"/>
  <c r="K86" i="4" s="1"/>
  <c r="G86" i="12" s="1"/>
  <c r="L86" i="11"/>
  <c r="L86" i="4" s="1"/>
  <c r="N86" i="12" s="1"/>
  <c r="M86" i="11"/>
  <c r="M86" i="4" s="1"/>
  <c r="O86" i="12" s="1"/>
  <c r="N86" i="11"/>
  <c r="N86" i="4" s="1"/>
  <c r="Q86" i="12" s="1"/>
  <c r="O86" i="11"/>
  <c r="O86" i="4" s="1"/>
  <c r="R86" i="12" s="1"/>
  <c r="E87" i="11"/>
  <c r="E87" i="4" s="1"/>
  <c r="I87" i="12" s="1"/>
  <c r="F87" i="11"/>
  <c r="F87" i="4" s="1"/>
  <c r="E87" i="12" s="1"/>
  <c r="G87" i="11"/>
  <c r="G87" i="4" s="1"/>
  <c r="F87" i="12" s="1"/>
  <c r="H87" i="11"/>
  <c r="H87" i="4" s="1"/>
  <c r="J87" i="12" s="1"/>
  <c r="I87" i="11"/>
  <c r="I87" i="4" s="1"/>
  <c r="L87" i="12" s="1"/>
  <c r="J87" i="11"/>
  <c r="J87" i="4" s="1"/>
  <c r="M87" i="12" s="1"/>
  <c r="K87" i="11"/>
  <c r="K87" i="4" s="1"/>
  <c r="G87" i="12" s="1"/>
  <c r="L87" i="11"/>
  <c r="L87" i="4" s="1"/>
  <c r="N87" i="12" s="1"/>
  <c r="M87" i="11"/>
  <c r="M87" i="4" s="1"/>
  <c r="O87" i="12" s="1"/>
  <c r="N87" i="11"/>
  <c r="N87" i="4" s="1"/>
  <c r="Q87" i="12" s="1"/>
  <c r="O87" i="11"/>
  <c r="O87" i="4" s="1"/>
  <c r="R87" i="12" s="1"/>
  <c r="E88" i="11"/>
  <c r="E88" i="4" s="1"/>
  <c r="I88" i="12" s="1"/>
  <c r="F88" i="11"/>
  <c r="F88" i="4" s="1"/>
  <c r="E88" i="12" s="1"/>
  <c r="G88" i="11"/>
  <c r="G88" i="4" s="1"/>
  <c r="F88" i="12" s="1"/>
  <c r="H88" i="11"/>
  <c r="H88" i="4" s="1"/>
  <c r="J88" i="12" s="1"/>
  <c r="I88" i="11"/>
  <c r="I88" i="4" s="1"/>
  <c r="L88" i="12" s="1"/>
  <c r="J88" i="11"/>
  <c r="J88" i="4" s="1"/>
  <c r="M88" i="12" s="1"/>
  <c r="K88" i="11"/>
  <c r="K88" i="4" s="1"/>
  <c r="G88" i="12" s="1"/>
  <c r="L88" i="11"/>
  <c r="L88" i="4" s="1"/>
  <c r="N88" i="12" s="1"/>
  <c r="M88" i="11"/>
  <c r="M88" i="4" s="1"/>
  <c r="O88" i="12" s="1"/>
  <c r="N88" i="11"/>
  <c r="N88" i="4" s="1"/>
  <c r="Q88" i="12" s="1"/>
  <c r="O88" i="11"/>
  <c r="O88" i="4" s="1"/>
  <c r="R88" i="12" s="1"/>
  <c r="E89" i="11"/>
  <c r="E89" i="4" s="1"/>
  <c r="I89" i="12" s="1"/>
  <c r="F89" i="11"/>
  <c r="F89" i="4" s="1"/>
  <c r="E89" i="12" s="1"/>
  <c r="G89" i="11"/>
  <c r="G89" i="4" s="1"/>
  <c r="F89" i="12" s="1"/>
  <c r="H89" i="11"/>
  <c r="H89" i="4" s="1"/>
  <c r="J89" i="12" s="1"/>
  <c r="I89" i="11"/>
  <c r="I89" i="4" s="1"/>
  <c r="L89" i="12" s="1"/>
  <c r="J89" i="11"/>
  <c r="J89" i="4" s="1"/>
  <c r="M89" i="12" s="1"/>
  <c r="K89" i="11"/>
  <c r="K89" i="4" s="1"/>
  <c r="G89" i="12" s="1"/>
  <c r="L89" i="11"/>
  <c r="L89" i="4" s="1"/>
  <c r="N89" i="12" s="1"/>
  <c r="M89" i="11"/>
  <c r="M89" i="4" s="1"/>
  <c r="O89" i="12" s="1"/>
  <c r="N89" i="11"/>
  <c r="N89" i="4" s="1"/>
  <c r="Q89" i="12" s="1"/>
  <c r="O89" i="11"/>
  <c r="O89" i="4" s="1"/>
  <c r="R89" i="12" s="1"/>
  <c r="E90" i="11"/>
  <c r="E90" i="4" s="1"/>
  <c r="I90" i="12" s="1"/>
  <c r="F90" i="11"/>
  <c r="F90" i="4" s="1"/>
  <c r="E90" i="12" s="1"/>
  <c r="G90" i="11"/>
  <c r="G90" i="4" s="1"/>
  <c r="F90" i="12" s="1"/>
  <c r="H90" i="11"/>
  <c r="H90" i="4" s="1"/>
  <c r="J90" i="12" s="1"/>
  <c r="I90" i="11"/>
  <c r="I90" i="4" s="1"/>
  <c r="L90" i="12" s="1"/>
  <c r="J90" i="11"/>
  <c r="J90" i="4" s="1"/>
  <c r="M90" i="12" s="1"/>
  <c r="K90" i="11"/>
  <c r="K90" i="4" s="1"/>
  <c r="G90" i="12" s="1"/>
  <c r="L90" i="11"/>
  <c r="L90" i="4" s="1"/>
  <c r="N90" i="12" s="1"/>
  <c r="M90" i="11"/>
  <c r="M90" i="4" s="1"/>
  <c r="O90" i="12" s="1"/>
  <c r="N90" i="11"/>
  <c r="N90" i="4" s="1"/>
  <c r="Q90" i="12" s="1"/>
  <c r="O90" i="11"/>
  <c r="O90" i="4" s="1"/>
  <c r="R90" i="12" s="1"/>
  <c r="E91" i="11"/>
  <c r="E91" i="4" s="1"/>
  <c r="I91" i="12" s="1"/>
  <c r="F91" i="11"/>
  <c r="F91" i="4" s="1"/>
  <c r="E91" i="12" s="1"/>
  <c r="G91" i="11"/>
  <c r="G91" i="4" s="1"/>
  <c r="F91" i="12" s="1"/>
  <c r="H91" i="11"/>
  <c r="H91" i="4" s="1"/>
  <c r="J91" i="12" s="1"/>
  <c r="I91" i="11"/>
  <c r="I91" i="4" s="1"/>
  <c r="L91" i="12" s="1"/>
  <c r="J91" i="11"/>
  <c r="J91" i="4" s="1"/>
  <c r="M91" i="12" s="1"/>
  <c r="K91" i="11"/>
  <c r="K91" i="4" s="1"/>
  <c r="G91" i="12" s="1"/>
  <c r="L91" i="11"/>
  <c r="L91" i="4" s="1"/>
  <c r="N91" i="12" s="1"/>
  <c r="M91" i="11"/>
  <c r="M91" i="4" s="1"/>
  <c r="O91" i="12" s="1"/>
  <c r="N91" i="11"/>
  <c r="N91" i="4" s="1"/>
  <c r="Q91" i="12" s="1"/>
  <c r="O91" i="11"/>
  <c r="O91" i="4" s="1"/>
  <c r="R91" i="12" s="1"/>
  <c r="E92" i="11"/>
  <c r="E92" i="4" s="1"/>
  <c r="I92" i="12" s="1"/>
  <c r="F92" i="11"/>
  <c r="F92" i="4" s="1"/>
  <c r="E92" i="12" s="1"/>
  <c r="G92" i="11"/>
  <c r="G92" i="4" s="1"/>
  <c r="F92" i="12" s="1"/>
  <c r="H92" i="11"/>
  <c r="H92" i="4" s="1"/>
  <c r="J92" i="12" s="1"/>
  <c r="I92" i="11"/>
  <c r="I92" i="4" s="1"/>
  <c r="L92" i="12" s="1"/>
  <c r="J92" i="11"/>
  <c r="J92" i="4" s="1"/>
  <c r="M92" i="12" s="1"/>
  <c r="K92" i="11"/>
  <c r="K92" i="4" s="1"/>
  <c r="G92" i="12" s="1"/>
  <c r="L92" i="11"/>
  <c r="L92" i="4" s="1"/>
  <c r="N92" i="12" s="1"/>
  <c r="M92" i="11"/>
  <c r="M92" i="4" s="1"/>
  <c r="O92" i="12" s="1"/>
  <c r="N92" i="11"/>
  <c r="N92" i="4" s="1"/>
  <c r="Q92" i="12" s="1"/>
  <c r="O92" i="11"/>
  <c r="O92" i="4" s="1"/>
  <c r="R92" i="12" s="1"/>
  <c r="E93" i="11"/>
  <c r="E93" i="4" s="1"/>
  <c r="I93" i="12" s="1"/>
  <c r="F93" i="11"/>
  <c r="F93" i="4" s="1"/>
  <c r="E93" i="12" s="1"/>
  <c r="G93" i="11"/>
  <c r="G93" i="4" s="1"/>
  <c r="F93" i="12" s="1"/>
  <c r="H93" i="11"/>
  <c r="H93" i="4" s="1"/>
  <c r="J93" i="12" s="1"/>
  <c r="I93" i="11"/>
  <c r="I93" i="4" s="1"/>
  <c r="L93" i="12" s="1"/>
  <c r="J93" i="11"/>
  <c r="J93" i="4" s="1"/>
  <c r="M93" i="12" s="1"/>
  <c r="K93" i="11"/>
  <c r="K93" i="4" s="1"/>
  <c r="G93" i="12" s="1"/>
  <c r="L93" i="11"/>
  <c r="L93" i="4" s="1"/>
  <c r="N93" i="12" s="1"/>
  <c r="M93" i="11"/>
  <c r="M93" i="4" s="1"/>
  <c r="O93" i="12" s="1"/>
  <c r="N93" i="11"/>
  <c r="N93" i="4" s="1"/>
  <c r="Q93" i="12" s="1"/>
  <c r="O93" i="11"/>
  <c r="O93" i="4" s="1"/>
  <c r="R93" i="12" s="1"/>
  <c r="E94" i="11"/>
  <c r="E94" i="4" s="1"/>
  <c r="I94" i="12" s="1"/>
  <c r="F94" i="11"/>
  <c r="F94" i="4" s="1"/>
  <c r="E94" i="12" s="1"/>
  <c r="G94" i="11"/>
  <c r="G94" i="4" s="1"/>
  <c r="F94" i="12" s="1"/>
  <c r="H94" i="11"/>
  <c r="H94" i="4" s="1"/>
  <c r="J94" i="12" s="1"/>
  <c r="I94" i="11"/>
  <c r="I94" i="4" s="1"/>
  <c r="L94" i="12" s="1"/>
  <c r="J94" i="11"/>
  <c r="J94" i="4" s="1"/>
  <c r="M94" i="12" s="1"/>
  <c r="K94" i="11"/>
  <c r="K94" i="4" s="1"/>
  <c r="G94" i="12" s="1"/>
  <c r="L94" i="11"/>
  <c r="L94" i="4" s="1"/>
  <c r="N94" i="12" s="1"/>
  <c r="M94" i="11"/>
  <c r="M94" i="4" s="1"/>
  <c r="O94" i="12" s="1"/>
  <c r="N94" i="11"/>
  <c r="N94" i="4" s="1"/>
  <c r="Q94" i="12" s="1"/>
  <c r="O94" i="11"/>
  <c r="O94" i="4" s="1"/>
  <c r="R94" i="12" s="1"/>
  <c r="E95" i="11"/>
  <c r="E95" i="4" s="1"/>
  <c r="I95" i="12" s="1"/>
  <c r="F95" i="11"/>
  <c r="F95" i="4" s="1"/>
  <c r="E95" i="12" s="1"/>
  <c r="G95" i="11"/>
  <c r="G95" i="4" s="1"/>
  <c r="F95" i="12" s="1"/>
  <c r="H95" i="11"/>
  <c r="H95" i="4" s="1"/>
  <c r="J95" i="12" s="1"/>
  <c r="I95" i="11"/>
  <c r="I95" i="4" s="1"/>
  <c r="L95" i="12" s="1"/>
  <c r="J95" i="11"/>
  <c r="J95" i="4" s="1"/>
  <c r="M95" i="12" s="1"/>
  <c r="K95" i="11"/>
  <c r="K95" i="4" s="1"/>
  <c r="G95" i="12" s="1"/>
  <c r="L95" i="11"/>
  <c r="L95" i="4" s="1"/>
  <c r="N95" i="12" s="1"/>
  <c r="M95" i="11"/>
  <c r="M95" i="4" s="1"/>
  <c r="O95" i="12" s="1"/>
  <c r="N95" i="11"/>
  <c r="N95" i="4" s="1"/>
  <c r="Q95" i="12" s="1"/>
  <c r="O95" i="11"/>
  <c r="O95" i="4" s="1"/>
  <c r="R95" i="12" s="1"/>
  <c r="E96" i="11"/>
  <c r="E96" i="4" s="1"/>
  <c r="I96" i="12" s="1"/>
  <c r="F96" i="11"/>
  <c r="F96" i="4" s="1"/>
  <c r="E96" i="12" s="1"/>
  <c r="G96" i="11"/>
  <c r="G96" i="4" s="1"/>
  <c r="F96" i="12" s="1"/>
  <c r="H96" i="11"/>
  <c r="H96" i="4" s="1"/>
  <c r="J96" i="12" s="1"/>
  <c r="I96" i="11"/>
  <c r="I96" i="4" s="1"/>
  <c r="L96" i="12" s="1"/>
  <c r="J96" i="11"/>
  <c r="J96" i="4" s="1"/>
  <c r="M96" i="12" s="1"/>
  <c r="K96" i="11"/>
  <c r="K96" i="4" s="1"/>
  <c r="G96" i="12" s="1"/>
  <c r="L96" i="11"/>
  <c r="L96" i="4" s="1"/>
  <c r="N96" i="12" s="1"/>
  <c r="M96" i="11"/>
  <c r="M96" i="4" s="1"/>
  <c r="O96" i="12" s="1"/>
  <c r="N96" i="11"/>
  <c r="N96" i="4" s="1"/>
  <c r="Q96" i="12" s="1"/>
  <c r="O96" i="11"/>
  <c r="O96" i="4" s="1"/>
  <c r="R96" i="12" s="1"/>
  <c r="E97" i="11"/>
  <c r="E97" i="4" s="1"/>
  <c r="I97" i="12" s="1"/>
  <c r="F97" i="11"/>
  <c r="F97" i="4" s="1"/>
  <c r="E97" i="12" s="1"/>
  <c r="G97" i="11"/>
  <c r="G97" i="4" s="1"/>
  <c r="F97" i="12" s="1"/>
  <c r="H97" i="11"/>
  <c r="H97" i="4" s="1"/>
  <c r="J97" i="12" s="1"/>
  <c r="I97" i="11"/>
  <c r="I97" i="4" s="1"/>
  <c r="L97" i="12" s="1"/>
  <c r="J97" i="11"/>
  <c r="J97" i="4" s="1"/>
  <c r="M97" i="12" s="1"/>
  <c r="K97" i="11"/>
  <c r="K97" i="4" s="1"/>
  <c r="G97" i="12" s="1"/>
  <c r="L97" i="11"/>
  <c r="L97" i="4" s="1"/>
  <c r="N97" i="12" s="1"/>
  <c r="M97" i="11"/>
  <c r="M97" i="4" s="1"/>
  <c r="O97" i="12" s="1"/>
  <c r="N97" i="11"/>
  <c r="N97" i="4" s="1"/>
  <c r="Q97" i="12" s="1"/>
  <c r="O97" i="11"/>
  <c r="O97" i="4" s="1"/>
  <c r="R97" i="12" s="1"/>
  <c r="E98" i="11"/>
  <c r="E98" i="4" s="1"/>
  <c r="I98" i="12" s="1"/>
  <c r="F98" i="11"/>
  <c r="F98" i="4" s="1"/>
  <c r="E98" i="12" s="1"/>
  <c r="G98" i="11"/>
  <c r="G98" i="4" s="1"/>
  <c r="F98" i="12" s="1"/>
  <c r="H98" i="11"/>
  <c r="H98" i="4" s="1"/>
  <c r="J98" i="12" s="1"/>
  <c r="I98" i="11"/>
  <c r="I98" i="4" s="1"/>
  <c r="L98" i="12" s="1"/>
  <c r="J98" i="11"/>
  <c r="J98" i="4" s="1"/>
  <c r="M98" i="12" s="1"/>
  <c r="K98" i="11"/>
  <c r="K98" i="4" s="1"/>
  <c r="G98" i="12" s="1"/>
  <c r="L98" i="11"/>
  <c r="L98" i="4" s="1"/>
  <c r="N98" i="12" s="1"/>
  <c r="M98" i="11"/>
  <c r="M98" i="4" s="1"/>
  <c r="O98" i="12" s="1"/>
  <c r="N98" i="11"/>
  <c r="N98" i="4" s="1"/>
  <c r="Q98" i="12" s="1"/>
  <c r="O98" i="11"/>
  <c r="O98" i="4" s="1"/>
  <c r="R98" i="12" s="1"/>
  <c r="E99" i="11"/>
  <c r="E99" i="4" s="1"/>
  <c r="I99" i="12" s="1"/>
  <c r="F99" i="11"/>
  <c r="F99" i="4" s="1"/>
  <c r="E99" i="12" s="1"/>
  <c r="G99" i="11"/>
  <c r="G99" i="4" s="1"/>
  <c r="F99" i="12" s="1"/>
  <c r="H99" i="11"/>
  <c r="H99" i="4" s="1"/>
  <c r="J99" i="12" s="1"/>
  <c r="I99" i="11"/>
  <c r="I99" i="4" s="1"/>
  <c r="L99" i="12" s="1"/>
  <c r="J99" i="11"/>
  <c r="J99" i="4" s="1"/>
  <c r="M99" i="12" s="1"/>
  <c r="K99" i="11"/>
  <c r="K99" i="4" s="1"/>
  <c r="G99" i="12" s="1"/>
  <c r="L99" i="11"/>
  <c r="L99" i="4" s="1"/>
  <c r="N99" i="12" s="1"/>
  <c r="M99" i="11"/>
  <c r="M99" i="4" s="1"/>
  <c r="O99" i="12" s="1"/>
  <c r="N99" i="11"/>
  <c r="N99" i="4" s="1"/>
  <c r="Q99" i="12" s="1"/>
  <c r="O99" i="11"/>
  <c r="O99" i="4" s="1"/>
  <c r="R99" i="12" s="1"/>
  <c r="E100" i="11"/>
  <c r="E100" i="4" s="1"/>
  <c r="I100" i="12" s="1"/>
  <c r="F100" i="11"/>
  <c r="F100" i="4" s="1"/>
  <c r="E100" i="12" s="1"/>
  <c r="G100" i="11"/>
  <c r="G100" i="4" s="1"/>
  <c r="F100" i="12" s="1"/>
  <c r="H100" i="11"/>
  <c r="H100" i="4" s="1"/>
  <c r="J100" i="12" s="1"/>
  <c r="I100" i="11"/>
  <c r="I100" i="4" s="1"/>
  <c r="L100" i="12" s="1"/>
  <c r="J100" i="11"/>
  <c r="J100" i="4" s="1"/>
  <c r="M100" i="12" s="1"/>
  <c r="K100" i="11"/>
  <c r="K100" i="4" s="1"/>
  <c r="G100" i="12" s="1"/>
  <c r="L100" i="11"/>
  <c r="L100" i="4" s="1"/>
  <c r="N100" i="12" s="1"/>
  <c r="M100" i="11"/>
  <c r="M100" i="4" s="1"/>
  <c r="O100" i="12" s="1"/>
  <c r="N100" i="11"/>
  <c r="N100" i="4" s="1"/>
  <c r="Q100" i="12" s="1"/>
  <c r="O100" i="11"/>
  <c r="O100" i="4" s="1"/>
  <c r="R100" i="12" s="1"/>
  <c r="E101" i="11"/>
  <c r="E101" i="4" s="1"/>
  <c r="I101" i="12" s="1"/>
  <c r="F101" i="11"/>
  <c r="F101" i="4" s="1"/>
  <c r="E101" i="12" s="1"/>
  <c r="G101" i="11"/>
  <c r="G101" i="4" s="1"/>
  <c r="F101" i="12" s="1"/>
  <c r="H101" i="11"/>
  <c r="H101" i="4" s="1"/>
  <c r="J101" i="12" s="1"/>
  <c r="I101" i="11"/>
  <c r="I101" i="4" s="1"/>
  <c r="L101" i="12" s="1"/>
  <c r="J101" i="11"/>
  <c r="J101" i="4" s="1"/>
  <c r="M101" i="12" s="1"/>
  <c r="K101" i="11"/>
  <c r="K101" i="4" s="1"/>
  <c r="G101" i="12" s="1"/>
  <c r="L101" i="11"/>
  <c r="L101" i="4" s="1"/>
  <c r="N101" i="12" s="1"/>
  <c r="M101" i="11"/>
  <c r="M101" i="4" s="1"/>
  <c r="O101" i="12" s="1"/>
  <c r="N101" i="11"/>
  <c r="N101" i="4" s="1"/>
  <c r="Q101" i="12" s="1"/>
  <c r="O101" i="11"/>
  <c r="O101" i="4" s="1"/>
  <c r="R101" i="12" s="1"/>
  <c r="E102" i="11"/>
  <c r="E102" i="4" s="1"/>
  <c r="I102" i="12" s="1"/>
  <c r="F102" i="11"/>
  <c r="F102" i="4" s="1"/>
  <c r="E102" i="12" s="1"/>
  <c r="G102" i="11"/>
  <c r="G102" i="4" s="1"/>
  <c r="F102" i="12" s="1"/>
  <c r="H102" i="11"/>
  <c r="H102" i="4" s="1"/>
  <c r="J102" i="12" s="1"/>
  <c r="I102" i="11"/>
  <c r="I102" i="4" s="1"/>
  <c r="L102" i="12" s="1"/>
  <c r="J102" i="11"/>
  <c r="J102" i="4" s="1"/>
  <c r="M102" i="12" s="1"/>
  <c r="K102" i="11"/>
  <c r="K102" i="4" s="1"/>
  <c r="G102" i="12" s="1"/>
  <c r="L102" i="11"/>
  <c r="L102" i="4" s="1"/>
  <c r="N102" i="12" s="1"/>
  <c r="M102" i="11"/>
  <c r="M102" i="4" s="1"/>
  <c r="O102" i="12" s="1"/>
  <c r="N102" i="11"/>
  <c r="N102" i="4" s="1"/>
  <c r="Q102" i="12" s="1"/>
  <c r="O102" i="11"/>
  <c r="O102" i="4" s="1"/>
  <c r="R102" i="12" s="1"/>
  <c r="E103" i="11"/>
  <c r="E103" i="4" s="1"/>
  <c r="I103" i="12" s="1"/>
  <c r="F103" i="11"/>
  <c r="F103" i="4" s="1"/>
  <c r="E103" i="12" s="1"/>
  <c r="G103" i="11"/>
  <c r="G103" i="4" s="1"/>
  <c r="F103" i="12" s="1"/>
  <c r="H103" i="11"/>
  <c r="H103" i="4" s="1"/>
  <c r="J103" i="12" s="1"/>
  <c r="I103" i="11"/>
  <c r="I103" i="4" s="1"/>
  <c r="L103" i="12" s="1"/>
  <c r="J103" i="11"/>
  <c r="J103" i="4" s="1"/>
  <c r="M103" i="12" s="1"/>
  <c r="K103" i="11"/>
  <c r="K103" i="4" s="1"/>
  <c r="G103" i="12" s="1"/>
  <c r="L103" i="11"/>
  <c r="L103" i="4" s="1"/>
  <c r="N103" i="12" s="1"/>
  <c r="M103" i="11"/>
  <c r="M103" i="4" s="1"/>
  <c r="O103" i="12" s="1"/>
  <c r="N103" i="11"/>
  <c r="N103" i="4" s="1"/>
  <c r="Q103" i="12" s="1"/>
  <c r="O103" i="11"/>
  <c r="O103" i="4" s="1"/>
  <c r="R103" i="12" s="1"/>
  <c r="E104" i="11"/>
  <c r="E104" i="4" s="1"/>
  <c r="I104" i="12" s="1"/>
  <c r="F104" i="11"/>
  <c r="F104" i="4" s="1"/>
  <c r="E104" i="12" s="1"/>
  <c r="G104" i="11"/>
  <c r="G104" i="4" s="1"/>
  <c r="F104" i="12" s="1"/>
  <c r="H104" i="11"/>
  <c r="H104" i="4" s="1"/>
  <c r="J104" i="12" s="1"/>
  <c r="I104" i="11"/>
  <c r="I104" i="4" s="1"/>
  <c r="L104" i="12" s="1"/>
  <c r="J104" i="11"/>
  <c r="J104" i="4" s="1"/>
  <c r="M104" i="12" s="1"/>
  <c r="K104" i="11"/>
  <c r="K104" i="4" s="1"/>
  <c r="G104" i="12" s="1"/>
  <c r="L104" i="11"/>
  <c r="L104" i="4" s="1"/>
  <c r="N104" i="12" s="1"/>
  <c r="M104" i="11"/>
  <c r="M104" i="4" s="1"/>
  <c r="O104" i="12" s="1"/>
  <c r="N104" i="11"/>
  <c r="N104" i="4" s="1"/>
  <c r="Q104" i="12" s="1"/>
  <c r="O104" i="11"/>
  <c r="O104" i="4" s="1"/>
  <c r="R104" i="12" s="1"/>
  <c r="E105" i="11"/>
  <c r="E105" i="4" s="1"/>
  <c r="I105" i="12" s="1"/>
  <c r="F105" i="11"/>
  <c r="F105" i="4" s="1"/>
  <c r="E105" i="12" s="1"/>
  <c r="G105" i="11"/>
  <c r="G105" i="4" s="1"/>
  <c r="F105" i="12" s="1"/>
  <c r="H105" i="11"/>
  <c r="H105" i="4" s="1"/>
  <c r="J105" i="12" s="1"/>
  <c r="I105" i="11"/>
  <c r="I105" i="4" s="1"/>
  <c r="L105" i="12" s="1"/>
  <c r="J105" i="11"/>
  <c r="J105" i="4" s="1"/>
  <c r="M105" i="12" s="1"/>
  <c r="K105" i="11"/>
  <c r="K105" i="4" s="1"/>
  <c r="G105" i="12" s="1"/>
  <c r="L105" i="11"/>
  <c r="L105" i="4" s="1"/>
  <c r="N105" i="12" s="1"/>
  <c r="M105" i="11"/>
  <c r="M105" i="4" s="1"/>
  <c r="O105" i="12" s="1"/>
  <c r="N105" i="11"/>
  <c r="N105" i="4" s="1"/>
  <c r="Q105" i="12" s="1"/>
  <c r="O105" i="11"/>
  <c r="O105" i="4" s="1"/>
  <c r="R105" i="12" s="1"/>
  <c r="E106" i="11"/>
  <c r="E106" i="4" s="1"/>
  <c r="I106" i="12" s="1"/>
  <c r="F106" i="11"/>
  <c r="F106" i="4" s="1"/>
  <c r="E106" i="12" s="1"/>
  <c r="G106" i="11"/>
  <c r="G106" i="4" s="1"/>
  <c r="F106" i="12" s="1"/>
  <c r="H106" i="11"/>
  <c r="H106" i="4" s="1"/>
  <c r="J106" i="12" s="1"/>
  <c r="I106" i="11"/>
  <c r="I106" i="4" s="1"/>
  <c r="L106" i="12" s="1"/>
  <c r="J106" i="11"/>
  <c r="J106" i="4" s="1"/>
  <c r="M106" i="12" s="1"/>
  <c r="K106" i="11"/>
  <c r="K106" i="4" s="1"/>
  <c r="G106" i="12" s="1"/>
  <c r="L106" i="11"/>
  <c r="L106" i="4" s="1"/>
  <c r="N106" i="12" s="1"/>
  <c r="M106" i="11"/>
  <c r="M106" i="4" s="1"/>
  <c r="O106" i="12" s="1"/>
  <c r="N106" i="11"/>
  <c r="N106" i="4" s="1"/>
  <c r="Q106" i="12" s="1"/>
  <c r="O106" i="11"/>
  <c r="O106" i="4" s="1"/>
  <c r="R106" i="12" s="1"/>
  <c r="E107" i="11"/>
  <c r="E107" i="4" s="1"/>
  <c r="I107" i="12" s="1"/>
  <c r="F107" i="11"/>
  <c r="F107" i="4" s="1"/>
  <c r="E107" i="12" s="1"/>
  <c r="G107" i="11"/>
  <c r="G107" i="4" s="1"/>
  <c r="F107" i="12" s="1"/>
  <c r="H107" i="11"/>
  <c r="H107" i="4" s="1"/>
  <c r="J107" i="12" s="1"/>
  <c r="I107" i="11"/>
  <c r="I107" i="4" s="1"/>
  <c r="L107" i="12" s="1"/>
  <c r="J107" i="11"/>
  <c r="J107" i="4" s="1"/>
  <c r="M107" i="12" s="1"/>
  <c r="K107" i="11"/>
  <c r="K107" i="4" s="1"/>
  <c r="G107" i="12" s="1"/>
  <c r="L107" i="11"/>
  <c r="L107" i="4" s="1"/>
  <c r="N107" i="12" s="1"/>
  <c r="M107" i="11"/>
  <c r="M107" i="4" s="1"/>
  <c r="O107" i="12" s="1"/>
  <c r="N107" i="11"/>
  <c r="N107" i="4" s="1"/>
  <c r="Q107" i="12" s="1"/>
  <c r="O107" i="11"/>
  <c r="O107" i="4" s="1"/>
  <c r="R107" i="12" s="1"/>
  <c r="E108" i="11"/>
  <c r="E108" i="4" s="1"/>
  <c r="I108" i="12" s="1"/>
  <c r="F108" i="11"/>
  <c r="F108" i="4" s="1"/>
  <c r="E108" i="12" s="1"/>
  <c r="G108" i="11"/>
  <c r="G108" i="4" s="1"/>
  <c r="F108" i="12" s="1"/>
  <c r="H108" i="11"/>
  <c r="H108" i="4" s="1"/>
  <c r="J108" i="12" s="1"/>
  <c r="I108" i="11"/>
  <c r="I108" i="4" s="1"/>
  <c r="L108" i="12" s="1"/>
  <c r="J108" i="11"/>
  <c r="J108" i="4" s="1"/>
  <c r="M108" i="12" s="1"/>
  <c r="K108" i="11"/>
  <c r="K108" i="4" s="1"/>
  <c r="G108" i="12" s="1"/>
  <c r="L108" i="11"/>
  <c r="L108" i="4" s="1"/>
  <c r="N108" i="12" s="1"/>
  <c r="M108" i="11"/>
  <c r="M108" i="4" s="1"/>
  <c r="O108" i="12" s="1"/>
  <c r="N108" i="11"/>
  <c r="N108" i="4" s="1"/>
  <c r="Q108" i="12" s="1"/>
  <c r="O108" i="11"/>
  <c r="O108" i="4" s="1"/>
  <c r="R108" i="12" s="1"/>
  <c r="E109" i="11"/>
  <c r="E109" i="4" s="1"/>
  <c r="I109" i="12" s="1"/>
  <c r="F109" i="11"/>
  <c r="F109" i="4" s="1"/>
  <c r="E109" i="12" s="1"/>
  <c r="G109" i="11"/>
  <c r="G109" i="4" s="1"/>
  <c r="F109" i="12" s="1"/>
  <c r="H109" i="11"/>
  <c r="H109" i="4" s="1"/>
  <c r="J109" i="12" s="1"/>
  <c r="I109" i="11"/>
  <c r="I109" i="4" s="1"/>
  <c r="L109" i="12" s="1"/>
  <c r="J109" i="11"/>
  <c r="J109" i="4" s="1"/>
  <c r="M109" i="12" s="1"/>
  <c r="K109" i="11"/>
  <c r="K109" i="4" s="1"/>
  <c r="G109" i="12" s="1"/>
  <c r="L109" i="11"/>
  <c r="L109" i="4" s="1"/>
  <c r="N109" i="12" s="1"/>
  <c r="M109" i="11"/>
  <c r="M109" i="4" s="1"/>
  <c r="O109" i="12" s="1"/>
  <c r="N109" i="11"/>
  <c r="N109" i="4" s="1"/>
  <c r="Q109" i="12" s="1"/>
  <c r="O109" i="11"/>
  <c r="O109" i="4" s="1"/>
  <c r="R109" i="12" s="1"/>
  <c r="E110" i="11"/>
  <c r="E110" i="4" s="1"/>
  <c r="I110" i="12" s="1"/>
  <c r="F110" i="11"/>
  <c r="F110" i="4" s="1"/>
  <c r="E110" i="12" s="1"/>
  <c r="G110" i="11"/>
  <c r="G110" i="4" s="1"/>
  <c r="F110" i="12" s="1"/>
  <c r="H110" i="11"/>
  <c r="H110" i="4" s="1"/>
  <c r="J110" i="12" s="1"/>
  <c r="I110" i="11"/>
  <c r="I110" i="4" s="1"/>
  <c r="L110" i="12" s="1"/>
  <c r="J110" i="11"/>
  <c r="J110" i="4" s="1"/>
  <c r="M110" i="12" s="1"/>
  <c r="K110" i="11"/>
  <c r="K110" i="4" s="1"/>
  <c r="G110" i="12" s="1"/>
  <c r="L110" i="11"/>
  <c r="L110" i="4" s="1"/>
  <c r="N110" i="12" s="1"/>
  <c r="M110" i="11"/>
  <c r="M110" i="4" s="1"/>
  <c r="O110" i="12" s="1"/>
  <c r="N110" i="11"/>
  <c r="N110" i="4" s="1"/>
  <c r="Q110" i="12" s="1"/>
  <c r="O110" i="11"/>
  <c r="O110" i="4" s="1"/>
  <c r="R110" i="12" s="1"/>
  <c r="E111" i="11"/>
  <c r="E111" i="4" s="1"/>
  <c r="I111" i="12" s="1"/>
  <c r="F111" i="11"/>
  <c r="F111" i="4" s="1"/>
  <c r="E111" i="12" s="1"/>
  <c r="G111" i="11"/>
  <c r="G111" i="4" s="1"/>
  <c r="F111" i="12" s="1"/>
  <c r="H111" i="11"/>
  <c r="H111" i="4" s="1"/>
  <c r="J111" i="12" s="1"/>
  <c r="I111" i="11"/>
  <c r="I111" i="4" s="1"/>
  <c r="L111" i="12" s="1"/>
  <c r="J111" i="11"/>
  <c r="J111" i="4" s="1"/>
  <c r="M111" i="12" s="1"/>
  <c r="K111" i="11"/>
  <c r="K111" i="4" s="1"/>
  <c r="G111" i="12" s="1"/>
  <c r="L111" i="11"/>
  <c r="L111" i="4" s="1"/>
  <c r="N111" i="12" s="1"/>
  <c r="M111" i="11"/>
  <c r="M111" i="4" s="1"/>
  <c r="O111" i="12" s="1"/>
  <c r="N111" i="11"/>
  <c r="N111" i="4" s="1"/>
  <c r="Q111" i="12" s="1"/>
  <c r="O111" i="11"/>
  <c r="O111" i="4" s="1"/>
  <c r="R111" i="12" s="1"/>
  <c r="E112" i="11"/>
  <c r="E112" i="4" s="1"/>
  <c r="I112" i="12" s="1"/>
  <c r="F112" i="11"/>
  <c r="F112" i="4" s="1"/>
  <c r="E112" i="12" s="1"/>
  <c r="G112" i="11"/>
  <c r="G112" i="4" s="1"/>
  <c r="F112" i="12" s="1"/>
  <c r="H112" i="11"/>
  <c r="H112" i="4" s="1"/>
  <c r="J112" i="12" s="1"/>
  <c r="I112" i="11"/>
  <c r="I112" i="4" s="1"/>
  <c r="L112" i="12" s="1"/>
  <c r="J112" i="11"/>
  <c r="J112" i="4" s="1"/>
  <c r="M112" i="12" s="1"/>
  <c r="K112" i="11"/>
  <c r="K112" i="4" s="1"/>
  <c r="G112" i="12" s="1"/>
  <c r="L112" i="11"/>
  <c r="L112" i="4" s="1"/>
  <c r="N112" i="12" s="1"/>
  <c r="M112" i="11"/>
  <c r="M112" i="4" s="1"/>
  <c r="O112" i="12" s="1"/>
  <c r="N112" i="11"/>
  <c r="N112" i="4" s="1"/>
  <c r="Q112" i="12" s="1"/>
  <c r="O112" i="11"/>
  <c r="O112" i="4" s="1"/>
  <c r="R112" i="12" s="1"/>
  <c r="E113" i="11"/>
  <c r="E113" i="4" s="1"/>
  <c r="I113" i="12" s="1"/>
  <c r="F113" i="11"/>
  <c r="F113" i="4" s="1"/>
  <c r="E113" i="12" s="1"/>
  <c r="G113" i="11"/>
  <c r="G113" i="4" s="1"/>
  <c r="F113" i="12" s="1"/>
  <c r="H113" i="11"/>
  <c r="H113" i="4" s="1"/>
  <c r="J113" i="12" s="1"/>
  <c r="I113" i="11"/>
  <c r="I113" i="4" s="1"/>
  <c r="L113" i="12" s="1"/>
  <c r="J113" i="11"/>
  <c r="J113" i="4" s="1"/>
  <c r="M113" i="12" s="1"/>
  <c r="K113" i="11"/>
  <c r="K113" i="4" s="1"/>
  <c r="G113" i="12" s="1"/>
  <c r="L113" i="11"/>
  <c r="L113" i="4" s="1"/>
  <c r="N113" i="12" s="1"/>
  <c r="M113" i="11"/>
  <c r="M113" i="4" s="1"/>
  <c r="O113" i="12" s="1"/>
  <c r="N113" i="11"/>
  <c r="N113" i="4" s="1"/>
  <c r="Q113" i="12" s="1"/>
  <c r="O113" i="11"/>
  <c r="O113" i="4" s="1"/>
  <c r="R113" i="12" s="1"/>
  <c r="E114" i="11"/>
  <c r="E114" i="4" s="1"/>
  <c r="I114" i="12" s="1"/>
  <c r="F114" i="11"/>
  <c r="F114" i="4" s="1"/>
  <c r="E114" i="12" s="1"/>
  <c r="G114" i="11"/>
  <c r="G114" i="4" s="1"/>
  <c r="F114" i="12" s="1"/>
  <c r="H114" i="11"/>
  <c r="H114" i="4" s="1"/>
  <c r="J114" i="12" s="1"/>
  <c r="I114" i="11"/>
  <c r="I114" i="4" s="1"/>
  <c r="L114" i="12" s="1"/>
  <c r="J114" i="11"/>
  <c r="J114" i="4" s="1"/>
  <c r="M114" i="12" s="1"/>
  <c r="K114" i="11"/>
  <c r="K114" i="4" s="1"/>
  <c r="G114" i="12" s="1"/>
  <c r="L114" i="11"/>
  <c r="L114" i="4" s="1"/>
  <c r="N114" i="12" s="1"/>
  <c r="M114" i="11"/>
  <c r="M114" i="4" s="1"/>
  <c r="O114" i="12" s="1"/>
  <c r="N114" i="11"/>
  <c r="N114" i="4" s="1"/>
  <c r="Q114" i="12" s="1"/>
  <c r="O114" i="11"/>
  <c r="O114" i="4" s="1"/>
  <c r="R114" i="12" s="1"/>
  <c r="E115" i="11"/>
  <c r="E115" i="4" s="1"/>
  <c r="I115" i="12" s="1"/>
  <c r="F115" i="11"/>
  <c r="F115" i="4" s="1"/>
  <c r="E115" i="12" s="1"/>
  <c r="G115" i="11"/>
  <c r="G115" i="4" s="1"/>
  <c r="F115" i="12" s="1"/>
  <c r="H115" i="11"/>
  <c r="H115" i="4" s="1"/>
  <c r="J115" i="12" s="1"/>
  <c r="I115" i="11"/>
  <c r="I115" i="4" s="1"/>
  <c r="L115" i="12" s="1"/>
  <c r="J115" i="11"/>
  <c r="J115" i="4" s="1"/>
  <c r="M115" i="12" s="1"/>
  <c r="K115" i="11"/>
  <c r="K115" i="4" s="1"/>
  <c r="G115" i="12" s="1"/>
  <c r="L115" i="11"/>
  <c r="L115" i="4" s="1"/>
  <c r="N115" i="12" s="1"/>
  <c r="M115" i="11"/>
  <c r="M115" i="4" s="1"/>
  <c r="O115" i="12" s="1"/>
  <c r="N115" i="11"/>
  <c r="N115" i="4" s="1"/>
  <c r="Q115" i="12" s="1"/>
  <c r="O115" i="11"/>
  <c r="O115" i="4" s="1"/>
  <c r="R115" i="12" s="1"/>
  <c r="E116" i="11"/>
  <c r="E116" i="4" s="1"/>
  <c r="I116" i="12" s="1"/>
  <c r="F116" i="11"/>
  <c r="F116" i="4" s="1"/>
  <c r="E116" i="12" s="1"/>
  <c r="G116" i="11"/>
  <c r="G116" i="4" s="1"/>
  <c r="F116" i="12" s="1"/>
  <c r="H116" i="11"/>
  <c r="H116" i="4" s="1"/>
  <c r="J116" i="12" s="1"/>
  <c r="I116" i="11"/>
  <c r="I116" i="4" s="1"/>
  <c r="L116" i="12" s="1"/>
  <c r="J116" i="11"/>
  <c r="J116" i="4" s="1"/>
  <c r="M116" i="12" s="1"/>
  <c r="K116" i="11"/>
  <c r="K116" i="4" s="1"/>
  <c r="G116" i="12" s="1"/>
  <c r="L116" i="11"/>
  <c r="L116" i="4" s="1"/>
  <c r="N116" i="12" s="1"/>
  <c r="M116" i="11"/>
  <c r="M116" i="4" s="1"/>
  <c r="O116" i="12" s="1"/>
  <c r="N116" i="11"/>
  <c r="N116" i="4" s="1"/>
  <c r="Q116" i="12" s="1"/>
  <c r="O116" i="11"/>
  <c r="O116" i="4" s="1"/>
  <c r="R116" i="12" s="1"/>
  <c r="E117" i="11"/>
  <c r="E117" i="4" s="1"/>
  <c r="I117" i="12" s="1"/>
  <c r="F117" i="11"/>
  <c r="F117" i="4" s="1"/>
  <c r="E117" i="12" s="1"/>
  <c r="G117" i="11"/>
  <c r="G117" i="4" s="1"/>
  <c r="F117" i="12" s="1"/>
  <c r="H117" i="11"/>
  <c r="H117" i="4" s="1"/>
  <c r="J117" i="12" s="1"/>
  <c r="I117" i="11"/>
  <c r="I117" i="4" s="1"/>
  <c r="L117" i="12" s="1"/>
  <c r="J117" i="11"/>
  <c r="J117" i="4" s="1"/>
  <c r="M117" i="12" s="1"/>
  <c r="K117" i="11"/>
  <c r="K117" i="4" s="1"/>
  <c r="G117" i="12" s="1"/>
  <c r="L117" i="11"/>
  <c r="L117" i="4" s="1"/>
  <c r="N117" i="12" s="1"/>
  <c r="M117" i="11"/>
  <c r="M117" i="4" s="1"/>
  <c r="O117" i="12" s="1"/>
  <c r="N117" i="11"/>
  <c r="N117" i="4" s="1"/>
  <c r="Q117" i="12" s="1"/>
  <c r="O117" i="11"/>
  <c r="O117" i="4" s="1"/>
  <c r="R117" i="12" s="1"/>
  <c r="E118" i="11"/>
  <c r="E118" i="4" s="1"/>
  <c r="I118" i="12" s="1"/>
  <c r="F118" i="11"/>
  <c r="F118" i="4" s="1"/>
  <c r="E118" i="12" s="1"/>
  <c r="G118" i="11"/>
  <c r="G118" i="4" s="1"/>
  <c r="F118" i="12" s="1"/>
  <c r="H118" i="11"/>
  <c r="H118" i="4" s="1"/>
  <c r="J118" i="12" s="1"/>
  <c r="I118" i="11"/>
  <c r="I118" i="4" s="1"/>
  <c r="L118" i="12" s="1"/>
  <c r="J118" i="11"/>
  <c r="J118" i="4" s="1"/>
  <c r="M118" i="12" s="1"/>
  <c r="K118" i="11"/>
  <c r="K118" i="4" s="1"/>
  <c r="G118" i="12" s="1"/>
  <c r="L118" i="11"/>
  <c r="L118" i="4" s="1"/>
  <c r="N118" i="12" s="1"/>
  <c r="M118" i="11"/>
  <c r="M118" i="4" s="1"/>
  <c r="O118" i="12" s="1"/>
  <c r="N118" i="11"/>
  <c r="N118" i="4" s="1"/>
  <c r="Q118" i="12" s="1"/>
  <c r="O118" i="11"/>
  <c r="O118" i="4" s="1"/>
  <c r="R118" i="12" s="1"/>
  <c r="E119" i="11"/>
  <c r="E119" i="4" s="1"/>
  <c r="I119" i="12" s="1"/>
  <c r="F119" i="11"/>
  <c r="F119" i="4" s="1"/>
  <c r="E119" i="12" s="1"/>
  <c r="G119" i="11"/>
  <c r="G119" i="4" s="1"/>
  <c r="F119" i="12" s="1"/>
  <c r="H119" i="11"/>
  <c r="H119" i="4" s="1"/>
  <c r="J119" i="12" s="1"/>
  <c r="I119" i="11"/>
  <c r="I119" i="4" s="1"/>
  <c r="L119" i="12" s="1"/>
  <c r="J119" i="11"/>
  <c r="J119" i="4" s="1"/>
  <c r="M119" i="12" s="1"/>
  <c r="K119" i="11"/>
  <c r="K119" i="4" s="1"/>
  <c r="G119" i="12" s="1"/>
  <c r="L119" i="11"/>
  <c r="L119" i="4" s="1"/>
  <c r="N119" i="12" s="1"/>
  <c r="M119" i="11"/>
  <c r="M119" i="4" s="1"/>
  <c r="O119" i="12" s="1"/>
  <c r="N119" i="11"/>
  <c r="N119" i="4" s="1"/>
  <c r="Q119" i="12" s="1"/>
  <c r="O119" i="11"/>
  <c r="O119" i="4" s="1"/>
  <c r="R119" i="12" s="1"/>
  <c r="E120" i="11"/>
  <c r="E120" i="4" s="1"/>
  <c r="I120" i="12" s="1"/>
  <c r="F120" i="11"/>
  <c r="F120" i="4" s="1"/>
  <c r="E120" i="12" s="1"/>
  <c r="G120" i="11"/>
  <c r="G120" i="4" s="1"/>
  <c r="F120" i="12" s="1"/>
  <c r="H120" i="11"/>
  <c r="H120" i="4" s="1"/>
  <c r="J120" i="12" s="1"/>
  <c r="I120" i="11"/>
  <c r="I120" i="4" s="1"/>
  <c r="L120" i="12" s="1"/>
  <c r="J120" i="11"/>
  <c r="J120" i="4" s="1"/>
  <c r="M120" i="12" s="1"/>
  <c r="K120" i="11"/>
  <c r="K120" i="4" s="1"/>
  <c r="G120" i="12" s="1"/>
  <c r="L120" i="11"/>
  <c r="L120" i="4" s="1"/>
  <c r="N120" i="12" s="1"/>
  <c r="M120" i="11"/>
  <c r="M120" i="4" s="1"/>
  <c r="O120" i="12" s="1"/>
  <c r="N120" i="11"/>
  <c r="N120" i="4" s="1"/>
  <c r="Q120" i="12" s="1"/>
  <c r="O120" i="11"/>
  <c r="O120" i="4" s="1"/>
  <c r="R120" i="12" s="1"/>
  <c r="E121" i="11"/>
  <c r="E121" i="4" s="1"/>
  <c r="I121" i="12" s="1"/>
  <c r="F121" i="11"/>
  <c r="F121" i="4" s="1"/>
  <c r="E121" i="12" s="1"/>
  <c r="G121" i="11"/>
  <c r="G121" i="4" s="1"/>
  <c r="F121" i="12" s="1"/>
  <c r="H121" i="11"/>
  <c r="H121" i="4" s="1"/>
  <c r="J121" i="12" s="1"/>
  <c r="I121" i="11"/>
  <c r="I121" i="4" s="1"/>
  <c r="L121" i="12" s="1"/>
  <c r="J121" i="11"/>
  <c r="J121" i="4" s="1"/>
  <c r="M121" i="12" s="1"/>
  <c r="K121" i="11"/>
  <c r="K121" i="4" s="1"/>
  <c r="G121" i="12" s="1"/>
  <c r="L121" i="11"/>
  <c r="L121" i="4" s="1"/>
  <c r="N121" i="12" s="1"/>
  <c r="M121" i="11"/>
  <c r="M121" i="4" s="1"/>
  <c r="O121" i="12" s="1"/>
  <c r="N121" i="11"/>
  <c r="N121" i="4" s="1"/>
  <c r="Q121" i="12" s="1"/>
  <c r="O121" i="11"/>
  <c r="O121" i="4" s="1"/>
  <c r="R121" i="12" s="1"/>
  <c r="E122" i="11"/>
  <c r="E122" i="4" s="1"/>
  <c r="I122" i="12" s="1"/>
  <c r="F122" i="11"/>
  <c r="F122" i="4" s="1"/>
  <c r="E122" i="12" s="1"/>
  <c r="G122" i="11"/>
  <c r="G122" i="4" s="1"/>
  <c r="F122" i="12" s="1"/>
  <c r="H122" i="11"/>
  <c r="H122" i="4" s="1"/>
  <c r="J122" i="12" s="1"/>
  <c r="I122" i="11"/>
  <c r="I122" i="4" s="1"/>
  <c r="L122" i="12" s="1"/>
  <c r="J122" i="11"/>
  <c r="J122" i="4" s="1"/>
  <c r="M122" i="12" s="1"/>
  <c r="K122" i="11"/>
  <c r="K122" i="4" s="1"/>
  <c r="G122" i="12" s="1"/>
  <c r="L122" i="11"/>
  <c r="L122" i="4" s="1"/>
  <c r="N122" i="12" s="1"/>
  <c r="M122" i="11"/>
  <c r="M122" i="4" s="1"/>
  <c r="O122" i="12" s="1"/>
  <c r="N122" i="11"/>
  <c r="N122" i="4" s="1"/>
  <c r="Q122" i="12" s="1"/>
  <c r="O122" i="11"/>
  <c r="O122" i="4" s="1"/>
  <c r="R122" i="12" s="1"/>
  <c r="E123" i="11"/>
  <c r="E123" i="4" s="1"/>
  <c r="I123" i="12" s="1"/>
  <c r="F123" i="11"/>
  <c r="F123" i="4" s="1"/>
  <c r="E123" i="12" s="1"/>
  <c r="G123" i="11"/>
  <c r="G123" i="4" s="1"/>
  <c r="F123" i="12" s="1"/>
  <c r="H123" i="11"/>
  <c r="H123" i="4" s="1"/>
  <c r="J123" i="12" s="1"/>
  <c r="I123" i="11"/>
  <c r="I123" i="4" s="1"/>
  <c r="L123" i="12" s="1"/>
  <c r="J123" i="11"/>
  <c r="J123" i="4" s="1"/>
  <c r="M123" i="12" s="1"/>
  <c r="K123" i="11"/>
  <c r="K123" i="4" s="1"/>
  <c r="G123" i="12" s="1"/>
  <c r="L123" i="11"/>
  <c r="L123" i="4" s="1"/>
  <c r="N123" i="12" s="1"/>
  <c r="M123" i="11"/>
  <c r="M123" i="4" s="1"/>
  <c r="O123" i="12" s="1"/>
  <c r="N123" i="11"/>
  <c r="N123" i="4" s="1"/>
  <c r="Q123" i="12" s="1"/>
  <c r="O123" i="11"/>
  <c r="O123" i="4" s="1"/>
  <c r="R123" i="12" s="1"/>
  <c r="E124" i="11"/>
  <c r="E124" i="4" s="1"/>
  <c r="I124" i="12" s="1"/>
  <c r="F124" i="11"/>
  <c r="F124" i="4" s="1"/>
  <c r="E124" i="12" s="1"/>
  <c r="G124" i="11"/>
  <c r="G124" i="4" s="1"/>
  <c r="F124" i="12" s="1"/>
  <c r="H124" i="11"/>
  <c r="H124" i="4" s="1"/>
  <c r="J124" i="12" s="1"/>
  <c r="I124" i="11"/>
  <c r="I124" i="4" s="1"/>
  <c r="L124" i="12" s="1"/>
  <c r="J124" i="11"/>
  <c r="J124" i="4" s="1"/>
  <c r="M124" i="12" s="1"/>
  <c r="K124" i="11"/>
  <c r="K124" i="4" s="1"/>
  <c r="G124" i="12" s="1"/>
  <c r="L124" i="11"/>
  <c r="L124" i="4" s="1"/>
  <c r="N124" i="12" s="1"/>
  <c r="M124" i="11"/>
  <c r="M124" i="4" s="1"/>
  <c r="O124" i="12" s="1"/>
  <c r="N124" i="11"/>
  <c r="N124" i="4" s="1"/>
  <c r="Q124" i="12" s="1"/>
  <c r="O124" i="11"/>
  <c r="O124" i="4" s="1"/>
  <c r="R124" i="12" s="1"/>
  <c r="E125" i="11"/>
  <c r="E125" i="4" s="1"/>
  <c r="I125" i="12" s="1"/>
  <c r="F125" i="11"/>
  <c r="F125" i="4" s="1"/>
  <c r="E125" i="12" s="1"/>
  <c r="G125" i="11"/>
  <c r="G125" i="4" s="1"/>
  <c r="F125" i="12" s="1"/>
  <c r="H125" i="11"/>
  <c r="H125" i="4" s="1"/>
  <c r="J125" i="12" s="1"/>
  <c r="I125" i="11"/>
  <c r="I125" i="4" s="1"/>
  <c r="L125" i="12" s="1"/>
  <c r="J125" i="11"/>
  <c r="J125" i="4" s="1"/>
  <c r="M125" i="12" s="1"/>
  <c r="K125" i="11"/>
  <c r="K125" i="4" s="1"/>
  <c r="G125" i="12" s="1"/>
  <c r="L125" i="11"/>
  <c r="L125" i="4" s="1"/>
  <c r="N125" i="12" s="1"/>
  <c r="M125" i="11"/>
  <c r="M125" i="4" s="1"/>
  <c r="O125" i="12" s="1"/>
  <c r="N125" i="11"/>
  <c r="N125" i="4" s="1"/>
  <c r="Q125" i="12" s="1"/>
  <c r="O125" i="11"/>
  <c r="O125" i="4" s="1"/>
  <c r="R125" i="12" s="1"/>
  <c r="E126" i="11"/>
  <c r="E126" i="4" s="1"/>
  <c r="I126" i="12" s="1"/>
  <c r="F126" i="11"/>
  <c r="F126" i="4" s="1"/>
  <c r="E126" i="12" s="1"/>
  <c r="G126" i="11"/>
  <c r="G126" i="4" s="1"/>
  <c r="F126" i="12" s="1"/>
  <c r="H126" i="11"/>
  <c r="H126" i="4" s="1"/>
  <c r="J126" i="12" s="1"/>
  <c r="I126" i="11"/>
  <c r="I126" i="4" s="1"/>
  <c r="L126" i="12" s="1"/>
  <c r="J126" i="11"/>
  <c r="J126" i="4" s="1"/>
  <c r="M126" i="12" s="1"/>
  <c r="K126" i="11"/>
  <c r="K126" i="4" s="1"/>
  <c r="G126" i="12" s="1"/>
  <c r="L126" i="11"/>
  <c r="L126" i="4" s="1"/>
  <c r="N126" i="12" s="1"/>
  <c r="M126" i="11"/>
  <c r="M126" i="4" s="1"/>
  <c r="O126" i="12" s="1"/>
  <c r="N126" i="11"/>
  <c r="N126" i="4" s="1"/>
  <c r="Q126" i="12" s="1"/>
  <c r="O126" i="11"/>
  <c r="O126" i="4" s="1"/>
  <c r="R126" i="12" s="1"/>
  <c r="E127" i="11"/>
  <c r="E127" i="4" s="1"/>
  <c r="I127" i="12" s="1"/>
  <c r="F127" i="11"/>
  <c r="F127" i="4" s="1"/>
  <c r="E127" i="12" s="1"/>
  <c r="G127" i="11"/>
  <c r="G127" i="4" s="1"/>
  <c r="F127" i="12" s="1"/>
  <c r="H127" i="11"/>
  <c r="H127" i="4" s="1"/>
  <c r="J127" i="12" s="1"/>
  <c r="I127" i="11"/>
  <c r="I127" i="4" s="1"/>
  <c r="L127" i="12" s="1"/>
  <c r="J127" i="11"/>
  <c r="J127" i="4" s="1"/>
  <c r="M127" i="12" s="1"/>
  <c r="K127" i="11"/>
  <c r="K127" i="4" s="1"/>
  <c r="G127" i="12" s="1"/>
  <c r="L127" i="11"/>
  <c r="L127" i="4" s="1"/>
  <c r="N127" i="12" s="1"/>
  <c r="M127" i="11"/>
  <c r="M127" i="4" s="1"/>
  <c r="O127" i="12" s="1"/>
  <c r="N127" i="11"/>
  <c r="N127" i="4" s="1"/>
  <c r="Q127" i="12" s="1"/>
  <c r="O127" i="11"/>
  <c r="O127" i="4" s="1"/>
  <c r="R127" i="12" s="1"/>
  <c r="E128" i="11"/>
  <c r="E128" i="4" s="1"/>
  <c r="I128" i="12" s="1"/>
  <c r="F128" i="11"/>
  <c r="F128" i="4" s="1"/>
  <c r="E128" i="12" s="1"/>
  <c r="G128" i="11"/>
  <c r="G128" i="4" s="1"/>
  <c r="F128" i="12" s="1"/>
  <c r="H128" i="11"/>
  <c r="H128" i="4" s="1"/>
  <c r="J128" i="12" s="1"/>
  <c r="I128" i="11"/>
  <c r="I128" i="4" s="1"/>
  <c r="L128" i="12" s="1"/>
  <c r="J128" i="11"/>
  <c r="J128" i="4" s="1"/>
  <c r="M128" i="12" s="1"/>
  <c r="K128" i="11"/>
  <c r="K128" i="4" s="1"/>
  <c r="G128" i="12" s="1"/>
  <c r="L128" i="11"/>
  <c r="L128" i="4" s="1"/>
  <c r="N128" i="12" s="1"/>
  <c r="M128" i="11"/>
  <c r="M128" i="4" s="1"/>
  <c r="O128" i="12" s="1"/>
  <c r="N128" i="11"/>
  <c r="N128" i="4" s="1"/>
  <c r="Q128" i="12" s="1"/>
  <c r="O128" i="11"/>
  <c r="O128" i="4" s="1"/>
  <c r="R128" i="12" s="1"/>
  <c r="E129" i="11"/>
  <c r="E129" i="4" s="1"/>
  <c r="I129" i="12" s="1"/>
  <c r="F129" i="11"/>
  <c r="F129" i="4" s="1"/>
  <c r="E129" i="12" s="1"/>
  <c r="G129" i="11"/>
  <c r="G129" i="4" s="1"/>
  <c r="F129" i="12" s="1"/>
  <c r="H129" i="11"/>
  <c r="H129" i="4" s="1"/>
  <c r="J129" i="12" s="1"/>
  <c r="I129" i="11"/>
  <c r="I129" i="4" s="1"/>
  <c r="L129" i="12" s="1"/>
  <c r="J129" i="11"/>
  <c r="J129" i="4" s="1"/>
  <c r="M129" i="12" s="1"/>
  <c r="K129" i="11"/>
  <c r="K129" i="4" s="1"/>
  <c r="G129" i="12" s="1"/>
  <c r="L129" i="11"/>
  <c r="L129" i="4" s="1"/>
  <c r="N129" i="12" s="1"/>
  <c r="M129" i="11"/>
  <c r="M129" i="4" s="1"/>
  <c r="O129" i="12" s="1"/>
  <c r="N129" i="11"/>
  <c r="N129" i="4" s="1"/>
  <c r="Q129" i="12" s="1"/>
  <c r="O129" i="11"/>
  <c r="O129" i="4" s="1"/>
  <c r="R129" i="12" s="1"/>
  <c r="E130" i="11"/>
  <c r="E130" i="4" s="1"/>
  <c r="I130" i="12" s="1"/>
  <c r="F130" i="11"/>
  <c r="F130" i="4" s="1"/>
  <c r="E130" i="12" s="1"/>
  <c r="G130" i="11"/>
  <c r="G130" i="4" s="1"/>
  <c r="F130" i="12" s="1"/>
  <c r="H130" i="11"/>
  <c r="H130" i="4" s="1"/>
  <c r="J130" i="12" s="1"/>
  <c r="I130" i="11"/>
  <c r="I130" i="4" s="1"/>
  <c r="L130" i="12" s="1"/>
  <c r="J130" i="11"/>
  <c r="J130" i="4" s="1"/>
  <c r="M130" i="12" s="1"/>
  <c r="K130" i="11"/>
  <c r="K130" i="4" s="1"/>
  <c r="G130" i="12" s="1"/>
  <c r="L130" i="11"/>
  <c r="L130" i="4" s="1"/>
  <c r="N130" i="12" s="1"/>
  <c r="M130" i="11"/>
  <c r="M130" i="4" s="1"/>
  <c r="O130" i="12" s="1"/>
  <c r="N130" i="11"/>
  <c r="N130" i="4" s="1"/>
  <c r="Q130" i="12" s="1"/>
  <c r="O130" i="11"/>
  <c r="O130" i="4" s="1"/>
  <c r="R130" i="12" s="1"/>
  <c r="E131" i="11"/>
  <c r="E131" i="4" s="1"/>
  <c r="I131" i="12" s="1"/>
  <c r="F131" i="11"/>
  <c r="F131" i="4" s="1"/>
  <c r="E131" i="12" s="1"/>
  <c r="G131" i="11"/>
  <c r="G131" i="4" s="1"/>
  <c r="F131" i="12" s="1"/>
  <c r="H131" i="11"/>
  <c r="H131" i="4" s="1"/>
  <c r="J131" i="12" s="1"/>
  <c r="I131" i="11"/>
  <c r="I131" i="4" s="1"/>
  <c r="L131" i="12" s="1"/>
  <c r="J131" i="11"/>
  <c r="J131" i="4" s="1"/>
  <c r="M131" i="12" s="1"/>
  <c r="K131" i="11"/>
  <c r="K131" i="4" s="1"/>
  <c r="G131" i="12" s="1"/>
  <c r="L131" i="11"/>
  <c r="L131" i="4" s="1"/>
  <c r="N131" i="12" s="1"/>
  <c r="M131" i="11"/>
  <c r="M131" i="4" s="1"/>
  <c r="O131" i="12" s="1"/>
  <c r="N131" i="11"/>
  <c r="N131" i="4" s="1"/>
  <c r="Q131" i="12" s="1"/>
  <c r="O131" i="11"/>
  <c r="O131" i="4" s="1"/>
  <c r="R131" i="12" s="1"/>
  <c r="E132" i="11"/>
  <c r="E132" i="4" s="1"/>
  <c r="I132" i="12" s="1"/>
  <c r="F132" i="11"/>
  <c r="F132" i="4" s="1"/>
  <c r="E132" i="12" s="1"/>
  <c r="G132" i="11"/>
  <c r="G132" i="4" s="1"/>
  <c r="F132" i="12" s="1"/>
  <c r="H132" i="11"/>
  <c r="H132" i="4" s="1"/>
  <c r="J132" i="12" s="1"/>
  <c r="I132" i="11"/>
  <c r="I132" i="4" s="1"/>
  <c r="L132" i="12" s="1"/>
  <c r="J132" i="11"/>
  <c r="J132" i="4" s="1"/>
  <c r="M132" i="12" s="1"/>
  <c r="K132" i="11"/>
  <c r="K132" i="4" s="1"/>
  <c r="G132" i="12" s="1"/>
  <c r="L132" i="11"/>
  <c r="L132" i="4" s="1"/>
  <c r="N132" i="12" s="1"/>
  <c r="M132" i="11"/>
  <c r="M132" i="4" s="1"/>
  <c r="O132" i="12" s="1"/>
  <c r="N132" i="11"/>
  <c r="N132" i="4" s="1"/>
  <c r="Q132" i="12" s="1"/>
  <c r="O132" i="11"/>
  <c r="O132" i="4" s="1"/>
  <c r="R132" i="12" s="1"/>
  <c r="E133" i="11"/>
  <c r="E133" i="4" s="1"/>
  <c r="I133" i="12" s="1"/>
  <c r="F133" i="11"/>
  <c r="F133" i="4" s="1"/>
  <c r="E133" i="12" s="1"/>
  <c r="G133" i="11"/>
  <c r="G133" i="4" s="1"/>
  <c r="F133" i="12" s="1"/>
  <c r="H133" i="11"/>
  <c r="H133" i="4" s="1"/>
  <c r="J133" i="12" s="1"/>
  <c r="I133" i="11"/>
  <c r="I133" i="4" s="1"/>
  <c r="L133" i="12" s="1"/>
  <c r="J133" i="11"/>
  <c r="J133" i="4" s="1"/>
  <c r="M133" i="12" s="1"/>
  <c r="K133" i="11"/>
  <c r="K133" i="4" s="1"/>
  <c r="G133" i="12" s="1"/>
  <c r="L133" i="11"/>
  <c r="L133" i="4" s="1"/>
  <c r="N133" i="12" s="1"/>
  <c r="M133" i="11"/>
  <c r="M133" i="4" s="1"/>
  <c r="O133" i="12" s="1"/>
  <c r="N133" i="11"/>
  <c r="N133" i="4" s="1"/>
  <c r="Q133" i="12" s="1"/>
  <c r="O133" i="11"/>
  <c r="O133" i="4" s="1"/>
  <c r="R133" i="12" s="1"/>
  <c r="E134" i="11"/>
  <c r="E134" i="4" s="1"/>
  <c r="I134" i="12" s="1"/>
  <c r="F134" i="11"/>
  <c r="F134" i="4" s="1"/>
  <c r="E134" i="12" s="1"/>
  <c r="G134" i="11"/>
  <c r="G134" i="4" s="1"/>
  <c r="F134" i="12" s="1"/>
  <c r="H134" i="11"/>
  <c r="H134" i="4" s="1"/>
  <c r="J134" i="12" s="1"/>
  <c r="I134" i="11"/>
  <c r="I134" i="4" s="1"/>
  <c r="L134" i="12" s="1"/>
  <c r="J134" i="11"/>
  <c r="J134" i="4" s="1"/>
  <c r="M134" i="12" s="1"/>
  <c r="K134" i="11"/>
  <c r="K134" i="4" s="1"/>
  <c r="G134" i="12" s="1"/>
  <c r="L134" i="11"/>
  <c r="L134" i="4" s="1"/>
  <c r="N134" i="12" s="1"/>
  <c r="M134" i="11"/>
  <c r="M134" i="4" s="1"/>
  <c r="O134" i="12" s="1"/>
  <c r="N134" i="11"/>
  <c r="N134" i="4" s="1"/>
  <c r="Q134" i="12" s="1"/>
  <c r="O134" i="11"/>
  <c r="O134" i="4" s="1"/>
  <c r="R134" i="12" s="1"/>
  <c r="E135" i="11"/>
  <c r="E135" i="4" s="1"/>
  <c r="I135" i="12" s="1"/>
  <c r="F135" i="11"/>
  <c r="F135" i="4" s="1"/>
  <c r="E135" i="12" s="1"/>
  <c r="G135" i="11"/>
  <c r="G135" i="4" s="1"/>
  <c r="F135" i="12" s="1"/>
  <c r="H135" i="11"/>
  <c r="H135" i="4" s="1"/>
  <c r="J135" i="12" s="1"/>
  <c r="I135" i="11"/>
  <c r="I135" i="4" s="1"/>
  <c r="L135" i="12" s="1"/>
  <c r="J135" i="11"/>
  <c r="J135" i="4" s="1"/>
  <c r="M135" i="12" s="1"/>
  <c r="K135" i="11"/>
  <c r="K135" i="4" s="1"/>
  <c r="G135" i="12" s="1"/>
  <c r="L135" i="11"/>
  <c r="L135" i="4" s="1"/>
  <c r="N135" i="12" s="1"/>
  <c r="M135" i="11"/>
  <c r="M135" i="4" s="1"/>
  <c r="O135" i="12" s="1"/>
  <c r="N135" i="11"/>
  <c r="N135" i="4" s="1"/>
  <c r="Q135" i="12" s="1"/>
  <c r="O135" i="11"/>
  <c r="O135" i="4" s="1"/>
  <c r="R135" i="12" s="1"/>
  <c r="E136" i="11"/>
  <c r="E136" i="4" s="1"/>
  <c r="I136" i="12" s="1"/>
  <c r="F136" i="11"/>
  <c r="F136" i="4" s="1"/>
  <c r="E136" i="12" s="1"/>
  <c r="G136" i="11"/>
  <c r="G136" i="4" s="1"/>
  <c r="F136" i="12" s="1"/>
  <c r="H136" i="11"/>
  <c r="H136" i="4" s="1"/>
  <c r="J136" i="12" s="1"/>
  <c r="I136" i="11"/>
  <c r="I136" i="4" s="1"/>
  <c r="L136" i="12" s="1"/>
  <c r="J136" i="11"/>
  <c r="J136" i="4" s="1"/>
  <c r="M136" i="12" s="1"/>
  <c r="K136" i="11"/>
  <c r="K136" i="4" s="1"/>
  <c r="G136" i="12" s="1"/>
  <c r="L136" i="11"/>
  <c r="L136" i="4" s="1"/>
  <c r="N136" i="12" s="1"/>
  <c r="M136" i="11"/>
  <c r="M136" i="4" s="1"/>
  <c r="O136" i="12" s="1"/>
  <c r="N136" i="11"/>
  <c r="N136" i="4" s="1"/>
  <c r="Q136" i="12" s="1"/>
  <c r="O136" i="11"/>
  <c r="O136" i="4" s="1"/>
  <c r="R136" i="12" s="1"/>
  <c r="E137" i="11"/>
  <c r="E137" i="4" s="1"/>
  <c r="I137" i="12" s="1"/>
  <c r="F137" i="11"/>
  <c r="F137" i="4" s="1"/>
  <c r="E137" i="12" s="1"/>
  <c r="G137" i="11"/>
  <c r="G137" i="4" s="1"/>
  <c r="F137" i="12" s="1"/>
  <c r="H137" i="11"/>
  <c r="H137" i="4" s="1"/>
  <c r="J137" i="12" s="1"/>
  <c r="I137" i="11"/>
  <c r="I137" i="4" s="1"/>
  <c r="L137" i="12" s="1"/>
  <c r="J137" i="11"/>
  <c r="J137" i="4" s="1"/>
  <c r="M137" i="12" s="1"/>
  <c r="K137" i="11"/>
  <c r="K137" i="4" s="1"/>
  <c r="G137" i="12" s="1"/>
  <c r="L137" i="11"/>
  <c r="L137" i="4" s="1"/>
  <c r="N137" i="12" s="1"/>
  <c r="M137" i="11"/>
  <c r="M137" i="4" s="1"/>
  <c r="O137" i="12" s="1"/>
  <c r="N137" i="11"/>
  <c r="N137" i="4" s="1"/>
  <c r="Q137" i="12" s="1"/>
  <c r="O137" i="11"/>
  <c r="O137" i="4" s="1"/>
  <c r="R137" i="12" s="1"/>
  <c r="E138" i="11"/>
  <c r="E138" i="4" s="1"/>
  <c r="I138" i="12" s="1"/>
  <c r="F138" i="11"/>
  <c r="F138" i="4" s="1"/>
  <c r="E138" i="12" s="1"/>
  <c r="G138" i="11"/>
  <c r="G138" i="4" s="1"/>
  <c r="F138" i="12" s="1"/>
  <c r="H138" i="11"/>
  <c r="H138" i="4" s="1"/>
  <c r="J138" i="12" s="1"/>
  <c r="I138" i="11"/>
  <c r="I138" i="4" s="1"/>
  <c r="L138" i="12" s="1"/>
  <c r="J138" i="11"/>
  <c r="J138" i="4" s="1"/>
  <c r="M138" i="12" s="1"/>
  <c r="K138" i="11"/>
  <c r="K138" i="4" s="1"/>
  <c r="G138" i="12" s="1"/>
  <c r="L138" i="11"/>
  <c r="L138" i="4" s="1"/>
  <c r="N138" i="12" s="1"/>
  <c r="M138" i="11"/>
  <c r="M138" i="4" s="1"/>
  <c r="O138" i="12" s="1"/>
  <c r="N138" i="11"/>
  <c r="N138" i="4" s="1"/>
  <c r="Q138" i="12" s="1"/>
  <c r="O138" i="11"/>
  <c r="O138" i="4" s="1"/>
  <c r="R138" i="12" s="1"/>
  <c r="E139" i="11"/>
  <c r="E139" i="4" s="1"/>
  <c r="I139" i="12" s="1"/>
  <c r="F139" i="11"/>
  <c r="F139" i="4" s="1"/>
  <c r="E139" i="12" s="1"/>
  <c r="G139" i="11"/>
  <c r="G139" i="4" s="1"/>
  <c r="F139" i="12" s="1"/>
  <c r="H139" i="11"/>
  <c r="H139" i="4" s="1"/>
  <c r="J139" i="12" s="1"/>
  <c r="I139" i="11"/>
  <c r="I139" i="4" s="1"/>
  <c r="L139" i="12" s="1"/>
  <c r="J139" i="11"/>
  <c r="J139" i="4" s="1"/>
  <c r="M139" i="12" s="1"/>
  <c r="K139" i="11"/>
  <c r="K139" i="4" s="1"/>
  <c r="G139" i="12" s="1"/>
  <c r="L139" i="11"/>
  <c r="L139" i="4" s="1"/>
  <c r="N139" i="12" s="1"/>
  <c r="M139" i="11"/>
  <c r="M139" i="4" s="1"/>
  <c r="O139" i="12" s="1"/>
  <c r="N139" i="11"/>
  <c r="N139" i="4" s="1"/>
  <c r="Q139" i="12" s="1"/>
  <c r="O139" i="11"/>
  <c r="O139" i="4" s="1"/>
  <c r="R139" i="12" s="1"/>
  <c r="E140" i="11"/>
  <c r="E140" i="4" s="1"/>
  <c r="I140" i="12" s="1"/>
  <c r="F140" i="11"/>
  <c r="F140" i="4" s="1"/>
  <c r="E140" i="12" s="1"/>
  <c r="G140" i="11"/>
  <c r="G140" i="4" s="1"/>
  <c r="F140" i="12" s="1"/>
  <c r="H140" i="11"/>
  <c r="H140" i="4" s="1"/>
  <c r="J140" i="12" s="1"/>
  <c r="I140" i="11"/>
  <c r="I140" i="4" s="1"/>
  <c r="L140" i="12" s="1"/>
  <c r="J140" i="11"/>
  <c r="J140" i="4" s="1"/>
  <c r="M140" i="12" s="1"/>
  <c r="K140" i="11"/>
  <c r="K140" i="4" s="1"/>
  <c r="G140" i="12" s="1"/>
  <c r="L140" i="11"/>
  <c r="L140" i="4" s="1"/>
  <c r="N140" i="12" s="1"/>
  <c r="M140" i="11"/>
  <c r="M140" i="4" s="1"/>
  <c r="O140" i="12" s="1"/>
  <c r="N140" i="11"/>
  <c r="N140" i="4" s="1"/>
  <c r="Q140" i="12" s="1"/>
  <c r="O140" i="11"/>
  <c r="O140" i="4" s="1"/>
  <c r="R140" i="12" s="1"/>
  <c r="E141" i="11"/>
  <c r="E141" i="4" s="1"/>
  <c r="I141" i="12" s="1"/>
  <c r="F141" i="11"/>
  <c r="F141" i="4" s="1"/>
  <c r="E141" i="12" s="1"/>
  <c r="G141" i="11"/>
  <c r="G141" i="4" s="1"/>
  <c r="F141" i="12" s="1"/>
  <c r="H141" i="11"/>
  <c r="H141" i="4" s="1"/>
  <c r="J141" i="12" s="1"/>
  <c r="I141" i="11"/>
  <c r="I141" i="4" s="1"/>
  <c r="L141" i="12" s="1"/>
  <c r="J141" i="11"/>
  <c r="J141" i="4" s="1"/>
  <c r="M141" i="12" s="1"/>
  <c r="K141" i="11"/>
  <c r="K141" i="4" s="1"/>
  <c r="G141" i="12" s="1"/>
  <c r="L141" i="11"/>
  <c r="L141" i="4" s="1"/>
  <c r="N141" i="12" s="1"/>
  <c r="M141" i="11"/>
  <c r="M141" i="4" s="1"/>
  <c r="O141" i="12" s="1"/>
  <c r="N141" i="11"/>
  <c r="N141" i="4" s="1"/>
  <c r="Q141" i="12" s="1"/>
  <c r="O141" i="11"/>
  <c r="O141" i="4" s="1"/>
  <c r="R141" i="12" s="1"/>
  <c r="E142" i="11"/>
  <c r="E142" i="4" s="1"/>
  <c r="I142" i="12" s="1"/>
  <c r="F142" i="11"/>
  <c r="F142" i="4" s="1"/>
  <c r="E142" i="12" s="1"/>
  <c r="G142" i="11"/>
  <c r="G142" i="4" s="1"/>
  <c r="F142" i="12" s="1"/>
  <c r="H142" i="11"/>
  <c r="H142" i="4" s="1"/>
  <c r="J142" i="12" s="1"/>
  <c r="I142" i="11"/>
  <c r="I142" i="4" s="1"/>
  <c r="L142" i="12" s="1"/>
  <c r="J142" i="11"/>
  <c r="J142" i="4" s="1"/>
  <c r="M142" i="12" s="1"/>
  <c r="K142" i="11"/>
  <c r="K142" i="4" s="1"/>
  <c r="G142" i="12" s="1"/>
  <c r="L142" i="11"/>
  <c r="L142" i="4" s="1"/>
  <c r="N142" i="12" s="1"/>
  <c r="M142" i="11"/>
  <c r="M142" i="4" s="1"/>
  <c r="O142" i="12" s="1"/>
  <c r="N142" i="11"/>
  <c r="N142" i="4" s="1"/>
  <c r="Q142" i="12" s="1"/>
  <c r="O142" i="11"/>
  <c r="O142" i="4" s="1"/>
  <c r="R142" i="12" s="1"/>
  <c r="E143" i="11"/>
  <c r="E143" i="4" s="1"/>
  <c r="I143" i="12" s="1"/>
  <c r="F143" i="11"/>
  <c r="F143" i="4" s="1"/>
  <c r="E143" i="12" s="1"/>
  <c r="G143" i="11"/>
  <c r="G143" i="4" s="1"/>
  <c r="F143" i="12" s="1"/>
  <c r="H143" i="11"/>
  <c r="H143" i="4" s="1"/>
  <c r="J143" i="12" s="1"/>
  <c r="I143" i="11"/>
  <c r="I143" i="4" s="1"/>
  <c r="L143" i="12" s="1"/>
  <c r="J143" i="11"/>
  <c r="J143" i="4" s="1"/>
  <c r="M143" i="12" s="1"/>
  <c r="K143" i="11"/>
  <c r="K143" i="4" s="1"/>
  <c r="G143" i="12" s="1"/>
  <c r="L143" i="11"/>
  <c r="L143" i="4" s="1"/>
  <c r="N143" i="12" s="1"/>
  <c r="M143" i="11"/>
  <c r="M143" i="4" s="1"/>
  <c r="O143" i="12" s="1"/>
  <c r="N143" i="11"/>
  <c r="N143" i="4" s="1"/>
  <c r="Q143" i="12" s="1"/>
  <c r="O143" i="11"/>
  <c r="O143" i="4" s="1"/>
  <c r="R143" i="12" s="1"/>
  <c r="E144" i="11"/>
  <c r="E144" i="4" s="1"/>
  <c r="I144" i="12" s="1"/>
  <c r="F144" i="11"/>
  <c r="F144" i="4" s="1"/>
  <c r="E144" i="12" s="1"/>
  <c r="G144" i="11"/>
  <c r="G144" i="4" s="1"/>
  <c r="F144" i="12" s="1"/>
  <c r="H144" i="11"/>
  <c r="H144" i="4" s="1"/>
  <c r="J144" i="12" s="1"/>
  <c r="I144" i="11"/>
  <c r="I144" i="4" s="1"/>
  <c r="L144" i="12" s="1"/>
  <c r="J144" i="11"/>
  <c r="J144" i="4" s="1"/>
  <c r="M144" i="12" s="1"/>
  <c r="K144" i="11"/>
  <c r="K144" i="4" s="1"/>
  <c r="G144" i="12" s="1"/>
  <c r="L144" i="11"/>
  <c r="L144" i="4" s="1"/>
  <c r="N144" i="12" s="1"/>
  <c r="M144" i="11"/>
  <c r="M144" i="4" s="1"/>
  <c r="O144" i="12" s="1"/>
  <c r="N144" i="11"/>
  <c r="N144" i="4" s="1"/>
  <c r="Q144" i="12" s="1"/>
  <c r="O144" i="11"/>
  <c r="O144" i="4" s="1"/>
  <c r="R144" i="12" s="1"/>
  <c r="E145" i="11"/>
  <c r="E145" i="4" s="1"/>
  <c r="I145" i="12" s="1"/>
  <c r="F145" i="11"/>
  <c r="F145" i="4" s="1"/>
  <c r="E145" i="12" s="1"/>
  <c r="G145" i="11"/>
  <c r="G145" i="4" s="1"/>
  <c r="F145" i="12" s="1"/>
  <c r="H145" i="11"/>
  <c r="H145" i="4" s="1"/>
  <c r="J145" i="12" s="1"/>
  <c r="I145" i="11"/>
  <c r="I145" i="4" s="1"/>
  <c r="L145" i="12" s="1"/>
  <c r="J145" i="11"/>
  <c r="J145" i="4" s="1"/>
  <c r="M145" i="12" s="1"/>
  <c r="K145" i="11"/>
  <c r="K145" i="4" s="1"/>
  <c r="G145" i="12" s="1"/>
  <c r="L145" i="11"/>
  <c r="L145" i="4" s="1"/>
  <c r="N145" i="12" s="1"/>
  <c r="M145" i="11"/>
  <c r="M145" i="4" s="1"/>
  <c r="O145" i="12" s="1"/>
  <c r="N145" i="11"/>
  <c r="N145" i="4" s="1"/>
  <c r="Q145" i="12" s="1"/>
  <c r="O145" i="11"/>
  <c r="O145" i="4" s="1"/>
  <c r="R145" i="12" s="1"/>
  <c r="E146" i="11"/>
  <c r="E146" i="4" s="1"/>
  <c r="I146" i="12" s="1"/>
  <c r="F146" i="11"/>
  <c r="F146" i="4" s="1"/>
  <c r="E146" i="12" s="1"/>
  <c r="G146" i="11"/>
  <c r="G146" i="4" s="1"/>
  <c r="F146" i="12" s="1"/>
  <c r="H146" i="11"/>
  <c r="H146" i="4" s="1"/>
  <c r="J146" i="12" s="1"/>
  <c r="I146" i="11"/>
  <c r="I146" i="4" s="1"/>
  <c r="L146" i="12" s="1"/>
  <c r="J146" i="11"/>
  <c r="J146" i="4" s="1"/>
  <c r="M146" i="12" s="1"/>
  <c r="K146" i="11"/>
  <c r="K146" i="4" s="1"/>
  <c r="G146" i="12" s="1"/>
  <c r="L146" i="11"/>
  <c r="L146" i="4" s="1"/>
  <c r="N146" i="12" s="1"/>
  <c r="M146" i="11"/>
  <c r="M146" i="4" s="1"/>
  <c r="O146" i="12" s="1"/>
  <c r="N146" i="11"/>
  <c r="N146" i="4" s="1"/>
  <c r="Q146" i="12" s="1"/>
  <c r="O146" i="11"/>
  <c r="O146" i="4" s="1"/>
  <c r="R146" i="12" s="1"/>
  <c r="E147" i="11"/>
  <c r="E147" i="4" s="1"/>
  <c r="I147" i="12" s="1"/>
  <c r="F147" i="11"/>
  <c r="F147" i="4" s="1"/>
  <c r="E147" i="12" s="1"/>
  <c r="G147" i="11"/>
  <c r="G147" i="4" s="1"/>
  <c r="F147" i="12" s="1"/>
  <c r="H147" i="11"/>
  <c r="H147" i="4" s="1"/>
  <c r="J147" i="12" s="1"/>
  <c r="I147" i="11"/>
  <c r="I147" i="4" s="1"/>
  <c r="L147" i="12" s="1"/>
  <c r="J147" i="11"/>
  <c r="J147" i="4" s="1"/>
  <c r="M147" i="12" s="1"/>
  <c r="K147" i="11"/>
  <c r="K147" i="4" s="1"/>
  <c r="G147" i="12" s="1"/>
  <c r="L147" i="11"/>
  <c r="L147" i="4" s="1"/>
  <c r="N147" i="12" s="1"/>
  <c r="M147" i="11"/>
  <c r="M147" i="4" s="1"/>
  <c r="O147" i="12" s="1"/>
  <c r="N147" i="11"/>
  <c r="N147" i="4" s="1"/>
  <c r="Q147" i="12" s="1"/>
  <c r="O147" i="11"/>
  <c r="O147" i="4" s="1"/>
  <c r="R147" i="12" s="1"/>
  <c r="E148" i="11"/>
  <c r="E148" i="4" s="1"/>
  <c r="I148" i="12" s="1"/>
  <c r="F148" i="11"/>
  <c r="F148" i="4" s="1"/>
  <c r="E148" i="12" s="1"/>
  <c r="G148" i="11"/>
  <c r="G148" i="4" s="1"/>
  <c r="F148" i="12" s="1"/>
  <c r="H148" i="11"/>
  <c r="H148" i="4" s="1"/>
  <c r="J148" i="12" s="1"/>
  <c r="I148" i="11"/>
  <c r="I148" i="4" s="1"/>
  <c r="L148" i="12" s="1"/>
  <c r="J148" i="11"/>
  <c r="J148" i="4" s="1"/>
  <c r="M148" i="12" s="1"/>
  <c r="K148" i="11"/>
  <c r="K148" i="4" s="1"/>
  <c r="G148" i="12" s="1"/>
  <c r="L148" i="11"/>
  <c r="L148" i="4" s="1"/>
  <c r="N148" i="12" s="1"/>
  <c r="M148" i="11"/>
  <c r="M148" i="4" s="1"/>
  <c r="O148" i="12" s="1"/>
  <c r="N148" i="11"/>
  <c r="N148" i="4" s="1"/>
  <c r="Q148" i="12" s="1"/>
  <c r="O148" i="11"/>
  <c r="O148" i="4" s="1"/>
  <c r="R148" i="12" s="1"/>
  <c r="E149" i="11"/>
  <c r="E149" i="4" s="1"/>
  <c r="I149" i="12" s="1"/>
  <c r="F149" i="11"/>
  <c r="F149" i="4" s="1"/>
  <c r="E149" i="12" s="1"/>
  <c r="G149" i="11"/>
  <c r="G149" i="4" s="1"/>
  <c r="F149" i="12" s="1"/>
  <c r="H149" i="11"/>
  <c r="H149" i="4" s="1"/>
  <c r="J149" i="12" s="1"/>
  <c r="I149" i="11"/>
  <c r="I149" i="4" s="1"/>
  <c r="L149" i="12" s="1"/>
  <c r="J149" i="11"/>
  <c r="J149" i="4" s="1"/>
  <c r="M149" i="12" s="1"/>
  <c r="K149" i="11"/>
  <c r="K149" i="4" s="1"/>
  <c r="G149" i="12" s="1"/>
  <c r="L149" i="11"/>
  <c r="L149" i="4" s="1"/>
  <c r="N149" i="12" s="1"/>
  <c r="M149" i="11"/>
  <c r="M149" i="4" s="1"/>
  <c r="O149" i="12" s="1"/>
  <c r="N149" i="11"/>
  <c r="N149" i="4" s="1"/>
  <c r="Q149" i="12" s="1"/>
  <c r="O149" i="11"/>
  <c r="O149" i="4" s="1"/>
  <c r="R149" i="12" s="1"/>
  <c r="E150" i="11"/>
  <c r="E150" i="4" s="1"/>
  <c r="I150" i="12" s="1"/>
  <c r="F150" i="11"/>
  <c r="F150" i="4" s="1"/>
  <c r="E150" i="12" s="1"/>
  <c r="G150" i="11"/>
  <c r="G150" i="4" s="1"/>
  <c r="F150" i="12" s="1"/>
  <c r="H150" i="11"/>
  <c r="H150" i="4" s="1"/>
  <c r="J150" i="12" s="1"/>
  <c r="I150" i="11"/>
  <c r="I150" i="4" s="1"/>
  <c r="L150" i="12" s="1"/>
  <c r="J150" i="11"/>
  <c r="J150" i="4" s="1"/>
  <c r="M150" i="12" s="1"/>
  <c r="K150" i="11"/>
  <c r="K150" i="4" s="1"/>
  <c r="G150" i="12" s="1"/>
  <c r="L150" i="11"/>
  <c r="L150" i="4" s="1"/>
  <c r="N150" i="12" s="1"/>
  <c r="M150" i="11"/>
  <c r="M150" i="4" s="1"/>
  <c r="O150" i="12" s="1"/>
  <c r="N150" i="11"/>
  <c r="N150" i="4" s="1"/>
  <c r="Q150" i="12" s="1"/>
  <c r="O150" i="11"/>
  <c r="O150" i="4" s="1"/>
  <c r="R150" i="12" s="1"/>
  <c r="E151" i="11"/>
  <c r="E151" i="4" s="1"/>
  <c r="I151" i="12" s="1"/>
  <c r="F151" i="11"/>
  <c r="F151" i="4" s="1"/>
  <c r="E151" i="12" s="1"/>
  <c r="G151" i="11"/>
  <c r="G151" i="4" s="1"/>
  <c r="F151" i="12" s="1"/>
  <c r="H151" i="11"/>
  <c r="H151" i="4" s="1"/>
  <c r="J151" i="12" s="1"/>
  <c r="I151" i="11"/>
  <c r="I151" i="4" s="1"/>
  <c r="L151" i="12" s="1"/>
  <c r="J151" i="11"/>
  <c r="J151" i="4" s="1"/>
  <c r="M151" i="12" s="1"/>
  <c r="K151" i="11"/>
  <c r="K151" i="4" s="1"/>
  <c r="G151" i="12" s="1"/>
  <c r="L151" i="11"/>
  <c r="L151" i="4" s="1"/>
  <c r="N151" i="12" s="1"/>
  <c r="M151" i="11"/>
  <c r="M151" i="4" s="1"/>
  <c r="O151" i="12" s="1"/>
  <c r="N151" i="11"/>
  <c r="N151" i="4" s="1"/>
  <c r="Q151" i="12" s="1"/>
  <c r="O151" i="11"/>
  <c r="O151" i="4" s="1"/>
  <c r="R151" i="12" s="1"/>
  <c r="E152" i="11"/>
  <c r="E152" i="4" s="1"/>
  <c r="I152" i="12" s="1"/>
  <c r="F152" i="11"/>
  <c r="F152" i="4" s="1"/>
  <c r="E152" i="12" s="1"/>
  <c r="G152" i="11"/>
  <c r="G152" i="4" s="1"/>
  <c r="F152" i="12" s="1"/>
  <c r="H152" i="11"/>
  <c r="H152" i="4" s="1"/>
  <c r="J152" i="12" s="1"/>
  <c r="I152" i="11"/>
  <c r="I152" i="4" s="1"/>
  <c r="L152" i="12" s="1"/>
  <c r="J152" i="11"/>
  <c r="J152" i="4" s="1"/>
  <c r="M152" i="12" s="1"/>
  <c r="K152" i="11"/>
  <c r="K152" i="4" s="1"/>
  <c r="G152" i="12" s="1"/>
  <c r="L152" i="11"/>
  <c r="L152" i="4" s="1"/>
  <c r="N152" i="12" s="1"/>
  <c r="M152" i="11"/>
  <c r="M152" i="4" s="1"/>
  <c r="O152" i="12" s="1"/>
  <c r="N152" i="11"/>
  <c r="N152" i="4" s="1"/>
  <c r="Q152" i="12" s="1"/>
  <c r="O152" i="11"/>
  <c r="O152" i="4" s="1"/>
  <c r="R152" i="12" s="1"/>
  <c r="E153" i="11"/>
  <c r="E153" i="4" s="1"/>
  <c r="I153" i="12" s="1"/>
  <c r="F153" i="11"/>
  <c r="F153" i="4" s="1"/>
  <c r="E153" i="12" s="1"/>
  <c r="G153" i="11"/>
  <c r="G153" i="4" s="1"/>
  <c r="F153" i="12" s="1"/>
  <c r="H153" i="11"/>
  <c r="H153" i="4" s="1"/>
  <c r="J153" i="12" s="1"/>
  <c r="I153" i="11"/>
  <c r="I153" i="4" s="1"/>
  <c r="L153" i="12" s="1"/>
  <c r="J153" i="11"/>
  <c r="J153" i="4" s="1"/>
  <c r="M153" i="12" s="1"/>
  <c r="K153" i="11"/>
  <c r="K153" i="4" s="1"/>
  <c r="G153" i="12" s="1"/>
  <c r="L153" i="11"/>
  <c r="L153" i="4" s="1"/>
  <c r="N153" i="12" s="1"/>
  <c r="M153" i="11"/>
  <c r="M153" i="4" s="1"/>
  <c r="O153" i="12" s="1"/>
  <c r="N153" i="11"/>
  <c r="N153" i="4" s="1"/>
  <c r="Q153" i="12" s="1"/>
  <c r="O153" i="11"/>
  <c r="O153" i="4" s="1"/>
  <c r="R153" i="12" s="1"/>
  <c r="E154" i="11"/>
  <c r="E154" i="4" s="1"/>
  <c r="I154" i="12" s="1"/>
  <c r="F154" i="11"/>
  <c r="F154" i="4" s="1"/>
  <c r="E154" i="12" s="1"/>
  <c r="G154" i="11"/>
  <c r="G154" i="4" s="1"/>
  <c r="F154" i="12" s="1"/>
  <c r="H154" i="11"/>
  <c r="H154" i="4" s="1"/>
  <c r="J154" i="12" s="1"/>
  <c r="I154" i="11"/>
  <c r="I154" i="4" s="1"/>
  <c r="L154" i="12" s="1"/>
  <c r="J154" i="11"/>
  <c r="J154" i="4" s="1"/>
  <c r="M154" i="12" s="1"/>
  <c r="K154" i="11"/>
  <c r="K154" i="4" s="1"/>
  <c r="G154" i="12" s="1"/>
  <c r="L154" i="11"/>
  <c r="L154" i="4" s="1"/>
  <c r="N154" i="12" s="1"/>
  <c r="M154" i="11"/>
  <c r="M154" i="4" s="1"/>
  <c r="O154" i="12" s="1"/>
  <c r="N154" i="11"/>
  <c r="N154" i="4" s="1"/>
  <c r="Q154" i="12" s="1"/>
  <c r="O154" i="11"/>
  <c r="O154" i="4" s="1"/>
  <c r="R154" i="12" s="1"/>
  <c r="E155" i="11"/>
  <c r="E155" i="4" s="1"/>
  <c r="I155" i="12" s="1"/>
  <c r="F155" i="11"/>
  <c r="F155" i="4" s="1"/>
  <c r="E155" i="12" s="1"/>
  <c r="G155" i="11"/>
  <c r="G155" i="4" s="1"/>
  <c r="F155" i="12" s="1"/>
  <c r="H155" i="11"/>
  <c r="H155" i="4" s="1"/>
  <c r="J155" i="12" s="1"/>
  <c r="I155" i="11"/>
  <c r="I155" i="4" s="1"/>
  <c r="L155" i="12" s="1"/>
  <c r="J155" i="11"/>
  <c r="J155" i="4" s="1"/>
  <c r="M155" i="12" s="1"/>
  <c r="K155" i="11"/>
  <c r="K155" i="4" s="1"/>
  <c r="G155" i="12" s="1"/>
  <c r="L155" i="11"/>
  <c r="L155" i="4" s="1"/>
  <c r="N155" i="12" s="1"/>
  <c r="M155" i="11"/>
  <c r="M155" i="4" s="1"/>
  <c r="O155" i="12" s="1"/>
  <c r="N155" i="11"/>
  <c r="N155" i="4" s="1"/>
  <c r="Q155" i="12" s="1"/>
  <c r="O155" i="11"/>
  <c r="O155" i="4" s="1"/>
  <c r="R155" i="12" s="1"/>
  <c r="E156" i="11"/>
  <c r="E156" i="4" s="1"/>
  <c r="I156" i="12" s="1"/>
  <c r="F156" i="11"/>
  <c r="F156" i="4" s="1"/>
  <c r="E156" i="12" s="1"/>
  <c r="G156" i="11"/>
  <c r="G156" i="4" s="1"/>
  <c r="F156" i="12" s="1"/>
  <c r="H156" i="11"/>
  <c r="H156" i="4" s="1"/>
  <c r="J156" i="12" s="1"/>
  <c r="I156" i="11"/>
  <c r="I156" i="4" s="1"/>
  <c r="L156" i="12" s="1"/>
  <c r="J156" i="11"/>
  <c r="J156" i="4" s="1"/>
  <c r="M156" i="12" s="1"/>
  <c r="K156" i="11"/>
  <c r="K156" i="4" s="1"/>
  <c r="G156" i="12" s="1"/>
  <c r="L156" i="11"/>
  <c r="L156" i="4" s="1"/>
  <c r="N156" i="12" s="1"/>
  <c r="M156" i="11"/>
  <c r="M156" i="4" s="1"/>
  <c r="O156" i="12" s="1"/>
  <c r="N156" i="11"/>
  <c r="N156" i="4" s="1"/>
  <c r="Q156" i="12" s="1"/>
  <c r="O156" i="11"/>
  <c r="O156" i="4" s="1"/>
  <c r="R156" i="12" s="1"/>
  <c r="E157" i="11"/>
  <c r="E157" i="4" s="1"/>
  <c r="I157" i="12" s="1"/>
  <c r="F157" i="11"/>
  <c r="F157" i="4" s="1"/>
  <c r="E157" i="12" s="1"/>
  <c r="G157" i="11"/>
  <c r="G157" i="4" s="1"/>
  <c r="F157" i="12" s="1"/>
  <c r="H157" i="11"/>
  <c r="H157" i="4" s="1"/>
  <c r="J157" i="12" s="1"/>
  <c r="I157" i="11"/>
  <c r="I157" i="4" s="1"/>
  <c r="L157" i="12" s="1"/>
  <c r="J157" i="11"/>
  <c r="J157" i="4" s="1"/>
  <c r="M157" i="12" s="1"/>
  <c r="K157" i="11"/>
  <c r="K157" i="4" s="1"/>
  <c r="G157" i="12" s="1"/>
  <c r="L157" i="11"/>
  <c r="L157" i="4" s="1"/>
  <c r="N157" i="12" s="1"/>
  <c r="M157" i="11"/>
  <c r="M157" i="4" s="1"/>
  <c r="O157" i="12" s="1"/>
  <c r="N157" i="11"/>
  <c r="N157" i="4" s="1"/>
  <c r="Q157" i="12" s="1"/>
  <c r="O157" i="11"/>
  <c r="O157" i="4" s="1"/>
  <c r="R157" i="12" s="1"/>
  <c r="E158" i="11"/>
  <c r="E158" i="4" s="1"/>
  <c r="I158" i="12" s="1"/>
  <c r="F158" i="11"/>
  <c r="F158" i="4" s="1"/>
  <c r="E158" i="12" s="1"/>
  <c r="G158" i="11"/>
  <c r="G158" i="4" s="1"/>
  <c r="F158" i="12" s="1"/>
  <c r="H158" i="11"/>
  <c r="H158" i="4" s="1"/>
  <c r="J158" i="12" s="1"/>
  <c r="I158" i="11"/>
  <c r="I158" i="4" s="1"/>
  <c r="L158" i="12" s="1"/>
  <c r="J158" i="11"/>
  <c r="J158" i="4" s="1"/>
  <c r="M158" i="12" s="1"/>
  <c r="K158" i="11"/>
  <c r="K158" i="4" s="1"/>
  <c r="G158" i="12" s="1"/>
  <c r="L158" i="11"/>
  <c r="L158" i="4" s="1"/>
  <c r="N158" i="12" s="1"/>
  <c r="M158" i="11"/>
  <c r="M158" i="4" s="1"/>
  <c r="O158" i="12" s="1"/>
  <c r="N158" i="11"/>
  <c r="N158" i="4" s="1"/>
  <c r="Q158" i="12" s="1"/>
  <c r="O158" i="11"/>
  <c r="O158" i="4" s="1"/>
  <c r="R158" i="12" s="1"/>
  <c r="E159" i="11"/>
  <c r="E159" i="4" s="1"/>
  <c r="I159" i="12" s="1"/>
  <c r="F159" i="11"/>
  <c r="F159" i="4" s="1"/>
  <c r="E159" i="12" s="1"/>
  <c r="G159" i="11"/>
  <c r="G159" i="4" s="1"/>
  <c r="F159" i="12" s="1"/>
  <c r="H159" i="11"/>
  <c r="H159" i="4" s="1"/>
  <c r="J159" i="12" s="1"/>
  <c r="I159" i="11"/>
  <c r="I159" i="4" s="1"/>
  <c r="L159" i="12" s="1"/>
  <c r="J159" i="11"/>
  <c r="J159" i="4" s="1"/>
  <c r="M159" i="12" s="1"/>
  <c r="K159" i="11"/>
  <c r="K159" i="4" s="1"/>
  <c r="G159" i="12" s="1"/>
  <c r="L159" i="11"/>
  <c r="L159" i="4" s="1"/>
  <c r="N159" i="12" s="1"/>
  <c r="M159" i="11"/>
  <c r="M159" i="4" s="1"/>
  <c r="O159" i="12" s="1"/>
  <c r="N159" i="11"/>
  <c r="N159" i="4" s="1"/>
  <c r="Q159" i="12" s="1"/>
  <c r="O159" i="11"/>
  <c r="O159" i="4" s="1"/>
  <c r="R159" i="12" s="1"/>
  <c r="E160" i="11"/>
  <c r="E160" i="4" s="1"/>
  <c r="I160" i="12" s="1"/>
  <c r="F160" i="11"/>
  <c r="F160" i="4" s="1"/>
  <c r="E160" i="12" s="1"/>
  <c r="G160" i="11"/>
  <c r="G160" i="4" s="1"/>
  <c r="F160" i="12" s="1"/>
  <c r="H160" i="11"/>
  <c r="H160" i="4" s="1"/>
  <c r="J160" i="12" s="1"/>
  <c r="I160" i="11"/>
  <c r="I160" i="4" s="1"/>
  <c r="L160" i="12" s="1"/>
  <c r="J160" i="11"/>
  <c r="J160" i="4" s="1"/>
  <c r="M160" i="12" s="1"/>
  <c r="K160" i="11"/>
  <c r="K160" i="4" s="1"/>
  <c r="G160" i="12" s="1"/>
  <c r="L160" i="11"/>
  <c r="L160" i="4" s="1"/>
  <c r="N160" i="12" s="1"/>
  <c r="M160" i="11"/>
  <c r="M160" i="4" s="1"/>
  <c r="O160" i="12" s="1"/>
  <c r="N160" i="11"/>
  <c r="N160" i="4" s="1"/>
  <c r="Q160" i="12" s="1"/>
  <c r="O160" i="11"/>
  <c r="O160" i="4" s="1"/>
  <c r="R160" i="12" s="1"/>
  <c r="E161" i="11"/>
  <c r="E161" i="4" s="1"/>
  <c r="I161" i="12" s="1"/>
  <c r="F161" i="11"/>
  <c r="F161" i="4" s="1"/>
  <c r="E161" i="12" s="1"/>
  <c r="G161" i="11"/>
  <c r="G161" i="4" s="1"/>
  <c r="F161" i="12" s="1"/>
  <c r="H161" i="11"/>
  <c r="H161" i="4" s="1"/>
  <c r="J161" i="12" s="1"/>
  <c r="I161" i="11"/>
  <c r="I161" i="4" s="1"/>
  <c r="L161" i="12" s="1"/>
  <c r="J161" i="11"/>
  <c r="J161" i="4" s="1"/>
  <c r="M161" i="12" s="1"/>
  <c r="K161" i="11"/>
  <c r="K161" i="4" s="1"/>
  <c r="G161" i="12" s="1"/>
  <c r="L161" i="11"/>
  <c r="L161" i="4" s="1"/>
  <c r="N161" i="12" s="1"/>
  <c r="M161" i="11"/>
  <c r="M161" i="4" s="1"/>
  <c r="O161" i="12" s="1"/>
  <c r="N161" i="11"/>
  <c r="N161" i="4" s="1"/>
  <c r="Q161" i="12" s="1"/>
  <c r="O161" i="11"/>
  <c r="O161" i="4" s="1"/>
  <c r="R161" i="12" s="1"/>
  <c r="E162" i="11"/>
  <c r="E162" i="4" s="1"/>
  <c r="I162" i="12" s="1"/>
  <c r="F162" i="11"/>
  <c r="F162" i="4" s="1"/>
  <c r="E162" i="12" s="1"/>
  <c r="G162" i="11"/>
  <c r="G162" i="4" s="1"/>
  <c r="F162" i="12" s="1"/>
  <c r="H162" i="11"/>
  <c r="H162" i="4" s="1"/>
  <c r="J162" i="12" s="1"/>
  <c r="I162" i="11"/>
  <c r="I162" i="4" s="1"/>
  <c r="L162" i="12" s="1"/>
  <c r="J162" i="11"/>
  <c r="J162" i="4" s="1"/>
  <c r="M162" i="12" s="1"/>
  <c r="K162" i="11"/>
  <c r="K162" i="4" s="1"/>
  <c r="G162" i="12" s="1"/>
  <c r="L162" i="11"/>
  <c r="L162" i="4" s="1"/>
  <c r="N162" i="12" s="1"/>
  <c r="M162" i="11"/>
  <c r="M162" i="4" s="1"/>
  <c r="O162" i="12" s="1"/>
  <c r="N162" i="11"/>
  <c r="N162" i="4" s="1"/>
  <c r="Q162" i="12" s="1"/>
  <c r="O162" i="11"/>
  <c r="O162" i="4" s="1"/>
  <c r="R162" i="12" s="1"/>
  <c r="E163" i="11"/>
  <c r="E163" i="4" s="1"/>
  <c r="I163" i="12" s="1"/>
  <c r="F163" i="11"/>
  <c r="F163" i="4" s="1"/>
  <c r="E163" i="12" s="1"/>
  <c r="G163" i="11"/>
  <c r="G163" i="4" s="1"/>
  <c r="F163" i="12" s="1"/>
  <c r="H163" i="11"/>
  <c r="H163" i="4" s="1"/>
  <c r="J163" i="12" s="1"/>
  <c r="I163" i="11"/>
  <c r="I163" i="4" s="1"/>
  <c r="L163" i="12" s="1"/>
  <c r="J163" i="11"/>
  <c r="J163" i="4" s="1"/>
  <c r="M163" i="12" s="1"/>
  <c r="K163" i="11"/>
  <c r="K163" i="4" s="1"/>
  <c r="G163" i="12" s="1"/>
  <c r="L163" i="11"/>
  <c r="L163" i="4" s="1"/>
  <c r="N163" i="12" s="1"/>
  <c r="M163" i="11"/>
  <c r="M163" i="4" s="1"/>
  <c r="O163" i="12" s="1"/>
  <c r="N163" i="11"/>
  <c r="N163" i="4" s="1"/>
  <c r="Q163" i="12" s="1"/>
  <c r="O163" i="11"/>
  <c r="O163" i="4" s="1"/>
  <c r="R163" i="12" s="1"/>
  <c r="E164" i="11"/>
  <c r="E164" i="4" s="1"/>
  <c r="I164" i="12" s="1"/>
  <c r="F164" i="11"/>
  <c r="F164" i="4" s="1"/>
  <c r="E164" i="12" s="1"/>
  <c r="G164" i="11"/>
  <c r="G164" i="4" s="1"/>
  <c r="F164" i="12" s="1"/>
  <c r="H164" i="11"/>
  <c r="H164" i="4" s="1"/>
  <c r="J164" i="12" s="1"/>
  <c r="I164" i="11"/>
  <c r="I164" i="4" s="1"/>
  <c r="L164" i="12" s="1"/>
  <c r="J164" i="11"/>
  <c r="J164" i="4" s="1"/>
  <c r="M164" i="12" s="1"/>
  <c r="K164" i="11"/>
  <c r="K164" i="4" s="1"/>
  <c r="G164" i="12" s="1"/>
  <c r="L164" i="11"/>
  <c r="L164" i="4" s="1"/>
  <c r="N164" i="12" s="1"/>
  <c r="M164" i="11"/>
  <c r="M164" i="4" s="1"/>
  <c r="O164" i="12" s="1"/>
  <c r="N164" i="11"/>
  <c r="N164" i="4" s="1"/>
  <c r="Q164" i="12" s="1"/>
  <c r="O164" i="11"/>
  <c r="O164" i="4" s="1"/>
  <c r="R164" i="12" s="1"/>
  <c r="E165" i="11"/>
  <c r="E165" i="4" s="1"/>
  <c r="I165" i="12" s="1"/>
  <c r="F165" i="11"/>
  <c r="F165" i="4" s="1"/>
  <c r="E165" i="12" s="1"/>
  <c r="G165" i="11"/>
  <c r="G165" i="4" s="1"/>
  <c r="F165" i="12" s="1"/>
  <c r="H165" i="11"/>
  <c r="H165" i="4" s="1"/>
  <c r="J165" i="12" s="1"/>
  <c r="I165" i="11"/>
  <c r="I165" i="4" s="1"/>
  <c r="L165" i="12" s="1"/>
  <c r="J165" i="11"/>
  <c r="J165" i="4" s="1"/>
  <c r="M165" i="12" s="1"/>
  <c r="K165" i="11"/>
  <c r="K165" i="4" s="1"/>
  <c r="G165" i="12" s="1"/>
  <c r="L165" i="11"/>
  <c r="L165" i="4" s="1"/>
  <c r="N165" i="12" s="1"/>
  <c r="M165" i="11"/>
  <c r="M165" i="4" s="1"/>
  <c r="O165" i="12" s="1"/>
  <c r="N165" i="11"/>
  <c r="N165" i="4" s="1"/>
  <c r="Q165" i="12" s="1"/>
  <c r="O165" i="11"/>
  <c r="O165" i="4" s="1"/>
  <c r="R165" i="12" s="1"/>
  <c r="E166" i="11"/>
  <c r="E166" i="4" s="1"/>
  <c r="I166" i="12" s="1"/>
  <c r="F166" i="11"/>
  <c r="F166" i="4" s="1"/>
  <c r="E166" i="12" s="1"/>
  <c r="G166" i="11"/>
  <c r="G166" i="4" s="1"/>
  <c r="F166" i="12" s="1"/>
  <c r="H166" i="11"/>
  <c r="H166" i="4" s="1"/>
  <c r="J166" i="12" s="1"/>
  <c r="I166" i="11"/>
  <c r="I166" i="4" s="1"/>
  <c r="L166" i="12" s="1"/>
  <c r="J166" i="11"/>
  <c r="J166" i="4" s="1"/>
  <c r="M166" i="12" s="1"/>
  <c r="K166" i="11"/>
  <c r="K166" i="4" s="1"/>
  <c r="G166" i="12" s="1"/>
  <c r="L166" i="11"/>
  <c r="L166" i="4" s="1"/>
  <c r="N166" i="12" s="1"/>
  <c r="M166" i="11"/>
  <c r="M166" i="4" s="1"/>
  <c r="O166" i="12" s="1"/>
  <c r="N166" i="11"/>
  <c r="N166" i="4" s="1"/>
  <c r="Q166" i="12" s="1"/>
  <c r="O166" i="11"/>
  <c r="O166" i="4" s="1"/>
  <c r="R166" i="12" s="1"/>
  <c r="E167" i="11"/>
  <c r="E167" i="4" s="1"/>
  <c r="I167" i="12" s="1"/>
  <c r="F167" i="11"/>
  <c r="F167" i="4" s="1"/>
  <c r="E167" i="12" s="1"/>
  <c r="G167" i="11"/>
  <c r="G167" i="4" s="1"/>
  <c r="F167" i="12" s="1"/>
  <c r="H167" i="11"/>
  <c r="H167" i="4" s="1"/>
  <c r="J167" i="12" s="1"/>
  <c r="I167" i="11"/>
  <c r="I167" i="4" s="1"/>
  <c r="L167" i="12" s="1"/>
  <c r="J167" i="11"/>
  <c r="J167" i="4" s="1"/>
  <c r="M167" i="12" s="1"/>
  <c r="K167" i="11"/>
  <c r="K167" i="4" s="1"/>
  <c r="G167" i="12" s="1"/>
  <c r="L167" i="11"/>
  <c r="L167" i="4" s="1"/>
  <c r="N167" i="12" s="1"/>
  <c r="M167" i="11"/>
  <c r="M167" i="4" s="1"/>
  <c r="O167" i="12" s="1"/>
  <c r="N167" i="11"/>
  <c r="N167" i="4" s="1"/>
  <c r="Q167" i="12" s="1"/>
  <c r="O167" i="11"/>
  <c r="O167" i="4" s="1"/>
  <c r="R167" i="12" s="1"/>
  <c r="E168" i="11"/>
  <c r="E168" i="4" s="1"/>
  <c r="I168" i="12" s="1"/>
  <c r="F168" i="11"/>
  <c r="F168" i="4" s="1"/>
  <c r="E168" i="12" s="1"/>
  <c r="G168" i="11"/>
  <c r="G168" i="4" s="1"/>
  <c r="F168" i="12" s="1"/>
  <c r="H168" i="11"/>
  <c r="H168" i="4" s="1"/>
  <c r="J168" i="12" s="1"/>
  <c r="I168" i="11"/>
  <c r="I168" i="4" s="1"/>
  <c r="L168" i="12" s="1"/>
  <c r="J168" i="11"/>
  <c r="J168" i="4" s="1"/>
  <c r="M168" i="12" s="1"/>
  <c r="K168" i="11"/>
  <c r="K168" i="4" s="1"/>
  <c r="G168" i="12" s="1"/>
  <c r="L168" i="11"/>
  <c r="L168" i="4" s="1"/>
  <c r="N168" i="12" s="1"/>
  <c r="M168" i="11"/>
  <c r="M168" i="4" s="1"/>
  <c r="O168" i="12" s="1"/>
  <c r="N168" i="11"/>
  <c r="N168" i="4" s="1"/>
  <c r="Q168" i="12" s="1"/>
  <c r="O168" i="11"/>
  <c r="O168" i="4" s="1"/>
  <c r="R168" i="12" s="1"/>
  <c r="E169" i="11"/>
  <c r="E169" i="4" s="1"/>
  <c r="I169" i="12" s="1"/>
  <c r="F169" i="11"/>
  <c r="F169" i="4" s="1"/>
  <c r="E169" i="12" s="1"/>
  <c r="G169" i="11"/>
  <c r="G169" i="4" s="1"/>
  <c r="F169" i="12" s="1"/>
  <c r="H169" i="11"/>
  <c r="H169" i="4" s="1"/>
  <c r="J169" i="12" s="1"/>
  <c r="I169" i="11"/>
  <c r="I169" i="4" s="1"/>
  <c r="L169" i="12" s="1"/>
  <c r="J169" i="11"/>
  <c r="J169" i="4" s="1"/>
  <c r="M169" i="12" s="1"/>
  <c r="K169" i="11"/>
  <c r="K169" i="4" s="1"/>
  <c r="G169" i="12" s="1"/>
  <c r="L169" i="11"/>
  <c r="L169" i="4" s="1"/>
  <c r="N169" i="12" s="1"/>
  <c r="M169" i="11"/>
  <c r="M169" i="4" s="1"/>
  <c r="O169" i="12" s="1"/>
  <c r="N169" i="11"/>
  <c r="N169" i="4" s="1"/>
  <c r="Q169" i="12" s="1"/>
  <c r="O169" i="11"/>
  <c r="O169" i="4" s="1"/>
  <c r="R169" i="12" s="1"/>
  <c r="E170" i="11"/>
  <c r="E170" i="4" s="1"/>
  <c r="I170" i="12" s="1"/>
  <c r="F170" i="11"/>
  <c r="F170" i="4" s="1"/>
  <c r="E170" i="12" s="1"/>
  <c r="G170" i="11"/>
  <c r="G170" i="4" s="1"/>
  <c r="F170" i="12" s="1"/>
  <c r="H170" i="11"/>
  <c r="H170" i="4" s="1"/>
  <c r="J170" i="12" s="1"/>
  <c r="I170" i="11"/>
  <c r="I170" i="4" s="1"/>
  <c r="L170" i="12" s="1"/>
  <c r="J170" i="11"/>
  <c r="J170" i="4" s="1"/>
  <c r="M170" i="12" s="1"/>
  <c r="K170" i="11"/>
  <c r="K170" i="4" s="1"/>
  <c r="G170" i="12" s="1"/>
  <c r="L170" i="11"/>
  <c r="L170" i="4" s="1"/>
  <c r="N170" i="12" s="1"/>
  <c r="M170" i="11"/>
  <c r="M170" i="4" s="1"/>
  <c r="O170" i="12" s="1"/>
  <c r="N170" i="11"/>
  <c r="N170" i="4" s="1"/>
  <c r="Q170" i="12" s="1"/>
  <c r="O170" i="11"/>
  <c r="O170" i="4" s="1"/>
  <c r="R170" i="12" s="1"/>
  <c r="E171" i="11"/>
  <c r="E171" i="4" s="1"/>
  <c r="I171" i="12" s="1"/>
  <c r="F171" i="11"/>
  <c r="F171" i="4" s="1"/>
  <c r="E171" i="12" s="1"/>
  <c r="G171" i="11"/>
  <c r="G171" i="4" s="1"/>
  <c r="F171" i="12" s="1"/>
  <c r="H171" i="11"/>
  <c r="H171" i="4" s="1"/>
  <c r="J171" i="12" s="1"/>
  <c r="I171" i="11"/>
  <c r="I171" i="4" s="1"/>
  <c r="L171" i="12" s="1"/>
  <c r="J171" i="11"/>
  <c r="J171" i="4" s="1"/>
  <c r="M171" i="12" s="1"/>
  <c r="K171" i="11"/>
  <c r="K171" i="4" s="1"/>
  <c r="G171" i="12" s="1"/>
  <c r="L171" i="11"/>
  <c r="L171" i="4" s="1"/>
  <c r="N171" i="12" s="1"/>
  <c r="M171" i="11"/>
  <c r="M171" i="4" s="1"/>
  <c r="O171" i="12" s="1"/>
  <c r="N171" i="11"/>
  <c r="N171" i="4" s="1"/>
  <c r="Q171" i="12" s="1"/>
  <c r="O171" i="11"/>
  <c r="O171" i="4" s="1"/>
  <c r="R171" i="12" s="1"/>
  <c r="E172" i="11"/>
  <c r="E172" i="4" s="1"/>
  <c r="I172" i="12" s="1"/>
  <c r="F172" i="11"/>
  <c r="F172" i="4" s="1"/>
  <c r="E172" i="12" s="1"/>
  <c r="G172" i="11"/>
  <c r="G172" i="4" s="1"/>
  <c r="F172" i="12" s="1"/>
  <c r="H172" i="11"/>
  <c r="H172" i="4" s="1"/>
  <c r="J172" i="12" s="1"/>
  <c r="I172" i="11"/>
  <c r="I172" i="4" s="1"/>
  <c r="L172" i="12" s="1"/>
  <c r="J172" i="11"/>
  <c r="J172" i="4" s="1"/>
  <c r="M172" i="12" s="1"/>
  <c r="K172" i="11"/>
  <c r="K172" i="4" s="1"/>
  <c r="G172" i="12" s="1"/>
  <c r="L172" i="11"/>
  <c r="L172" i="4" s="1"/>
  <c r="N172" i="12" s="1"/>
  <c r="M172" i="11"/>
  <c r="M172" i="4" s="1"/>
  <c r="O172" i="12" s="1"/>
  <c r="N172" i="11"/>
  <c r="N172" i="4" s="1"/>
  <c r="Q172" i="12" s="1"/>
  <c r="O172" i="11"/>
  <c r="O172" i="4" s="1"/>
  <c r="R172" i="12" s="1"/>
  <c r="E173" i="11"/>
  <c r="E173" i="4" s="1"/>
  <c r="I173" i="12" s="1"/>
  <c r="F173" i="11"/>
  <c r="F173" i="4" s="1"/>
  <c r="E173" i="12" s="1"/>
  <c r="G173" i="11"/>
  <c r="G173" i="4" s="1"/>
  <c r="F173" i="12" s="1"/>
  <c r="H173" i="11"/>
  <c r="H173" i="4" s="1"/>
  <c r="J173" i="12" s="1"/>
  <c r="I173" i="11"/>
  <c r="I173" i="4" s="1"/>
  <c r="L173" i="12" s="1"/>
  <c r="J173" i="11"/>
  <c r="J173" i="4" s="1"/>
  <c r="M173" i="12" s="1"/>
  <c r="K173" i="11"/>
  <c r="K173" i="4" s="1"/>
  <c r="G173" i="12" s="1"/>
  <c r="L173" i="11"/>
  <c r="L173" i="4" s="1"/>
  <c r="N173" i="12" s="1"/>
  <c r="M173" i="11"/>
  <c r="M173" i="4" s="1"/>
  <c r="O173" i="12" s="1"/>
  <c r="N173" i="11"/>
  <c r="N173" i="4" s="1"/>
  <c r="Q173" i="12" s="1"/>
  <c r="O173" i="11"/>
  <c r="O173" i="4" s="1"/>
  <c r="R173" i="12" s="1"/>
  <c r="E174" i="11"/>
  <c r="E174" i="4" s="1"/>
  <c r="I174" i="12" s="1"/>
  <c r="F174" i="11"/>
  <c r="F174" i="4" s="1"/>
  <c r="E174" i="12" s="1"/>
  <c r="G174" i="11"/>
  <c r="G174" i="4" s="1"/>
  <c r="F174" i="12" s="1"/>
  <c r="H174" i="11"/>
  <c r="H174" i="4" s="1"/>
  <c r="J174" i="12" s="1"/>
  <c r="I174" i="11"/>
  <c r="I174" i="4" s="1"/>
  <c r="L174" i="12" s="1"/>
  <c r="J174" i="11"/>
  <c r="J174" i="4" s="1"/>
  <c r="M174" i="12" s="1"/>
  <c r="K174" i="11"/>
  <c r="K174" i="4" s="1"/>
  <c r="G174" i="12" s="1"/>
  <c r="L174" i="11"/>
  <c r="L174" i="4" s="1"/>
  <c r="N174" i="12" s="1"/>
  <c r="M174" i="11"/>
  <c r="M174" i="4" s="1"/>
  <c r="O174" i="12" s="1"/>
  <c r="N174" i="11"/>
  <c r="N174" i="4" s="1"/>
  <c r="Q174" i="12" s="1"/>
  <c r="O174" i="11"/>
  <c r="O174" i="4" s="1"/>
  <c r="R174" i="12" s="1"/>
  <c r="E175" i="11"/>
  <c r="E175" i="4" s="1"/>
  <c r="I175" i="12" s="1"/>
  <c r="F175" i="11"/>
  <c r="F175" i="4" s="1"/>
  <c r="E175" i="12" s="1"/>
  <c r="G175" i="11"/>
  <c r="G175" i="4" s="1"/>
  <c r="F175" i="12" s="1"/>
  <c r="H175" i="11"/>
  <c r="H175" i="4" s="1"/>
  <c r="J175" i="12" s="1"/>
  <c r="I175" i="11"/>
  <c r="I175" i="4" s="1"/>
  <c r="L175" i="12" s="1"/>
  <c r="J175" i="11"/>
  <c r="J175" i="4" s="1"/>
  <c r="M175" i="12" s="1"/>
  <c r="K175" i="11"/>
  <c r="K175" i="4" s="1"/>
  <c r="G175" i="12" s="1"/>
  <c r="L175" i="11"/>
  <c r="L175" i="4" s="1"/>
  <c r="N175" i="12" s="1"/>
  <c r="M175" i="11"/>
  <c r="M175" i="4" s="1"/>
  <c r="O175" i="12" s="1"/>
  <c r="N175" i="11"/>
  <c r="N175" i="4" s="1"/>
  <c r="Q175" i="12" s="1"/>
  <c r="O175" i="11"/>
  <c r="O175" i="4" s="1"/>
  <c r="R175" i="12" s="1"/>
  <c r="E176" i="11"/>
  <c r="E176" i="4" s="1"/>
  <c r="I176" i="12" s="1"/>
  <c r="F176" i="11"/>
  <c r="F176" i="4" s="1"/>
  <c r="E176" i="12" s="1"/>
  <c r="G176" i="11"/>
  <c r="G176" i="4" s="1"/>
  <c r="F176" i="12" s="1"/>
  <c r="H176" i="11"/>
  <c r="H176" i="4" s="1"/>
  <c r="J176" i="12" s="1"/>
  <c r="I176" i="11"/>
  <c r="I176" i="4" s="1"/>
  <c r="L176" i="12" s="1"/>
  <c r="J176" i="11"/>
  <c r="J176" i="4" s="1"/>
  <c r="M176" i="12" s="1"/>
  <c r="K176" i="11"/>
  <c r="K176" i="4" s="1"/>
  <c r="G176" i="12" s="1"/>
  <c r="L176" i="11"/>
  <c r="L176" i="4" s="1"/>
  <c r="N176" i="12" s="1"/>
  <c r="M176" i="11"/>
  <c r="M176" i="4" s="1"/>
  <c r="O176" i="12" s="1"/>
  <c r="N176" i="11"/>
  <c r="N176" i="4" s="1"/>
  <c r="Q176" i="12" s="1"/>
  <c r="O176" i="11"/>
  <c r="O176" i="4" s="1"/>
  <c r="R176" i="12" s="1"/>
  <c r="E177" i="11"/>
  <c r="E177" i="4" s="1"/>
  <c r="I177" i="12" s="1"/>
  <c r="F177" i="11"/>
  <c r="F177" i="4" s="1"/>
  <c r="E177" i="12" s="1"/>
  <c r="G177" i="11"/>
  <c r="G177" i="4" s="1"/>
  <c r="F177" i="12" s="1"/>
  <c r="H177" i="11"/>
  <c r="H177" i="4" s="1"/>
  <c r="J177" i="12" s="1"/>
  <c r="I177" i="11"/>
  <c r="I177" i="4" s="1"/>
  <c r="L177" i="12" s="1"/>
  <c r="J177" i="11"/>
  <c r="J177" i="4" s="1"/>
  <c r="M177" i="12" s="1"/>
  <c r="K177" i="11"/>
  <c r="K177" i="4" s="1"/>
  <c r="G177" i="12" s="1"/>
  <c r="L177" i="11"/>
  <c r="L177" i="4" s="1"/>
  <c r="N177" i="12" s="1"/>
  <c r="M177" i="11"/>
  <c r="M177" i="4" s="1"/>
  <c r="O177" i="12" s="1"/>
  <c r="N177" i="11"/>
  <c r="N177" i="4" s="1"/>
  <c r="Q177" i="12" s="1"/>
  <c r="O177" i="11"/>
  <c r="O177" i="4" s="1"/>
  <c r="R177" i="12" s="1"/>
  <c r="E178" i="11"/>
  <c r="E178" i="4" s="1"/>
  <c r="I178" i="12" s="1"/>
  <c r="F178" i="11"/>
  <c r="F178" i="4" s="1"/>
  <c r="E178" i="12" s="1"/>
  <c r="G178" i="11"/>
  <c r="G178" i="4" s="1"/>
  <c r="F178" i="12" s="1"/>
  <c r="H178" i="11"/>
  <c r="H178" i="4" s="1"/>
  <c r="J178" i="12" s="1"/>
  <c r="I178" i="11"/>
  <c r="I178" i="4" s="1"/>
  <c r="L178" i="12" s="1"/>
  <c r="J178" i="11"/>
  <c r="J178" i="4" s="1"/>
  <c r="M178" i="12" s="1"/>
  <c r="K178" i="11"/>
  <c r="K178" i="4" s="1"/>
  <c r="G178" i="12" s="1"/>
  <c r="L178" i="11"/>
  <c r="L178" i="4" s="1"/>
  <c r="N178" i="12" s="1"/>
  <c r="M178" i="11"/>
  <c r="M178" i="4" s="1"/>
  <c r="O178" i="12" s="1"/>
  <c r="N178" i="11"/>
  <c r="N178" i="4" s="1"/>
  <c r="Q178" i="12" s="1"/>
  <c r="O178" i="11"/>
  <c r="O178" i="4" s="1"/>
  <c r="R178" i="12" s="1"/>
  <c r="E179" i="11"/>
  <c r="E179" i="4" s="1"/>
  <c r="I179" i="12" s="1"/>
  <c r="F179" i="11"/>
  <c r="F179" i="4" s="1"/>
  <c r="E179" i="12" s="1"/>
  <c r="G179" i="11"/>
  <c r="G179" i="4" s="1"/>
  <c r="F179" i="12" s="1"/>
  <c r="H179" i="11"/>
  <c r="H179" i="4" s="1"/>
  <c r="J179" i="12" s="1"/>
  <c r="I179" i="11"/>
  <c r="I179" i="4" s="1"/>
  <c r="L179" i="12" s="1"/>
  <c r="J179" i="11"/>
  <c r="J179" i="4" s="1"/>
  <c r="M179" i="12" s="1"/>
  <c r="K179" i="11"/>
  <c r="K179" i="4" s="1"/>
  <c r="G179" i="12" s="1"/>
  <c r="L179" i="11"/>
  <c r="L179" i="4" s="1"/>
  <c r="N179" i="12" s="1"/>
  <c r="M179" i="11"/>
  <c r="M179" i="4" s="1"/>
  <c r="O179" i="12" s="1"/>
  <c r="N179" i="11"/>
  <c r="N179" i="4" s="1"/>
  <c r="Q179" i="12" s="1"/>
  <c r="O179" i="11"/>
  <c r="O179" i="4" s="1"/>
  <c r="R179" i="12" s="1"/>
  <c r="E180" i="11"/>
  <c r="E180" i="4" s="1"/>
  <c r="I180" i="12" s="1"/>
  <c r="F180" i="11"/>
  <c r="F180" i="4" s="1"/>
  <c r="E180" i="12" s="1"/>
  <c r="G180" i="11"/>
  <c r="G180" i="4" s="1"/>
  <c r="F180" i="12" s="1"/>
  <c r="H180" i="11"/>
  <c r="H180" i="4" s="1"/>
  <c r="J180" i="12" s="1"/>
  <c r="I180" i="11"/>
  <c r="I180" i="4" s="1"/>
  <c r="L180" i="12" s="1"/>
  <c r="J180" i="11"/>
  <c r="J180" i="4" s="1"/>
  <c r="M180" i="12" s="1"/>
  <c r="K180" i="11"/>
  <c r="K180" i="4" s="1"/>
  <c r="G180" i="12" s="1"/>
  <c r="L180" i="11"/>
  <c r="L180" i="4" s="1"/>
  <c r="N180" i="12" s="1"/>
  <c r="M180" i="11"/>
  <c r="M180" i="4" s="1"/>
  <c r="O180" i="12" s="1"/>
  <c r="N180" i="11"/>
  <c r="N180" i="4" s="1"/>
  <c r="Q180" i="12" s="1"/>
  <c r="O180" i="11"/>
  <c r="O180" i="4" s="1"/>
  <c r="R180" i="12" s="1"/>
  <c r="E181" i="11"/>
  <c r="E181" i="4" s="1"/>
  <c r="I181" i="12" s="1"/>
  <c r="F181" i="11"/>
  <c r="F181" i="4" s="1"/>
  <c r="E181" i="12" s="1"/>
  <c r="G181" i="11"/>
  <c r="G181" i="4" s="1"/>
  <c r="F181" i="12" s="1"/>
  <c r="H181" i="11"/>
  <c r="H181" i="4" s="1"/>
  <c r="J181" i="12" s="1"/>
  <c r="I181" i="11"/>
  <c r="I181" i="4" s="1"/>
  <c r="L181" i="12" s="1"/>
  <c r="J181" i="11"/>
  <c r="J181" i="4" s="1"/>
  <c r="M181" i="12" s="1"/>
  <c r="K181" i="11"/>
  <c r="K181" i="4" s="1"/>
  <c r="G181" i="12" s="1"/>
  <c r="L181" i="11"/>
  <c r="L181" i="4" s="1"/>
  <c r="N181" i="12" s="1"/>
  <c r="M181" i="11"/>
  <c r="M181" i="4" s="1"/>
  <c r="O181" i="12" s="1"/>
  <c r="N181" i="11"/>
  <c r="N181" i="4" s="1"/>
  <c r="Q181" i="12" s="1"/>
  <c r="O181" i="11"/>
  <c r="O181" i="4" s="1"/>
  <c r="R181" i="12" s="1"/>
  <c r="E182" i="11"/>
  <c r="E182" i="4" s="1"/>
  <c r="I182" i="12" s="1"/>
  <c r="F182" i="11"/>
  <c r="F182" i="4" s="1"/>
  <c r="E182" i="12" s="1"/>
  <c r="G182" i="11"/>
  <c r="G182" i="4" s="1"/>
  <c r="F182" i="12" s="1"/>
  <c r="H182" i="11"/>
  <c r="H182" i="4" s="1"/>
  <c r="J182" i="12" s="1"/>
  <c r="I182" i="11"/>
  <c r="I182" i="4" s="1"/>
  <c r="L182" i="12" s="1"/>
  <c r="J182" i="11"/>
  <c r="J182" i="4" s="1"/>
  <c r="M182" i="12" s="1"/>
  <c r="K182" i="11"/>
  <c r="K182" i="4" s="1"/>
  <c r="G182" i="12" s="1"/>
  <c r="L182" i="11"/>
  <c r="L182" i="4" s="1"/>
  <c r="N182" i="12" s="1"/>
  <c r="M182" i="11"/>
  <c r="M182" i="4" s="1"/>
  <c r="O182" i="12" s="1"/>
  <c r="N182" i="11"/>
  <c r="N182" i="4" s="1"/>
  <c r="Q182" i="12" s="1"/>
  <c r="O182" i="11"/>
  <c r="O182" i="4" s="1"/>
  <c r="R182" i="12" s="1"/>
  <c r="E183" i="11"/>
  <c r="E183" i="4" s="1"/>
  <c r="I183" i="12" s="1"/>
  <c r="F183" i="11"/>
  <c r="F183" i="4" s="1"/>
  <c r="E183" i="12" s="1"/>
  <c r="G183" i="11"/>
  <c r="G183" i="4" s="1"/>
  <c r="F183" i="12" s="1"/>
  <c r="H183" i="11"/>
  <c r="H183" i="4" s="1"/>
  <c r="J183" i="12" s="1"/>
  <c r="I183" i="11"/>
  <c r="I183" i="4" s="1"/>
  <c r="L183" i="12" s="1"/>
  <c r="J183" i="11"/>
  <c r="J183" i="4" s="1"/>
  <c r="M183" i="12" s="1"/>
  <c r="K183" i="11"/>
  <c r="K183" i="4" s="1"/>
  <c r="G183" i="12" s="1"/>
  <c r="L183" i="11"/>
  <c r="L183" i="4" s="1"/>
  <c r="N183" i="12" s="1"/>
  <c r="M183" i="11"/>
  <c r="M183" i="4" s="1"/>
  <c r="O183" i="12" s="1"/>
  <c r="N183" i="11"/>
  <c r="N183" i="4" s="1"/>
  <c r="Q183" i="12" s="1"/>
  <c r="O183" i="11"/>
  <c r="O183" i="4" s="1"/>
  <c r="R183" i="12" s="1"/>
  <c r="E184" i="11"/>
  <c r="E184" i="4" s="1"/>
  <c r="I184" i="12" s="1"/>
  <c r="F184" i="11"/>
  <c r="F184" i="4" s="1"/>
  <c r="E184" i="12" s="1"/>
  <c r="G184" i="11"/>
  <c r="G184" i="4" s="1"/>
  <c r="F184" i="12" s="1"/>
  <c r="H184" i="11"/>
  <c r="H184" i="4" s="1"/>
  <c r="J184" i="12" s="1"/>
  <c r="I184" i="11"/>
  <c r="I184" i="4" s="1"/>
  <c r="L184" i="12" s="1"/>
  <c r="J184" i="11"/>
  <c r="J184" i="4" s="1"/>
  <c r="M184" i="12" s="1"/>
  <c r="K184" i="11"/>
  <c r="K184" i="4" s="1"/>
  <c r="G184" i="12" s="1"/>
  <c r="L184" i="11"/>
  <c r="L184" i="4" s="1"/>
  <c r="N184" i="12" s="1"/>
  <c r="M184" i="11"/>
  <c r="M184" i="4" s="1"/>
  <c r="O184" i="12" s="1"/>
  <c r="N184" i="11"/>
  <c r="N184" i="4" s="1"/>
  <c r="Q184" i="12" s="1"/>
  <c r="O184" i="11"/>
  <c r="O184" i="4" s="1"/>
  <c r="R184" i="12" s="1"/>
  <c r="E185" i="11"/>
  <c r="E185" i="4" s="1"/>
  <c r="I185" i="12" s="1"/>
  <c r="F185" i="11"/>
  <c r="F185" i="4" s="1"/>
  <c r="E185" i="12" s="1"/>
  <c r="G185" i="11"/>
  <c r="G185" i="4" s="1"/>
  <c r="F185" i="12" s="1"/>
  <c r="H185" i="11"/>
  <c r="H185" i="4" s="1"/>
  <c r="J185" i="12" s="1"/>
  <c r="I185" i="11"/>
  <c r="I185" i="4" s="1"/>
  <c r="L185" i="12" s="1"/>
  <c r="J185" i="11"/>
  <c r="J185" i="4" s="1"/>
  <c r="M185" i="12" s="1"/>
  <c r="K185" i="11"/>
  <c r="K185" i="4" s="1"/>
  <c r="G185" i="12" s="1"/>
  <c r="L185" i="11"/>
  <c r="L185" i="4" s="1"/>
  <c r="N185" i="12" s="1"/>
  <c r="M185" i="11"/>
  <c r="M185" i="4" s="1"/>
  <c r="O185" i="12" s="1"/>
  <c r="N185" i="11"/>
  <c r="N185" i="4" s="1"/>
  <c r="Q185" i="12" s="1"/>
  <c r="O185" i="11"/>
  <c r="O185" i="4" s="1"/>
  <c r="R185" i="12" s="1"/>
  <c r="E186" i="11"/>
  <c r="E186" i="4" s="1"/>
  <c r="I186" i="12" s="1"/>
  <c r="F186" i="11"/>
  <c r="F186" i="4" s="1"/>
  <c r="E186" i="12" s="1"/>
  <c r="G186" i="11"/>
  <c r="G186" i="4" s="1"/>
  <c r="F186" i="12" s="1"/>
  <c r="H186" i="11"/>
  <c r="H186" i="4" s="1"/>
  <c r="J186" i="12" s="1"/>
  <c r="I186" i="11"/>
  <c r="I186" i="4" s="1"/>
  <c r="L186" i="12" s="1"/>
  <c r="J186" i="11"/>
  <c r="J186" i="4" s="1"/>
  <c r="M186" i="12" s="1"/>
  <c r="K186" i="11"/>
  <c r="K186" i="4" s="1"/>
  <c r="G186" i="12" s="1"/>
  <c r="L186" i="11"/>
  <c r="L186" i="4" s="1"/>
  <c r="N186" i="12" s="1"/>
  <c r="M186" i="11"/>
  <c r="M186" i="4" s="1"/>
  <c r="O186" i="12" s="1"/>
  <c r="N186" i="11"/>
  <c r="N186" i="4" s="1"/>
  <c r="Q186" i="12" s="1"/>
  <c r="O186" i="11"/>
  <c r="O186" i="4" s="1"/>
  <c r="R186" i="12" s="1"/>
  <c r="E187" i="11"/>
  <c r="E187" i="4" s="1"/>
  <c r="I187" i="12" s="1"/>
  <c r="F187" i="11"/>
  <c r="F187" i="4" s="1"/>
  <c r="E187" i="12" s="1"/>
  <c r="G187" i="11"/>
  <c r="G187" i="4" s="1"/>
  <c r="F187" i="12" s="1"/>
  <c r="H187" i="11"/>
  <c r="H187" i="4" s="1"/>
  <c r="J187" i="12" s="1"/>
  <c r="I187" i="11"/>
  <c r="I187" i="4" s="1"/>
  <c r="L187" i="12" s="1"/>
  <c r="J187" i="11"/>
  <c r="J187" i="4" s="1"/>
  <c r="M187" i="12" s="1"/>
  <c r="K187" i="11"/>
  <c r="K187" i="4" s="1"/>
  <c r="G187" i="12" s="1"/>
  <c r="L187" i="11"/>
  <c r="L187" i="4" s="1"/>
  <c r="N187" i="12" s="1"/>
  <c r="M187" i="11"/>
  <c r="M187" i="4" s="1"/>
  <c r="O187" i="12" s="1"/>
  <c r="N187" i="11"/>
  <c r="N187" i="4" s="1"/>
  <c r="Q187" i="12" s="1"/>
  <c r="O187" i="11"/>
  <c r="O187" i="4" s="1"/>
  <c r="R187" i="12" s="1"/>
  <c r="E188" i="11"/>
  <c r="E188" i="4" s="1"/>
  <c r="I188" i="12" s="1"/>
  <c r="F188" i="11"/>
  <c r="F188" i="4" s="1"/>
  <c r="E188" i="12" s="1"/>
  <c r="G188" i="11"/>
  <c r="G188" i="4" s="1"/>
  <c r="F188" i="12" s="1"/>
  <c r="H188" i="11"/>
  <c r="H188" i="4" s="1"/>
  <c r="J188" i="12" s="1"/>
  <c r="I188" i="11"/>
  <c r="I188" i="4" s="1"/>
  <c r="L188" i="12" s="1"/>
  <c r="J188" i="11"/>
  <c r="J188" i="4" s="1"/>
  <c r="M188" i="12" s="1"/>
  <c r="K188" i="11"/>
  <c r="K188" i="4" s="1"/>
  <c r="G188" i="12" s="1"/>
  <c r="L188" i="11"/>
  <c r="L188" i="4" s="1"/>
  <c r="N188" i="12" s="1"/>
  <c r="M188" i="11"/>
  <c r="M188" i="4" s="1"/>
  <c r="O188" i="12" s="1"/>
  <c r="N188" i="11"/>
  <c r="N188" i="4" s="1"/>
  <c r="Q188" i="12" s="1"/>
  <c r="O188" i="11"/>
  <c r="O188" i="4" s="1"/>
  <c r="R188" i="12" s="1"/>
  <c r="E189" i="11"/>
  <c r="E189" i="4" s="1"/>
  <c r="I189" i="12" s="1"/>
  <c r="F189" i="11"/>
  <c r="F189" i="4" s="1"/>
  <c r="E189" i="12" s="1"/>
  <c r="G189" i="11"/>
  <c r="G189" i="4" s="1"/>
  <c r="F189" i="12" s="1"/>
  <c r="H189" i="11"/>
  <c r="H189" i="4" s="1"/>
  <c r="J189" i="12" s="1"/>
  <c r="I189" i="11"/>
  <c r="I189" i="4" s="1"/>
  <c r="L189" i="12" s="1"/>
  <c r="J189" i="11"/>
  <c r="J189" i="4" s="1"/>
  <c r="M189" i="12" s="1"/>
  <c r="K189" i="11"/>
  <c r="K189" i="4" s="1"/>
  <c r="G189" i="12" s="1"/>
  <c r="L189" i="11"/>
  <c r="L189" i="4" s="1"/>
  <c r="N189" i="12" s="1"/>
  <c r="M189" i="11"/>
  <c r="M189" i="4" s="1"/>
  <c r="O189" i="12" s="1"/>
  <c r="N189" i="11"/>
  <c r="N189" i="4" s="1"/>
  <c r="Q189" i="12" s="1"/>
  <c r="O189" i="11"/>
  <c r="O189" i="4" s="1"/>
  <c r="R189" i="12" s="1"/>
  <c r="E190" i="11"/>
  <c r="E190" i="4" s="1"/>
  <c r="I190" i="12" s="1"/>
  <c r="F190" i="11"/>
  <c r="F190" i="4" s="1"/>
  <c r="E190" i="12" s="1"/>
  <c r="G190" i="11"/>
  <c r="G190" i="4" s="1"/>
  <c r="F190" i="12" s="1"/>
  <c r="H190" i="11"/>
  <c r="H190" i="4" s="1"/>
  <c r="J190" i="12" s="1"/>
  <c r="I190" i="11"/>
  <c r="I190" i="4" s="1"/>
  <c r="L190" i="12" s="1"/>
  <c r="J190" i="11"/>
  <c r="J190" i="4" s="1"/>
  <c r="M190" i="12" s="1"/>
  <c r="K190" i="11"/>
  <c r="K190" i="4" s="1"/>
  <c r="G190" i="12" s="1"/>
  <c r="L190" i="11"/>
  <c r="L190" i="4" s="1"/>
  <c r="N190" i="12" s="1"/>
  <c r="M190" i="11"/>
  <c r="M190" i="4" s="1"/>
  <c r="O190" i="12" s="1"/>
  <c r="N190" i="11"/>
  <c r="N190" i="4" s="1"/>
  <c r="Q190" i="12" s="1"/>
  <c r="O190" i="11"/>
  <c r="O190" i="4" s="1"/>
  <c r="R190" i="12" s="1"/>
  <c r="E191" i="11"/>
  <c r="E191" i="4" s="1"/>
  <c r="I191" i="12" s="1"/>
  <c r="F191" i="11"/>
  <c r="F191" i="4" s="1"/>
  <c r="E191" i="12" s="1"/>
  <c r="G191" i="11"/>
  <c r="G191" i="4" s="1"/>
  <c r="F191" i="12" s="1"/>
  <c r="H191" i="11"/>
  <c r="H191" i="4" s="1"/>
  <c r="J191" i="12" s="1"/>
  <c r="I191" i="11"/>
  <c r="I191" i="4" s="1"/>
  <c r="L191" i="12" s="1"/>
  <c r="J191" i="11"/>
  <c r="J191" i="4" s="1"/>
  <c r="M191" i="12" s="1"/>
  <c r="K191" i="11"/>
  <c r="K191" i="4" s="1"/>
  <c r="G191" i="12" s="1"/>
  <c r="L191" i="11"/>
  <c r="L191" i="4" s="1"/>
  <c r="N191" i="12" s="1"/>
  <c r="M191" i="11"/>
  <c r="M191" i="4" s="1"/>
  <c r="O191" i="12" s="1"/>
  <c r="N191" i="11"/>
  <c r="N191" i="4" s="1"/>
  <c r="Q191" i="12" s="1"/>
  <c r="O191" i="11"/>
  <c r="O191" i="4" s="1"/>
  <c r="R191" i="12" s="1"/>
  <c r="E192" i="11"/>
  <c r="E192" i="4" s="1"/>
  <c r="I192" i="12" s="1"/>
  <c r="F192" i="11"/>
  <c r="F192" i="4" s="1"/>
  <c r="E192" i="12" s="1"/>
  <c r="G192" i="11"/>
  <c r="G192" i="4" s="1"/>
  <c r="F192" i="12" s="1"/>
  <c r="H192" i="11"/>
  <c r="H192" i="4" s="1"/>
  <c r="J192" i="12" s="1"/>
  <c r="I192" i="11"/>
  <c r="I192" i="4" s="1"/>
  <c r="L192" i="12" s="1"/>
  <c r="J192" i="11"/>
  <c r="J192" i="4" s="1"/>
  <c r="M192" i="12" s="1"/>
  <c r="K192" i="11"/>
  <c r="K192" i="4" s="1"/>
  <c r="G192" i="12" s="1"/>
  <c r="L192" i="11"/>
  <c r="L192" i="4" s="1"/>
  <c r="N192" i="12" s="1"/>
  <c r="M192" i="11"/>
  <c r="M192" i="4" s="1"/>
  <c r="O192" i="12" s="1"/>
  <c r="N192" i="11"/>
  <c r="N192" i="4" s="1"/>
  <c r="Q192" i="12" s="1"/>
  <c r="O192" i="11"/>
  <c r="O192" i="4" s="1"/>
  <c r="R192" i="12" s="1"/>
  <c r="E193" i="11"/>
  <c r="E193" i="4" s="1"/>
  <c r="I193" i="12" s="1"/>
  <c r="F193" i="11"/>
  <c r="F193" i="4" s="1"/>
  <c r="E193" i="12" s="1"/>
  <c r="G193" i="11"/>
  <c r="G193" i="4" s="1"/>
  <c r="F193" i="12" s="1"/>
  <c r="H193" i="11"/>
  <c r="H193" i="4" s="1"/>
  <c r="J193" i="12" s="1"/>
  <c r="I193" i="11"/>
  <c r="I193" i="4" s="1"/>
  <c r="L193" i="12" s="1"/>
  <c r="J193" i="11"/>
  <c r="J193" i="4" s="1"/>
  <c r="M193" i="12" s="1"/>
  <c r="K193" i="11"/>
  <c r="K193" i="4" s="1"/>
  <c r="G193" i="12" s="1"/>
  <c r="L193" i="11"/>
  <c r="L193" i="4" s="1"/>
  <c r="N193" i="12" s="1"/>
  <c r="M193" i="11"/>
  <c r="M193" i="4" s="1"/>
  <c r="O193" i="12" s="1"/>
  <c r="N193" i="11"/>
  <c r="N193" i="4" s="1"/>
  <c r="Q193" i="12" s="1"/>
  <c r="O193" i="11"/>
  <c r="O193" i="4" s="1"/>
  <c r="R193" i="12" s="1"/>
  <c r="E194" i="11"/>
  <c r="E194" i="4" s="1"/>
  <c r="I194" i="12" s="1"/>
  <c r="F194" i="11"/>
  <c r="F194" i="4" s="1"/>
  <c r="E194" i="12" s="1"/>
  <c r="G194" i="11"/>
  <c r="G194" i="4" s="1"/>
  <c r="F194" i="12" s="1"/>
  <c r="H194" i="11"/>
  <c r="H194" i="4" s="1"/>
  <c r="J194" i="12" s="1"/>
  <c r="I194" i="11"/>
  <c r="I194" i="4" s="1"/>
  <c r="L194" i="12" s="1"/>
  <c r="J194" i="11"/>
  <c r="J194" i="4" s="1"/>
  <c r="M194" i="12" s="1"/>
  <c r="K194" i="11"/>
  <c r="K194" i="4" s="1"/>
  <c r="G194" i="12" s="1"/>
  <c r="L194" i="11"/>
  <c r="L194" i="4" s="1"/>
  <c r="N194" i="12" s="1"/>
  <c r="M194" i="11"/>
  <c r="M194" i="4" s="1"/>
  <c r="O194" i="12" s="1"/>
  <c r="N194" i="11"/>
  <c r="N194" i="4" s="1"/>
  <c r="Q194" i="12" s="1"/>
  <c r="O194" i="11"/>
  <c r="O194" i="4" s="1"/>
  <c r="R194" i="12" s="1"/>
  <c r="E195" i="11"/>
  <c r="E195" i="4" s="1"/>
  <c r="I195" i="12" s="1"/>
  <c r="F195" i="11"/>
  <c r="F195" i="4" s="1"/>
  <c r="E195" i="12" s="1"/>
  <c r="G195" i="11"/>
  <c r="G195" i="4" s="1"/>
  <c r="F195" i="12" s="1"/>
  <c r="H195" i="11"/>
  <c r="H195" i="4" s="1"/>
  <c r="J195" i="12" s="1"/>
  <c r="I195" i="11"/>
  <c r="I195" i="4" s="1"/>
  <c r="L195" i="12" s="1"/>
  <c r="J195" i="11"/>
  <c r="J195" i="4" s="1"/>
  <c r="M195" i="12" s="1"/>
  <c r="K195" i="11"/>
  <c r="K195" i="4" s="1"/>
  <c r="G195" i="12" s="1"/>
  <c r="L195" i="11"/>
  <c r="L195" i="4" s="1"/>
  <c r="N195" i="12" s="1"/>
  <c r="M195" i="11"/>
  <c r="M195" i="4" s="1"/>
  <c r="O195" i="12" s="1"/>
  <c r="N195" i="11"/>
  <c r="N195" i="4" s="1"/>
  <c r="Q195" i="12" s="1"/>
  <c r="O195" i="11"/>
  <c r="O195" i="4" s="1"/>
  <c r="R195" i="12" s="1"/>
  <c r="E196" i="11"/>
  <c r="E196" i="4" s="1"/>
  <c r="I196" i="12" s="1"/>
  <c r="F196" i="11"/>
  <c r="F196" i="4" s="1"/>
  <c r="E196" i="12" s="1"/>
  <c r="G196" i="11"/>
  <c r="G196" i="4" s="1"/>
  <c r="F196" i="12" s="1"/>
  <c r="H196" i="11"/>
  <c r="H196" i="4" s="1"/>
  <c r="J196" i="12" s="1"/>
  <c r="I196" i="11"/>
  <c r="I196" i="4" s="1"/>
  <c r="L196" i="12" s="1"/>
  <c r="J196" i="11"/>
  <c r="J196" i="4" s="1"/>
  <c r="M196" i="12" s="1"/>
  <c r="K196" i="11"/>
  <c r="K196" i="4" s="1"/>
  <c r="G196" i="12" s="1"/>
  <c r="L196" i="11"/>
  <c r="L196" i="4" s="1"/>
  <c r="N196" i="12" s="1"/>
  <c r="M196" i="11"/>
  <c r="M196" i="4" s="1"/>
  <c r="O196" i="12" s="1"/>
  <c r="N196" i="11"/>
  <c r="N196" i="4" s="1"/>
  <c r="Q196" i="12" s="1"/>
  <c r="O196" i="11"/>
  <c r="O196" i="4" s="1"/>
  <c r="R196" i="12" s="1"/>
  <c r="E197" i="11"/>
  <c r="E197" i="4" s="1"/>
  <c r="I197" i="12" s="1"/>
  <c r="F197" i="11"/>
  <c r="F197" i="4" s="1"/>
  <c r="E197" i="12" s="1"/>
  <c r="G197" i="11"/>
  <c r="G197" i="4" s="1"/>
  <c r="F197" i="12" s="1"/>
  <c r="H197" i="11"/>
  <c r="H197" i="4" s="1"/>
  <c r="J197" i="12" s="1"/>
  <c r="I197" i="11"/>
  <c r="I197" i="4" s="1"/>
  <c r="L197" i="12" s="1"/>
  <c r="J197" i="11"/>
  <c r="J197" i="4" s="1"/>
  <c r="M197" i="12" s="1"/>
  <c r="K197" i="11"/>
  <c r="K197" i="4" s="1"/>
  <c r="G197" i="12" s="1"/>
  <c r="L197" i="11"/>
  <c r="L197" i="4" s="1"/>
  <c r="N197" i="12" s="1"/>
  <c r="M197" i="11"/>
  <c r="M197" i="4" s="1"/>
  <c r="O197" i="12" s="1"/>
  <c r="N197" i="11"/>
  <c r="N197" i="4" s="1"/>
  <c r="Q197" i="12" s="1"/>
  <c r="O197" i="11"/>
  <c r="O197" i="4" s="1"/>
  <c r="R197" i="12" s="1"/>
  <c r="E198" i="11"/>
  <c r="E198" i="4" s="1"/>
  <c r="I198" i="12" s="1"/>
  <c r="F198" i="11"/>
  <c r="F198" i="4" s="1"/>
  <c r="E198" i="12" s="1"/>
  <c r="G198" i="11"/>
  <c r="G198" i="4" s="1"/>
  <c r="F198" i="12" s="1"/>
  <c r="H198" i="11"/>
  <c r="H198" i="4" s="1"/>
  <c r="J198" i="12" s="1"/>
  <c r="I198" i="11"/>
  <c r="I198" i="4" s="1"/>
  <c r="L198" i="12" s="1"/>
  <c r="J198" i="11"/>
  <c r="J198" i="4" s="1"/>
  <c r="M198" i="12" s="1"/>
  <c r="K198" i="11"/>
  <c r="K198" i="4" s="1"/>
  <c r="G198" i="12" s="1"/>
  <c r="L198" i="11"/>
  <c r="L198" i="4" s="1"/>
  <c r="N198" i="12" s="1"/>
  <c r="M198" i="11"/>
  <c r="M198" i="4" s="1"/>
  <c r="O198" i="12" s="1"/>
  <c r="N198" i="11"/>
  <c r="N198" i="4" s="1"/>
  <c r="Q198" i="12" s="1"/>
  <c r="O198" i="11"/>
  <c r="O198" i="4" s="1"/>
  <c r="R198" i="12" s="1"/>
  <c r="E199" i="11"/>
  <c r="E199" i="4" s="1"/>
  <c r="I199" i="12" s="1"/>
  <c r="F199" i="11"/>
  <c r="F199" i="4" s="1"/>
  <c r="E199" i="12" s="1"/>
  <c r="G199" i="11"/>
  <c r="G199" i="4" s="1"/>
  <c r="F199" i="12" s="1"/>
  <c r="H199" i="11"/>
  <c r="H199" i="4" s="1"/>
  <c r="J199" i="12" s="1"/>
  <c r="I199" i="11"/>
  <c r="I199" i="4" s="1"/>
  <c r="L199" i="12" s="1"/>
  <c r="J199" i="11"/>
  <c r="J199" i="4" s="1"/>
  <c r="M199" i="12" s="1"/>
  <c r="K199" i="11"/>
  <c r="K199" i="4" s="1"/>
  <c r="G199" i="12" s="1"/>
  <c r="L199" i="11"/>
  <c r="L199" i="4" s="1"/>
  <c r="N199" i="12" s="1"/>
  <c r="M199" i="11"/>
  <c r="M199" i="4" s="1"/>
  <c r="O199" i="12" s="1"/>
  <c r="N199" i="11"/>
  <c r="N199" i="4" s="1"/>
  <c r="Q199" i="12" s="1"/>
  <c r="O199" i="11"/>
  <c r="O199" i="4" s="1"/>
  <c r="R199" i="12" s="1"/>
  <c r="E200" i="11"/>
  <c r="E200" i="4" s="1"/>
  <c r="I200" i="12" s="1"/>
  <c r="F200" i="11"/>
  <c r="F200" i="4" s="1"/>
  <c r="E200" i="12" s="1"/>
  <c r="G200" i="11"/>
  <c r="G200" i="4" s="1"/>
  <c r="F200" i="12" s="1"/>
  <c r="H200" i="11"/>
  <c r="H200" i="4" s="1"/>
  <c r="J200" i="12" s="1"/>
  <c r="I200" i="11"/>
  <c r="I200" i="4" s="1"/>
  <c r="L200" i="12" s="1"/>
  <c r="J200" i="11"/>
  <c r="J200" i="4" s="1"/>
  <c r="M200" i="12" s="1"/>
  <c r="K200" i="11"/>
  <c r="K200" i="4" s="1"/>
  <c r="G200" i="12" s="1"/>
  <c r="L200" i="11"/>
  <c r="L200" i="4" s="1"/>
  <c r="N200" i="12" s="1"/>
  <c r="M200" i="11"/>
  <c r="M200" i="4" s="1"/>
  <c r="O200" i="12" s="1"/>
  <c r="N200" i="11"/>
  <c r="N200" i="4" s="1"/>
  <c r="Q200" i="12" s="1"/>
  <c r="O200" i="11"/>
  <c r="O200" i="4" s="1"/>
  <c r="R200" i="12" s="1"/>
  <c r="E201" i="11"/>
  <c r="E201" i="4" s="1"/>
  <c r="I201" i="12" s="1"/>
  <c r="F201" i="11"/>
  <c r="F201" i="4" s="1"/>
  <c r="E201" i="12" s="1"/>
  <c r="G201" i="11"/>
  <c r="G201" i="4" s="1"/>
  <c r="F201" i="12" s="1"/>
  <c r="H201" i="11"/>
  <c r="H201" i="4" s="1"/>
  <c r="J201" i="12" s="1"/>
  <c r="I201" i="11"/>
  <c r="I201" i="4" s="1"/>
  <c r="L201" i="12" s="1"/>
  <c r="J201" i="11"/>
  <c r="J201" i="4" s="1"/>
  <c r="M201" i="12" s="1"/>
  <c r="K201" i="11"/>
  <c r="K201" i="4" s="1"/>
  <c r="G201" i="12" s="1"/>
  <c r="L201" i="11"/>
  <c r="L201" i="4" s="1"/>
  <c r="N201" i="12" s="1"/>
  <c r="M201" i="11"/>
  <c r="M201" i="4" s="1"/>
  <c r="O201" i="12" s="1"/>
  <c r="N201" i="11"/>
  <c r="N201" i="4" s="1"/>
  <c r="Q201" i="12" s="1"/>
  <c r="O201" i="11"/>
  <c r="O201" i="4" s="1"/>
  <c r="R201" i="12" s="1"/>
  <c r="E202" i="11"/>
  <c r="E202" i="4" s="1"/>
  <c r="I202" i="12" s="1"/>
  <c r="F202" i="11"/>
  <c r="F202" i="4" s="1"/>
  <c r="E202" i="12" s="1"/>
  <c r="G202" i="11"/>
  <c r="G202" i="4" s="1"/>
  <c r="F202" i="12" s="1"/>
  <c r="H202" i="11"/>
  <c r="H202" i="4" s="1"/>
  <c r="J202" i="12" s="1"/>
  <c r="I202" i="11"/>
  <c r="I202" i="4" s="1"/>
  <c r="L202" i="12" s="1"/>
  <c r="J202" i="11"/>
  <c r="J202" i="4" s="1"/>
  <c r="M202" i="12" s="1"/>
  <c r="K202" i="11"/>
  <c r="K202" i="4" s="1"/>
  <c r="G202" i="12" s="1"/>
  <c r="L202" i="11"/>
  <c r="L202" i="4" s="1"/>
  <c r="N202" i="12" s="1"/>
  <c r="M202" i="11"/>
  <c r="M202" i="4" s="1"/>
  <c r="O202" i="12" s="1"/>
  <c r="N202" i="11"/>
  <c r="N202" i="4" s="1"/>
  <c r="Q202" i="12" s="1"/>
  <c r="O202" i="11"/>
  <c r="O202" i="4" s="1"/>
  <c r="R202" i="12" s="1"/>
  <c r="E203" i="11"/>
  <c r="E203" i="4" s="1"/>
  <c r="I203" i="12" s="1"/>
  <c r="F203" i="11"/>
  <c r="F203" i="4" s="1"/>
  <c r="E203" i="12" s="1"/>
  <c r="G203" i="11"/>
  <c r="G203" i="4" s="1"/>
  <c r="F203" i="12" s="1"/>
  <c r="H203" i="11"/>
  <c r="H203" i="4" s="1"/>
  <c r="J203" i="12" s="1"/>
  <c r="I203" i="11"/>
  <c r="I203" i="4" s="1"/>
  <c r="L203" i="12" s="1"/>
  <c r="J203" i="11"/>
  <c r="J203" i="4" s="1"/>
  <c r="M203" i="12" s="1"/>
  <c r="K203" i="11"/>
  <c r="K203" i="4" s="1"/>
  <c r="G203" i="12" s="1"/>
  <c r="L203" i="11"/>
  <c r="L203" i="4" s="1"/>
  <c r="N203" i="12" s="1"/>
  <c r="M203" i="11"/>
  <c r="M203" i="4" s="1"/>
  <c r="O203" i="12" s="1"/>
  <c r="N203" i="11"/>
  <c r="N203" i="4" s="1"/>
  <c r="Q203" i="12" s="1"/>
  <c r="O203" i="11"/>
  <c r="O203" i="4" s="1"/>
  <c r="R203" i="12" s="1"/>
  <c r="E204" i="11"/>
  <c r="E204" i="4" s="1"/>
  <c r="I204" i="12" s="1"/>
  <c r="F204" i="11"/>
  <c r="F204" i="4" s="1"/>
  <c r="E204" i="12" s="1"/>
  <c r="G204" i="11"/>
  <c r="G204" i="4" s="1"/>
  <c r="F204" i="12" s="1"/>
  <c r="H204" i="11"/>
  <c r="H204" i="4" s="1"/>
  <c r="J204" i="12" s="1"/>
  <c r="I204" i="11"/>
  <c r="I204" i="4" s="1"/>
  <c r="L204" i="12" s="1"/>
  <c r="J204" i="11"/>
  <c r="J204" i="4" s="1"/>
  <c r="M204" i="12" s="1"/>
  <c r="K204" i="11"/>
  <c r="K204" i="4" s="1"/>
  <c r="G204" i="12" s="1"/>
  <c r="L204" i="11"/>
  <c r="L204" i="4" s="1"/>
  <c r="N204" i="12" s="1"/>
  <c r="M204" i="11"/>
  <c r="M204" i="4" s="1"/>
  <c r="O204" i="12" s="1"/>
  <c r="N204" i="11"/>
  <c r="N204" i="4" s="1"/>
  <c r="Q204" i="12" s="1"/>
  <c r="O204" i="11"/>
  <c r="O204" i="4" s="1"/>
  <c r="R204" i="12" s="1"/>
  <c r="E205" i="11"/>
  <c r="E205" i="4" s="1"/>
  <c r="I205" i="12" s="1"/>
  <c r="F205" i="11"/>
  <c r="F205" i="4" s="1"/>
  <c r="E205" i="12" s="1"/>
  <c r="G205" i="11"/>
  <c r="G205" i="4" s="1"/>
  <c r="F205" i="12" s="1"/>
  <c r="H205" i="11"/>
  <c r="H205" i="4" s="1"/>
  <c r="J205" i="12" s="1"/>
  <c r="I205" i="11"/>
  <c r="I205" i="4" s="1"/>
  <c r="L205" i="12" s="1"/>
  <c r="J205" i="11"/>
  <c r="J205" i="4" s="1"/>
  <c r="M205" i="12" s="1"/>
  <c r="K205" i="11"/>
  <c r="K205" i="4" s="1"/>
  <c r="G205" i="12" s="1"/>
  <c r="L205" i="11"/>
  <c r="L205" i="4" s="1"/>
  <c r="N205" i="12" s="1"/>
  <c r="M205" i="11"/>
  <c r="M205" i="4" s="1"/>
  <c r="O205" i="12" s="1"/>
  <c r="N205" i="11"/>
  <c r="N205" i="4" s="1"/>
  <c r="Q205" i="12" s="1"/>
  <c r="O205" i="11"/>
  <c r="O205" i="4" s="1"/>
  <c r="R205" i="12" s="1"/>
  <c r="E206" i="11"/>
  <c r="E206" i="4" s="1"/>
  <c r="I206" i="12" s="1"/>
  <c r="F206" i="11"/>
  <c r="F206" i="4" s="1"/>
  <c r="E206" i="12" s="1"/>
  <c r="G206" i="11"/>
  <c r="G206" i="4" s="1"/>
  <c r="F206" i="12" s="1"/>
  <c r="H206" i="11"/>
  <c r="H206" i="4" s="1"/>
  <c r="J206" i="12" s="1"/>
  <c r="I206" i="11"/>
  <c r="I206" i="4" s="1"/>
  <c r="L206" i="12" s="1"/>
  <c r="J206" i="11"/>
  <c r="J206" i="4" s="1"/>
  <c r="M206" i="12" s="1"/>
  <c r="K206" i="11"/>
  <c r="K206" i="4" s="1"/>
  <c r="G206" i="12" s="1"/>
  <c r="L206" i="11"/>
  <c r="L206" i="4" s="1"/>
  <c r="N206" i="12" s="1"/>
  <c r="M206" i="11"/>
  <c r="M206" i="4" s="1"/>
  <c r="O206" i="12" s="1"/>
  <c r="N206" i="11"/>
  <c r="N206" i="4" s="1"/>
  <c r="Q206" i="12" s="1"/>
  <c r="O206" i="11"/>
  <c r="O206" i="4" s="1"/>
  <c r="R206" i="12" s="1"/>
  <c r="E207" i="11"/>
  <c r="E207" i="4" s="1"/>
  <c r="I207" i="12" s="1"/>
  <c r="F207" i="11"/>
  <c r="F207" i="4" s="1"/>
  <c r="E207" i="12" s="1"/>
  <c r="G207" i="11"/>
  <c r="G207" i="4" s="1"/>
  <c r="F207" i="12" s="1"/>
  <c r="H207" i="11"/>
  <c r="H207" i="4" s="1"/>
  <c r="J207" i="12" s="1"/>
  <c r="I207" i="11"/>
  <c r="I207" i="4" s="1"/>
  <c r="L207" i="12" s="1"/>
  <c r="J207" i="11"/>
  <c r="J207" i="4" s="1"/>
  <c r="M207" i="12" s="1"/>
  <c r="K207" i="11"/>
  <c r="K207" i="4" s="1"/>
  <c r="G207" i="12" s="1"/>
  <c r="L207" i="11"/>
  <c r="L207" i="4" s="1"/>
  <c r="N207" i="12" s="1"/>
  <c r="M207" i="11"/>
  <c r="M207" i="4" s="1"/>
  <c r="O207" i="12" s="1"/>
  <c r="N207" i="11"/>
  <c r="N207" i="4" s="1"/>
  <c r="Q207" i="12" s="1"/>
  <c r="O207" i="11"/>
  <c r="O207" i="4" s="1"/>
  <c r="R207" i="12" s="1"/>
  <c r="E208" i="11"/>
  <c r="E208" i="4" s="1"/>
  <c r="I208" i="12" s="1"/>
  <c r="F208" i="11"/>
  <c r="F208" i="4" s="1"/>
  <c r="E208" i="12" s="1"/>
  <c r="G208" i="11"/>
  <c r="G208" i="4" s="1"/>
  <c r="F208" i="12" s="1"/>
  <c r="H208" i="11"/>
  <c r="H208" i="4" s="1"/>
  <c r="J208" i="12" s="1"/>
  <c r="I208" i="11"/>
  <c r="I208" i="4" s="1"/>
  <c r="L208" i="12" s="1"/>
  <c r="J208" i="11"/>
  <c r="J208" i="4" s="1"/>
  <c r="M208" i="12" s="1"/>
  <c r="K208" i="11"/>
  <c r="K208" i="4" s="1"/>
  <c r="G208" i="12" s="1"/>
  <c r="L208" i="11"/>
  <c r="L208" i="4" s="1"/>
  <c r="N208" i="12" s="1"/>
  <c r="M208" i="11"/>
  <c r="M208" i="4" s="1"/>
  <c r="O208" i="12" s="1"/>
  <c r="N208" i="11"/>
  <c r="N208" i="4" s="1"/>
  <c r="Q208" i="12" s="1"/>
  <c r="O208" i="11"/>
  <c r="O208" i="4" s="1"/>
  <c r="R208" i="12" s="1"/>
  <c r="E209" i="11"/>
  <c r="E209" i="4" s="1"/>
  <c r="I209" i="12" s="1"/>
  <c r="F209" i="11"/>
  <c r="F209" i="4" s="1"/>
  <c r="E209" i="12" s="1"/>
  <c r="G209" i="11"/>
  <c r="G209" i="4" s="1"/>
  <c r="F209" i="12" s="1"/>
  <c r="H209" i="11"/>
  <c r="H209" i="4" s="1"/>
  <c r="J209" i="12" s="1"/>
  <c r="I209" i="11"/>
  <c r="I209" i="4" s="1"/>
  <c r="L209" i="12" s="1"/>
  <c r="J209" i="11"/>
  <c r="J209" i="4" s="1"/>
  <c r="M209" i="12" s="1"/>
  <c r="K209" i="11"/>
  <c r="K209" i="4" s="1"/>
  <c r="G209" i="12" s="1"/>
  <c r="L209" i="11"/>
  <c r="L209" i="4" s="1"/>
  <c r="N209" i="12" s="1"/>
  <c r="M209" i="11"/>
  <c r="M209" i="4" s="1"/>
  <c r="O209" i="12" s="1"/>
  <c r="N209" i="11"/>
  <c r="N209" i="4" s="1"/>
  <c r="Q209" i="12" s="1"/>
  <c r="O209" i="11"/>
  <c r="O209" i="4" s="1"/>
  <c r="R209" i="12" s="1"/>
  <c r="E210" i="11"/>
  <c r="E210" i="4" s="1"/>
  <c r="I210" i="12" s="1"/>
  <c r="F210" i="11"/>
  <c r="F210" i="4" s="1"/>
  <c r="E210" i="12" s="1"/>
  <c r="G210" i="11"/>
  <c r="G210" i="4" s="1"/>
  <c r="F210" i="12" s="1"/>
  <c r="H210" i="11"/>
  <c r="H210" i="4" s="1"/>
  <c r="J210" i="12" s="1"/>
  <c r="I210" i="11"/>
  <c r="I210" i="4" s="1"/>
  <c r="L210" i="12" s="1"/>
  <c r="J210" i="11"/>
  <c r="J210" i="4" s="1"/>
  <c r="M210" i="12" s="1"/>
  <c r="K210" i="11"/>
  <c r="K210" i="4" s="1"/>
  <c r="G210" i="12" s="1"/>
  <c r="L210" i="11"/>
  <c r="L210" i="4" s="1"/>
  <c r="N210" i="12" s="1"/>
  <c r="M210" i="11"/>
  <c r="M210" i="4" s="1"/>
  <c r="O210" i="12" s="1"/>
  <c r="N210" i="11"/>
  <c r="N210" i="4" s="1"/>
  <c r="Q210" i="12" s="1"/>
  <c r="O210" i="11"/>
  <c r="O210" i="4" s="1"/>
  <c r="R210" i="12" s="1"/>
  <c r="E211" i="11"/>
  <c r="E211" i="4" s="1"/>
  <c r="I211" i="12" s="1"/>
  <c r="F211" i="11"/>
  <c r="F211" i="4" s="1"/>
  <c r="E211" i="12" s="1"/>
  <c r="G211" i="11"/>
  <c r="G211" i="4" s="1"/>
  <c r="F211" i="12" s="1"/>
  <c r="H211" i="11"/>
  <c r="H211" i="4" s="1"/>
  <c r="J211" i="12" s="1"/>
  <c r="I211" i="11"/>
  <c r="I211" i="4" s="1"/>
  <c r="L211" i="12" s="1"/>
  <c r="J211" i="11"/>
  <c r="J211" i="4" s="1"/>
  <c r="M211" i="12" s="1"/>
  <c r="K211" i="11"/>
  <c r="K211" i="4" s="1"/>
  <c r="G211" i="12" s="1"/>
  <c r="L211" i="11"/>
  <c r="L211" i="4" s="1"/>
  <c r="N211" i="12" s="1"/>
  <c r="M211" i="11"/>
  <c r="M211" i="4" s="1"/>
  <c r="O211" i="12" s="1"/>
  <c r="N211" i="11"/>
  <c r="N211" i="4" s="1"/>
  <c r="Q211" i="12" s="1"/>
  <c r="O211" i="11"/>
  <c r="O211" i="4" s="1"/>
  <c r="R211" i="12" s="1"/>
  <c r="E212" i="11"/>
  <c r="E212" i="4" s="1"/>
  <c r="I212" i="12" s="1"/>
  <c r="F212" i="11"/>
  <c r="F212" i="4" s="1"/>
  <c r="E212" i="12" s="1"/>
  <c r="G212" i="11"/>
  <c r="G212" i="4" s="1"/>
  <c r="F212" i="12" s="1"/>
  <c r="H212" i="11"/>
  <c r="H212" i="4" s="1"/>
  <c r="J212" i="12" s="1"/>
  <c r="I212" i="11"/>
  <c r="I212" i="4" s="1"/>
  <c r="L212" i="12" s="1"/>
  <c r="J212" i="11"/>
  <c r="J212" i="4" s="1"/>
  <c r="M212" i="12" s="1"/>
  <c r="K212" i="11"/>
  <c r="K212" i="4" s="1"/>
  <c r="G212" i="12" s="1"/>
  <c r="L212" i="11"/>
  <c r="L212" i="4" s="1"/>
  <c r="N212" i="12" s="1"/>
  <c r="M212" i="11"/>
  <c r="M212" i="4" s="1"/>
  <c r="O212" i="12" s="1"/>
  <c r="N212" i="11"/>
  <c r="N212" i="4" s="1"/>
  <c r="Q212" i="12" s="1"/>
  <c r="O212" i="11"/>
  <c r="O212" i="4" s="1"/>
  <c r="R212" i="12" s="1"/>
  <c r="E213" i="11"/>
  <c r="E213" i="4" s="1"/>
  <c r="I213" i="12" s="1"/>
  <c r="F213" i="11"/>
  <c r="F213" i="4" s="1"/>
  <c r="E213" i="12" s="1"/>
  <c r="G213" i="11"/>
  <c r="G213" i="4" s="1"/>
  <c r="F213" i="12" s="1"/>
  <c r="H213" i="11"/>
  <c r="H213" i="4" s="1"/>
  <c r="J213" i="12" s="1"/>
  <c r="I213" i="11"/>
  <c r="I213" i="4" s="1"/>
  <c r="L213" i="12" s="1"/>
  <c r="J213" i="11"/>
  <c r="J213" i="4" s="1"/>
  <c r="M213" i="12" s="1"/>
  <c r="K213" i="11"/>
  <c r="K213" i="4" s="1"/>
  <c r="G213" i="12" s="1"/>
  <c r="L213" i="11"/>
  <c r="L213" i="4" s="1"/>
  <c r="N213" i="12" s="1"/>
  <c r="M213" i="11"/>
  <c r="M213" i="4" s="1"/>
  <c r="O213" i="12" s="1"/>
  <c r="N213" i="11"/>
  <c r="N213" i="4" s="1"/>
  <c r="Q213" i="12" s="1"/>
  <c r="O213" i="11"/>
  <c r="O213" i="4" s="1"/>
  <c r="R213" i="12" s="1"/>
  <c r="E214" i="11"/>
  <c r="E214" i="4" s="1"/>
  <c r="I214" i="12" s="1"/>
  <c r="F214" i="11"/>
  <c r="F214" i="4" s="1"/>
  <c r="E214" i="12" s="1"/>
  <c r="G214" i="11"/>
  <c r="G214" i="4" s="1"/>
  <c r="F214" i="12" s="1"/>
  <c r="H214" i="11"/>
  <c r="H214" i="4" s="1"/>
  <c r="J214" i="12" s="1"/>
  <c r="I214" i="11"/>
  <c r="I214" i="4" s="1"/>
  <c r="L214" i="12" s="1"/>
  <c r="J214" i="11"/>
  <c r="J214" i="4" s="1"/>
  <c r="M214" i="12" s="1"/>
  <c r="K214" i="11"/>
  <c r="K214" i="4" s="1"/>
  <c r="G214" i="12" s="1"/>
  <c r="L214" i="11"/>
  <c r="L214" i="4" s="1"/>
  <c r="N214" i="12" s="1"/>
  <c r="M214" i="11"/>
  <c r="M214" i="4" s="1"/>
  <c r="O214" i="12" s="1"/>
  <c r="N214" i="11"/>
  <c r="N214" i="4" s="1"/>
  <c r="Q214" i="12" s="1"/>
  <c r="O214" i="11"/>
  <c r="O214" i="4" s="1"/>
  <c r="R214" i="12" s="1"/>
  <c r="E215" i="11"/>
  <c r="E215" i="4" s="1"/>
  <c r="I215" i="12" s="1"/>
  <c r="F215" i="11"/>
  <c r="F215" i="4" s="1"/>
  <c r="E215" i="12" s="1"/>
  <c r="G215" i="11"/>
  <c r="G215" i="4" s="1"/>
  <c r="F215" i="12" s="1"/>
  <c r="H215" i="11"/>
  <c r="H215" i="4" s="1"/>
  <c r="J215" i="12" s="1"/>
  <c r="I215" i="11"/>
  <c r="I215" i="4" s="1"/>
  <c r="L215" i="12" s="1"/>
  <c r="J215" i="11"/>
  <c r="J215" i="4" s="1"/>
  <c r="M215" i="12" s="1"/>
  <c r="K215" i="11"/>
  <c r="K215" i="4" s="1"/>
  <c r="G215" i="12" s="1"/>
  <c r="L215" i="11"/>
  <c r="L215" i="4" s="1"/>
  <c r="N215" i="12" s="1"/>
  <c r="M215" i="11"/>
  <c r="M215" i="4" s="1"/>
  <c r="O215" i="12" s="1"/>
  <c r="N215" i="11"/>
  <c r="N215" i="4" s="1"/>
  <c r="Q215" i="12" s="1"/>
  <c r="O215" i="11"/>
  <c r="O215" i="4" s="1"/>
  <c r="R215" i="12" s="1"/>
  <c r="E216" i="11"/>
  <c r="E216" i="4" s="1"/>
  <c r="I216" i="12" s="1"/>
  <c r="F216" i="11"/>
  <c r="F216" i="4" s="1"/>
  <c r="E216" i="12" s="1"/>
  <c r="G216" i="11"/>
  <c r="G216" i="4" s="1"/>
  <c r="F216" i="12" s="1"/>
  <c r="H216" i="11"/>
  <c r="H216" i="4" s="1"/>
  <c r="J216" i="12" s="1"/>
  <c r="I216" i="11"/>
  <c r="I216" i="4" s="1"/>
  <c r="L216" i="12" s="1"/>
  <c r="J216" i="11"/>
  <c r="J216" i="4" s="1"/>
  <c r="M216" i="12" s="1"/>
  <c r="K216" i="11"/>
  <c r="K216" i="4" s="1"/>
  <c r="G216" i="12" s="1"/>
  <c r="L216" i="11"/>
  <c r="L216" i="4" s="1"/>
  <c r="N216" i="12" s="1"/>
  <c r="M216" i="11"/>
  <c r="M216" i="4" s="1"/>
  <c r="O216" i="12" s="1"/>
  <c r="N216" i="11"/>
  <c r="N216" i="4" s="1"/>
  <c r="Q216" i="12" s="1"/>
  <c r="O216" i="11"/>
  <c r="O216" i="4" s="1"/>
  <c r="R216" i="12" s="1"/>
  <c r="E217" i="11"/>
  <c r="E217" i="4" s="1"/>
  <c r="I217" i="12" s="1"/>
  <c r="F217" i="11"/>
  <c r="F217" i="4" s="1"/>
  <c r="E217" i="12" s="1"/>
  <c r="G217" i="11"/>
  <c r="G217" i="4" s="1"/>
  <c r="F217" i="12" s="1"/>
  <c r="H217" i="11"/>
  <c r="H217" i="4" s="1"/>
  <c r="J217" i="12" s="1"/>
  <c r="I217" i="11"/>
  <c r="I217" i="4" s="1"/>
  <c r="L217" i="12" s="1"/>
  <c r="J217" i="11"/>
  <c r="J217" i="4" s="1"/>
  <c r="M217" i="12" s="1"/>
  <c r="K217" i="11"/>
  <c r="K217" i="4" s="1"/>
  <c r="G217" i="12" s="1"/>
  <c r="L217" i="11"/>
  <c r="L217" i="4" s="1"/>
  <c r="N217" i="12" s="1"/>
  <c r="M217" i="11"/>
  <c r="M217" i="4" s="1"/>
  <c r="O217" i="12" s="1"/>
  <c r="N217" i="11"/>
  <c r="N217" i="4" s="1"/>
  <c r="Q217" i="12" s="1"/>
  <c r="O217" i="11"/>
  <c r="O217" i="4" s="1"/>
  <c r="R217" i="12" s="1"/>
  <c r="E218" i="11"/>
  <c r="E218" i="4" s="1"/>
  <c r="I218" i="12" s="1"/>
  <c r="F218" i="11"/>
  <c r="F218" i="4" s="1"/>
  <c r="E218" i="12" s="1"/>
  <c r="G218" i="11"/>
  <c r="G218" i="4" s="1"/>
  <c r="F218" i="12" s="1"/>
  <c r="H218" i="11"/>
  <c r="H218" i="4" s="1"/>
  <c r="J218" i="12" s="1"/>
  <c r="I218" i="11"/>
  <c r="I218" i="4" s="1"/>
  <c r="L218" i="12" s="1"/>
  <c r="J218" i="11"/>
  <c r="J218" i="4" s="1"/>
  <c r="M218" i="12" s="1"/>
  <c r="K218" i="11"/>
  <c r="K218" i="4" s="1"/>
  <c r="G218" i="12" s="1"/>
  <c r="L218" i="11"/>
  <c r="L218" i="4" s="1"/>
  <c r="N218" i="12" s="1"/>
  <c r="M218" i="11"/>
  <c r="M218" i="4" s="1"/>
  <c r="O218" i="12" s="1"/>
  <c r="N218" i="11"/>
  <c r="N218" i="4" s="1"/>
  <c r="Q218" i="12" s="1"/>
  <c r="O218" i="11"/>
  <c r="O218" i="4" s="1"/>
  <c r="R218" i="12" s="1"/>
  <c r="E219" i="11"/>
  <c r="E219" i="4" s="1"/>
  <c r="I219" i="12" s="1"/>
  <c r="F219" i="11"/>
  <c r="F219" i="4" s="1"/>
  <c r="E219" i="12" s="1"/>
  <c r="G219" i="11"/>
  <c r="G219" i="4" s="1"/>
  <c r="F219" i="12" s="1"/>
  <c r="H219" i="11"/>
  <c r="H219" i="4" s="1"/>
  <c r="J219" i="12" s="1"/>
  <c r="I219" i="11"/>
  <c r="I219" i="4" s="1"/>
  <c r="L219" i="12" s="1"/>
  <c r="J219" i="11"/>
  <c r="J219" i="4" s="1"/>
  <c r="M219" i="12" s="1"/>
  <c r="K219" i="11"/>
  <c r="K219" i="4" s="1"/>
  <c r="G219" i="12" s="1"/>
  <c r="L219" i="11"/>
  <c r="L219" i="4" s="1"/>
  <c r="N219" i="12" s="1"/>
  <c r="M219" i="11"/>
  <c r="M219" i="4" s="1"/>
  <c r="O219" i="12" s="1"/>
  <c r="N219" i="11"/>
  <c r="N219" i="4" s="1"/>
  <c r="Q219" i="12" s="1"/>
  <c r="O219" i="11"/>
  <c r="O219" i="4" s="1"/>
  <c r="R219" i="12" s="1"/>
  <c r="E220" i="11"/>
  <c r="E220" i="4" s="1"/>
  <c r="I220" i="12" s="1"/>
  <c r="F220" i="11"/>
  <c r="F220" i="4" s="1"/>
  <c r="E220" i="12" s="1"/>
  <c r="G220" i="11"/>
  <c r="G220" i="4" s="1"/>
  <c r="F220" i="12" s="1"/>
  <c r="H220" i="11"/>
  <c r="H220" i="4" s="1"/>
  <c r="J220" i="12" s="1"/>
  <c r="I220" i="11"/>
  <c r="I220" i="4" s="1"/>
  <c r="L220" i="12" s="1"/>
  <c r="J220" i="11"/>
  <c r="J220" i="4" s="1"/>
  <c r="M220" i="12" s="1"/>
  <c r="K220" i="11"/>
  <c r="K220" i="4" s="1"/>
  <c r="G220" i="12" s="1"/>
  <c r="L220" i="11"/>
  <c r="L220" i="4" s="1"/>
  <c r="N220" i="12" s="1"/>
  <c r="M220" i="11"/>
  <c r="M220" i="4" s="1"/>
  <c r="O220" i="12" s="1"/>
  <c r="N220" i="11"/>
  <c r="N220" i="4" s="1"/>
  <c r="Q220" i="12" s="1"/>
  <c r="O220" i="11"/>
  <c r="O220" i="4" s="1"/>
  <c r="R220" i="12" s="1"/>
  <c r="E221" i="11"/>
  <c r="E221" i="4" s="1"/>
  <c r="I221" i="12" s="1"/>
  <c r="F221" i="11"/>
  <c r="F221" i="4" s="1"/>
  <c r="E221" i="12" s="1"/>
  <c r="G221" i="11"/>
  <c r="G221" i="4" s="1"/>
  <c r="F221" i="12" s="1"/>
  <c r="H221" i="11"/>
  <c r="H221" i="4" s="1"/>
  <c r="J221" i="12" s="1"/>
  <c r="I221" i="11"/>
  <c r="I221" i="4" s="1"/>
  <c r="L221" i="12" s="1"/>
  <c r="J221" i="11"/>
  <c r="J221" i="4" s="1"/>
  <c r="M221" i="12" s="1"/>
  <c r="K221" i="11"/>
  <c r="K221" i="4" s="1"/>
  <c r="G221" i="12" s="1"/>
  <c r="L221" i="11"/>
  <c r="L221" i="4" s="1"/>
  <c r="N221" i="12" s="1"/>
  <c r="M221" i="11"/>
  <c r="M221" i="4" s="1"/>
  <c r="O221" i="12" s="1"/>
  <c r="N221" i="11"/>
  <c r="N221" i="4" s="1"/>
  <c r="Q221" i="12" s="1"/>
  <c r="O221" i="11"/>
  <c r="O221" i="4" s="1"/>
  <c r="R221" i="12" s="1"/>
  <c r="E222" i="11"/>
  <c r="E222" i="4" s="1"/>
  <c r="I222" i="12" s="1"/>
  <c r="F222" i="11"/>
  <c r="F222" i="4" s="1"/>
  <c r="E222" i="12" s="1"/>
  <c r="G222" i="11"/>
  <c r="G222" i="4" s="1"/>
  <c r="F222" i="12" s="1"/>
  <c r="H222" i="11"/>
  <c r="H222" i="4" s="1"/>
  <c r="J222" i="12" s="1"/>
  <c r="I222" i="11"/>
  <c r="I222" i="4" s="1"/>
  <c r="L222" i="12" s="1"/>
  <c r="J222" i="11"/>
  <c r="J222" i="4" s="1"/>
  <c r="M222" i="12" s="1"/>
  <c r="K222" i="11"/>
  <c r="K222" i="4" s="1"/>
  <c r="G222" i="12" s="1"/>
  <c r="L222" i="11"/>
  <c r="L222" i="4" s="1"/>
  <c r="N222" i="12" s="1"/>
  <c r="M222" i="11"/>
  <c r="M222" i="4" s="1"/>
  <c r="O222" i="12" s="1"/>
  <c r="N222" i="11"/>
  <c r="N222" i="4" s="1"/>
  <c r="Q222" i="12" s="1"/>
  <c r="O222" i="11"/>
  <c r="O222" i="4" s="1"/>
  <c r="R222" i="12" s="1"/>
  <c r="E223" i="11"/>
  <c r="E223" i="4" s="1"/>
  <c r="I223" i="12" s="1"/>
  <c r="F223" i="11"/>
  <c r="F223" i="4" s="1"/>
  <c r="E223" i="12" s="1"/>
  <c r="G223" i="11"/>
  <c r="G223" i="4" s="1"/>
  <c r="F223" i="12" s="1"/>
  <c r="H223" i="11"/>
  <c r="H223" i="4" s="1"/>
  <c r="J223" i="12" s="1"/>
  <c r="I223" i="11"/>
  <c r="I223" i="4" s="1"/>
  <c r="L223" i="12" s="1"/>
  <c r="J223" i="11"/>
  <c r="J223" i="4" s="1"/>
  <c r="M223" i="12" s="1"/>
  <c r="K223" i="11"/>
  <c r="K223" i="4" s="1"/>
  <c r="G223" i="12" s="1"/>
  <c r="L223" i="11"/>
  <c r="L223" i="4" s="1"/>
  <c r="N223" i="12" s="1"/>
  <c r="M223" i="11"/>
  <c r="M223" i="4" s="1"/>
  <c r="O223" i="12" s="1"/>
  <c r="N223" i="11"/>
  <c r="N223" i="4" s="1"/>
  <c r="Q223" i="12" s="1"/>
  <c r="O223" i="11"/>
  <c r="O223" i="4" s="1"/>
  <c r="R223" i="12" s="1"/>
  <c r="E224" i="11"/>
  <c r="E224" i="4" s="1"/>
  <c r="I224" i="12" s="1"/>
  <c r="F224" i="11"/>
  <c r="F224" i="4" s="1"/>
  <c r="E224" i="12" s="1"/>
  <c r="G224" i="11"/>
  <c r="G224" i="4" s="1"/>
  <c r="F224" i="12" s="1"/>
  <c r="H224" i="11"/>
  <c r="H224" i="4" s="1"/>
  <c r="J224" i="12" s="1"/>
  <c r="I224" i="11"/>
  <c r="I224" i="4" s="1"/>
  <c r="L224" i="12" s="1"/>
  <c r="J224" i="11"/>
  <c r="J224" i="4" s="1"/>
  <c r="M224" i="12" s="1"/>
  <c r="K224" i="11"/>
  <c r="K224" i="4" s="1"/>
  <c r="G224" i="12" s="1"/>
  <c r="L224" i="11"/>
  <c r="L224" i="4" s="1"/>
  <c r="N224" i="12" s="1"/>
  <c r="M224" i="11"/>
  <c r="M224" i="4" s="1"/>
  <c r="O224" i="12" s="1"/>
  <c r="N224" i="11"/>
  <c r="N224" i="4" s="1"/>
  <c r="Q224" i="12" s="1"/>
  <c r="O224" i="11"/>
  <c r="O224" i="4" s="1"/>
  <c r="R224" i="12" s="1"/>
  <c r="E225" i="11"/>
  <c r="E225" i="4" s="1"/>
  <c r="I225" i="12" s="1"/>
  <c r="F225" i="11"/>
  <c r="F225" i="4" s="1"/>
  <c r="E225" i="12" s="1"/>
  <c r="G225" i="11"/>
  <c r="G225" i="4" s="1"/>
  <c r="F225" i="12" s="1"/>
  <c r="H225" i="11"/>
  <c r="H225" i="4" s="1"/>
  <c r="J225" i="12" s="1"/>
  <c r="I225" i="11"/>
  <c r="I225" i="4" s="1"/>
  <c r="L225" i="12" s="1"/>
  <c r="J225" i="11"/>
  <c r="J225" i="4" s="1"/>
  <c r="M225" i="12" s="1"/>
  <c r="K225" i="11"/>
  <c r="K225" i="4" s="1"/>
  <c r="G225" i="12" s="1"/>
  <c r="L225" i="11"/>
  <c r="L225" i="4" s="1"/>
  <c r="N225" i="12" s="1"/>
  <c r="M225" i="11"/>
  <c r="M225" i="4" s="1"/>
  <c r="O225" i="12" s="1"/>
  <c r="N225" i="11"/>
  <c r="N225" i="4" s="1"/>
  <c r="Q225" i="12" s="1"/>
  <c r="O225" i="11"/>
  <c r="O225" i="4" s="1"/>
  <c r="R225" i="12" s="1"/>
  <c r="E226" i="11"/>
  <c r="E226" i="4" s="1"/>
  <c r="I226" i="12" s="1"/>
  <c r="F226" i="11"/>
  <c r="F226" i="4" s="1"/>
  <c r="E226" i="12" s="1"/>
  <c r="G226" i="11"/>
  <c r="G226" i="4" s="1"/>
  <c r="F226" i="12" s="1"/>
  <c r="H226" i="11"/>
  <c r="H226" i="4" s="1"/>
  <c r="J226" i="12" s="1"/>
  <c r="I226" i="11"/>
  <c r="I226" i="4" s="1"/>
  <c r="L226" i="12" s="1"/>
  <c r="J226" i="11"/>
  <c r="J226" i="4" s="1"/>
  <c r="M226" i="12" s="1"/>
  <c r="K226" i="11"/>
  <c r="K226" i="4" s="1"/>
  <c r="G226" i="12" s="1"/>
  <c r="L226" i="11"/>
  <c r="L226" i="4" s="1"/>
  <c r="N226" i="12" s="1"/>
  <c r="M226" i="11"/>
  <c r="M226" i="4" s="1"/>
  <c r="O226" i="12" s="1"/>
  <c r="N226" i="11"/>
  <c r="N226" i="4" s="1"/>
  <c r="Q226" i="12" s="1"/>
  <c r="O226" i="11"/>
  <c r="O226" i="4" s="1"/>
  <c r="R226" i="12" s="1"/>
  <c r="E227" i="11"/>
  <c r="E227" i="4" s="1"/>
  <c r="I227" i="12" s="1"/>
  <c r="F227" i="11"/>
  <c r="F227" i="4" s="1"/>
  <c r="E227" i="12" s="1"/>
  <c r="G227" i="11"/>
  <c r="G227" i="4" s="1"/>
  <c r="F227" i="12" s="1"/>
  <c r="H227" i="11"/>
  <c r="H227" i="4" s="1"/>
  <c r="J227" i="12" s="1"/>
  <c r="I227" i="11"/>
  <c r="I227" i="4" s="1"/>
  <c r="L227" i="12" s="1"/>
  <c r="J227" i="11"/>
  <c r="J227" i="4" s="1"/>
  <c r="M227" i="12" s="1"/>
  <c r="K227" i="11"/>
  <c r="K227" i="4" s="1"/>
  <c r="G227" i="12" s="1"/>
  <c r="L227" i="11"/>
  <c r="L227" i="4" s="1"/>
  <c r="N227" i="12" s="1"/>
  <c r="M227" i="11"/>
  <c r="M227" i="4" s="1"/>
  <c r="O227" i="12" s="1"/>
  <c r="N227" i="11"/>
  <c r="N227" i="4" s="1"/>
  <c r="Q227" i="12" s="1"/>
  <c r="O227" i="11"/>
  <c r="O227" i="4" s="1"/>
  <c r="R227" i="12" s="1"/>
  <c r="E228" i="11"/>
  <c r="E228" i="4" s="1"/>
  <c r="I228" i="12" s="1"/>
  <c r="F228" i="11"/>
  <c r="F228" i="4" s="1"/>
  <c r="E228" i="12" s="1"/>
  <c r="G228" i="11"/>
  <c r="G228" i="4" s="1"/>
  <c r="F228" i="12" s="1"/>
  <c r="H228" i="11"/>
  <c r="H228" i="4" s="1"/>
  <c r="J228" i="12" s="1"/>
  <c r="I228" i="11"/>
  <c r="I228" i="4" s="1"/>
  <c r="L228" i="12" s="1"/>
  <c r="J228" i="11"/>
  <c r="J228" i="4" s="1"/>
  <c r="M228" i="12" s="1"/>
  <c r="K228" i="11"/>
  <c r="K228" i="4" s="1"/>
  <c r="G228" i="12" s="1"/>
  <c r="L228" i="11"/>
  <c r="L228" i="4" s="1"/>
  <c r="N228" i="12" s="1"/>
  <c r="M228" i="11"/>
  <c r="M228" i="4" s="1"/>
  <c r="O228" i="12" s="1"/>
  <c r="N228" i="11"/>
  <c r="N228" i="4" s="1"/>
  <c r="Q228" i="12" s="1"/>
  <c r="O228" i="11"/>
  <c r="O228" i="4" s="1"/>
  <c r="R228" i="12" s="1"/>
  <c r="E229" i="11"/>
  <c r="E229" i="4" s="1"/>
  <c r="I229" i="12" s="1"/>
  <c r="F229" i="11"/>
  <c r="F229" i="4" s="1"/>
  <c r="E229" i="12" s="1"/>
  <c r="G229" i="11"/>
  <c r="G229" i="4" s="1"/>
  <c r="F229" i="12" s="1"/>
  <c r="H229" i="11"/>
  <c r="H229" i="4" s="1"/>
  <c r="J229" i="12" s="1"/>
  <c r="I229" i="11"/>
  <c r="I229" i="4" s="1"/>
  <c r="L229" i="12" s="1"/>
  <c r="J229" i="11"/>
  <c r="J229" i="4" s="1"/>
  <c r="M229" i="12" s="1"/>
  <c r="K229" i="11"/>
  <c r="K229" i="4" s="1"/>
  <c r="G229" i="12" s="1"/>
  <c r="L229" i="11"/>
  <c r="L229" i="4" s="1"/>
  <c r="N229" i="12" s="1"/>
  <c r="M229" i="11"/>
  <c r="M229" i="4" s="1"/>
  <c r="O229" i="12" s="1"/>
  <c r="N229" i="11"/>
  <c r="N229" i="4" s="1"/>
  <c r="Q229" i="12" s="1"/>
  <c r="O229" i="11"/>
  <c r="O229" i="4" s="1"/>
  <c r="R229" i="12" s="1"/>
  <c r="E230" i="11"/>
  <c r="E230" i="4" s="1"/>
  <c r="I230" i="12" s="1"/>
  <c r="F230" i="11"/>
  <c r="F230" i="4" s="1"/>
  <c r="E230" i="12" s="1"/>
  <c r="G230" i="11"/>
  <c r="G230" i="4" s="1"/>
  <c r="F230" i="12" s="1"/>
  <c r="H230" i="11"/>
  <c r="H230" i="4" s="1"/>
  <c r="J230" i="12" s="1"/>
  <c r="I230" i="11"/>
  <c r="I230" i="4" s="1"/>
  <c r="L230" i="12" s="1"/>
  <c r="J230" i="11"/>
  <c r="J230" i="4" s="1"/>
  <c r="M230" i="12" s="1"/>
  <c r="K230" i="11"/>
  <c r="K230" i="4" s="1"/>
  <c r="G230" i="12" s="1"/>
  <c r="L230" i="11"/>
  <c r="L230" i="4" s="1"/>
  <c r="N230" i="12" s="1"/>
  <c r="M230" i="11"/>
  <c r="M230" i="4" s="1"/>
  <c r="O230" i="12" s="1"/>
  <c r="N230" i="11"/>
  <c r="N230" i="4" s="1"/>
  <c r="Q230" i="12" s="1"/>
  <c r="O230" i="11"/>
  <c r="O230" i="4" s="1"/>
  <c r="R230" i="12" s="1"/>
  <c r="E231" i="11"/>
  <c r="E231" i="4" s="1"/>
  <c r="I231" i="12" s="1"/>
  <c r="F231" i="11"/>
  <c r="F231" i="4" s="1"/>
  <c r="E231" i="12" s="1"/>
  <c r="G231" i="11"/>
  <c r="G231" i="4" s="1"/>
  <c r="F231" i="12" s="1"/>
  <c r="H231" i="11"/>
  <c r="H231" i="4" s="1"/>
  <c r="J231" i="12" s="1"/>
  <c r="I231" i="11"/>
  <c r="I231" i="4" s="1"/>
  <c r="L231" i="12" s="1"/>
  <c r="J231" i="11"/>
  <c r="J231" i="4" s="1"/>
  <c r="M231" i="12" s="1"/>
  <c r="K231" i="11"/>
  <c r="K231" i="4" s="1"/>
  <c r="G231" i="12" s="1"/>
  <c r="L231" i="11"/>
  <c r="L231" i="4" s="1"/>
  <c r="N231" i="12" s="1"/>
  <c r="M231" i="11"/>
  <c r="M231" i="4" s="1"/>
  <c r="O231" i="12" s="1"/>
  <c r="N231" i="11"/>
  <c r="N231" i="4" s="1"/>
  <c r="Q231" i="12" s="1"/>
  <c r="O231" i="11"/>
  <c r="O231" i="4" s="1"/>
  <c r="R231" i="12" s="1"/>
  <c r="E232" i="11"/>
  <c r="E232" i="4" s="1"/>
  <c r="I232" i="12" s="1"/>
  <c r="F232" i="11"/>
  <c r="F232" i="4" s="1"/>
  <c r="E232" i="12" s="1"/>
  <c r="G232" i="11"/>
  <c r="G232" i="4" s="1"/>
  <c r="F232" i="12" s="1"/>
  <c r="H232" i="11"/>
  <c r="H232" i="4" s="1"/>
  <c r="J232" i="12" s="1"/>
  <c r="I232" i="11"/>
  <c r="I232" i="4" s="1"/>
  <c r="L232" i="12" s="1"/>
  <c r="J232" i="11"/>
  <c r="J232" i="4" s="1"/>
  <c r="M232" i="12" s="1"/>
  <c r="K232" i="11"/>
  <c r="K232" i="4" s="1"/>
  <c r="G232" i="12" s="1"/>
  <c r="L232" i="11"/>
  <c r="L232" i="4" s="1"/>
  <c r="N232" i="12" s="1"/>
  <c r="M232" i="11"/>
  <c r="M232" i="4" s="1"/>
  <c r="O232" i="12" s="1"/>
  <c r="N232" i="11"/>
  <c r="N232" i="4" s="1"/>
  <c r="Q232" i="12" s="1"/>
  <c r="O232" i="11"/>
  <c r="O232" i="4" s="1"/>
  <c r="R232" i="12" s="1"/>
  <c r="E233" i="11"/>
  <c r="E233" i="4" s="1"/>
  <c r="I233" i="12" s="1"/>
  <c r="F233" i="11"/>
  <c r="F233" i="4" s="1"/>
  <c r="E233" i="12" s="1"/>
  <c r="G233" i="11"/>
  <c r="G233" i="4" s="1"/>
  <c r="F233" i="12" s="1"/>
  <c r="H233" i="11"/>
  <c r="H233" i="4" s="1"/>
  <c r="J233" i="12" s="1"/>
  <c r="I233" i="11"/>
  <c r="I233" i="4" s="1"/>
  <c r="L233" i="12" s="1"/>
  <c r="J233" i="11"/>
  <c r="J233" i="4" s="1"/>
  <c r="M233" i="12" s="1"/>
  <c r="K233" i="11"/>
  <c r="K233" i="4" s="1"/>
  <c r="G233" i="12" s="1"/>
  <c r="L233" i="11"/>
  <c r="L233" i="4" s="1"/>
  <c r="N233" i="12" s="1"/>
  <c r="M233" i="11"/>
  <c r="M233" i="4" s="1"/>
  <c r="O233" i="12" s="1"/>
  <c r="N233" i="11"/>
  <c r="N233" i="4" s="1"/>
  <c r="Q233" i="12" s="1"/>
  <c r="O233" i="11"/>
  <c r="O233" i="4" s="1"/>
  <c r="R233" i="12" s="1"/>
  <c r="E234" i="11"/>
  <c r="E234" i="4" s="1"/>
  <c r="I234" i="12" s="1"/>
  <c r="F234" i="11"/>
  <c r="F234" i="4" s="1"/>
  <c r="E234" i="12" s="1"/>
  <c r="G234" i="11"/>
  <c r="G234" i="4" s="1"/>
  <c r="F234" i="12" s="1"/>
  <c r="H234" i="11"/>
  <c r="H234" i="4" s="1"/>
  <c r="J234" i="12" s="1"/>
  <c r="I234" i="11"/>
  <c r="I234" i="4" s="1"/>
  <c r="L234" i="12" s="1"/>
  <c r="J234" i="11"/>
  <c r="J234" i="4" s="1"/>
  <c r="M234" i="12" s="1"/>
  <c r="K234" i="11"/>
  <c r="K234" i="4" s="1"/>
  <c r="G234" i="12" s="1"/>
  <c r="L234" i="11"/>
  <c r="L234" i="4" s="1"/>
  <c r="N234" i="12" s="1"/>
  <c r="M234" i="11"/>
  <c r="M234" i="4" s="1"/>
  <c r="O234" i="12" s="1"/>
  <c r="N234" i="11"/>
  <c r="N234" i="4" s="1"/>
  <c r="Q234" i="12" s="1"/>
  <c r="O234" i="11"/>
  <c r="O234" i="4" s="1"/>
  <c r="R234" i="12" s="1"/>
  <c r="E235" i="11"/>
  <c r="E235" i="4" s="1"/>
  <c r="I235" i="12" s="1"/>
  <c r="F235" i="11"/>
  <c r="F235" i="4" s="1"/>
  <c r="E235" i="12" s="1"/>
  <c r="G235" i="11"/>
  <c r="G235" i="4" s="1"/>
  <c r="F235" i="12" s="1"/>
  <c r="H235" i="11"/>
  <c r="H235" i="4" s="1"/>
  <c r="J235" i="12" s="1"/>
  <c r="I235" i="11"/>
  <c r="I235" i="4" s="1"/>
  <c r="L235" i="12" s="1"/>
  <c r="J235" i="11"/>
  <c r="J235" i="4" s="1"/>
  <c r="M235" i="12" s="1"/>
  <c r="K235" i="11"/>
  <c r="K235" i="4" s="1"/>
  <c r="G235" i="12" s="1"/>
  <c r="L235" i="11"/>
  <c r="L235" i="4" s="1"/>
  <c r="N235" i="12" s="1"/>
  <c r="M235" i="11"/>
  <c r="M235" i="4" s="1"/>
  <c r="O235" i="12" s="1"/>
  <c r="N235" i="11"/>
  <c r="N235" i="4" s="1"/>
  <c r="Q235" i="12" s="1"/>
  <c r="O235" i="11"/>
  <c r="O235" i="4" s="1"/>
  <c r="R235" i="12" s="1"/>
  <c r="E236" i="11"/>
  <c r="E236" i="4" s="1"/>
  <c r="I236" i="12" s="1"/>
  <c r="F236" i="11"/>
  <c r="F236" i="4" s="1"/>
  <c r="E236" i="12" s="1"/>
  <c r="G236" i="11"/>
  <c r="G236" i="4" s="1"/>
  <c r="F236" i="12" s="1"/>
  <c r="H236" i="11"/>
  <c r="H236" i="4" s="1"/>
  <c r="J236" i="12" s="1"/>
  <c r="I236" i="11"/>
  <c r="I236" i="4" s="1"/>
  <c r="L236" i="12" s="1"/>
  <c r="J236" i="11"/>
  <c r="J236" i="4" s="1"/>
  <c r="M236" i="12" s="1"/>
  <c r="K236" i="11"/>
  <c r="K236" i="4" s="1"/>
  <c r="G236" i="12" s="1"/>
  <c r="L236" i="11"/>
  <c r="L236" i="4" s="1"/>
  <c r="N236" i="12" s="1"/>
  <c r="M236" i="11"/>
  <c r="M236" i="4" s="1"/>
  <c r="O236" i="12" s="1"/>
  <c r="N236" i="11"/>
  <c r="N236" i="4" s="1"/>
  <c r="Q236" i="12" s="1"/>
  <c r="O236" i="11"/>
  <c r="O236" i="4" s="1"/>
  <c r="R236" i="12" s="1"/>
  <c r="E237" i="11"/>
  <c r="E237" i="4" s="1"/>
  <c r="I237" i="12" s="1"/>
  <c r="F237" i="11"/>
  <c r="F237" i="4" s="1"/>
  <c r="E237" i="12" s="1"/>
  <c r="G237" i="11"/>
  <c r="G237" i="4" s="1"/>
  <c r="F237" i="12" s="1"/>
  <c r="H237" i="11"/>
  <c r="H237" i="4" s="1"/>
  <c r="J237" i="12" s="1"/>
  <c r="I237" i="11"/>
  <c r="I237" i="4" s="1"/>
  <c r="L237" i="12" s="1"/>
  <c r="J237" i="11"/>
  <c r="J237" i="4" s="1"/>
  <c r="M237" i="12" s="1"/>
  <c r="K237" i="11"/>
  <c r="K237" i="4" s="1"/>
  <c r="G237" i="12" s="1"/>
  <c r="L237" i="11"/>
  <c r="L237" i="4" s="1"/>
  <c r="N237" i="12" s="1"/>
  <c r="M237" i="11"/>
  <c r="M237" i="4" s="1"/>
  <c r="O237" i="12" s="1"/>
  <c r="N237" i="11"/>
  <c r="N237" i="4" s="1"/>
  <c r="Q237" i="12" s="1"/>
  <c r="O237" i="11"/>
  <c r="O237" i="4" s="1"/>
  <c r="R237" i="12" s="1"/>
  <c r="E238" i="11"/>
  <c r="E238" i="4" s="1"/>
  <c r="I238" i="12" s="1"/>
  <c r="F238" i="11"/>
  <c r="F238" i="4" s="1"/>
  <c r="E238" i="12" s="1"/>
  <c r="G238" i="11"/>
  <c r="G238" i="4" s="1"/>
  <c r="F238" i="12" s="1"/>
  <c r="H238" i="11"/>
  <c r="H238" i="4" s="1"/>
  <c r="J238" i="12" s="1"/>
  <c r="I238" i="11"/>
  <c r="I238" i="4" s="1"/>
  <c r="L238" i="12" s="1"/>
  <c r="J238" i="11"/>
  <c r="J238" i="4" s="1"/>
  <c r="M238" i="12" s="1"/>
  <c r="K238" i="11"/>
  <c r="K238" i="4" s="1"/>
  <c r="G238" i="12" s="1"/>
  <c r="L238" i="11"/>
  <c r="L238" i="4" s="1"/>
  <c r="N238" i="12" s="1"/>
  <c r="M238" i="11"/>
  <c r="M238" i="4" s="1"/>
  <c r="O238" i="12" s="1"/>
  <c r="N238" i="11"/>
  <c r="N238" i="4" s="1"/>
  <c r="Q238" i="12" s="1"/>
  <c r="O238" i="11"/>
  <c r="O238" i="4" s="1"/>
  <c r="R238" i="12" s="1"/>
  <c r="E239" i="11"/>
  <c r="E239" i="4" s="1"/>
  <c r="I239" i="12" s="1"/>
  <c r="F239" i="11"/>
  <c r="F239" i="4" s="1"/>
  <c r="E239" i="12" s="1"/>
  <c r="G239" i="11"/>
  <c r="G239" i="4" s="1"/>
  <c r="F239" i="12" s="1"/>
  <c r="H239" i="11"/>
  <c r="H239" i="4" s="1"/>
  <c r="J239" i="12" s="1"/>
  <c r="I239" i="11"/>
  <c r="I239" i="4" s="1"/>
  <c r="L239" i="12" s="1"/>
  <c r="J239" i="11"/>
  <c r="J239" i="4" s="1"/>
  <c r="M239" i="12" s="1"/>
  <c r="K239" i="11"/>
  <c r="K239" i="4" s="1"/>
  <c r="G239" i="12" s="1"/>
  <c r="L239" i="11"/>
  <c r="L239" i="4" s="1"/>
  <c r="N239" i="12" s="1"/>
  <c r="M239" i="11"/>
  <c r="M239" i="4" s="1"/>
  <c r="O239" i="12" s="1"/>
  <c r="N239" i="11"/>
  <c r="N239" i="4" s="1"/>
  <c r="Q239" i="12" s="1"/>
  <c r="O239" i="11"/>
  <c r="O239" i="4" s="1"/>
  <c r="R239" i="12" s="1"/>
  <c r="E240" i="11"/>
  <c r="E240" i="4" s="1"/>
  <c r="I240" i="12" s="1"/>
  <c r="F240" i="11"/>
  <c r="F240" i="4" s="1"/>
  <c r="E240" i="12" s="1"/>
  <c r="G240" i="11"/>
  <c r="G240" i="4" s="1"/>
  <c r="F240" i="12" s="1"/>
  <c r="H240" i="11"/>
  <c r="H240" i="4" s="1"/>
  <c r="J240" i="12" s="1"/>
  <c r="I240" i="11"/>
  <c r="I240" i="4" s="1"/>
  <c r="L240" i="12" s="1"/>
  <c r="J240" i="11"/>
  <c r="J240" i="4" s="1"/>
  <c r="M240" i="12" s="1"/>
  <c r="K240" i="11"/>
  <c r="K240" i="4" s="1"/>
  <c r="G240" i="12" s="1"/>
  <c r="L240" i="11"/>
  <c r="L240" i="4" s="1"/>
  <c r="N240" i="12" s="1"/>
  <c r="M240" i="11"/>
  <c r="M240" i="4" s="1"/>
  <c r="O240" i="12" s="1"/>
  <c r="N240" i="11"/>
  <c r="N240" i="4" s="1"/>
  <c r="Q240" i="12" s="1"/>
  <c r="O240" i="11"/>
  <c r="O240" i="4" s="1"/>
  <c r="R240" i="12" s="1"/>
  <c r="E241" i="11"/>
  <c r="E241" i="4" s="1"/>
  <c r="I241" i="12" s="1"/>
  <c r="F241" i="11"/>
  <c r="F241" i="4" s="1"/>
  <c r="E241" i="12" s="1"/>
  <c r="G241" i="11"/>
  <c r="G241" i="4" s="1"/>
  <c r="F241" i="12" s="1"/>
  <c r="H241" i="11"/>
  <c r="H241" i="4" s="1"/>
  <c r="J241" i="12" s="1"/>
  <c r="I241" i="11"/>
  <c r="I241" i="4" s="1"/>
  <c r="L241" i="12" s="1"/>
  <c r="J241" i="11"/>
  <c r="J241" i="4" s="1"/>
  <c r="M241" i="12" s="1"/>
  <c r="K241" i="11"/>
  <c r="K241" i="4" s="1"/>
  <c r="G241" i="12" s="1"/>
  <c r="L241" i="11"/>
  <c r="L241" i="4" s="1"/>
  <c r="N241" i="12" s="1"/>
  <c r="M241" i="11"/>
  <c r="M241" i="4" s="1"/>
  <c r="O241" i="12" s="1"/>
  <c r="N241" i="11"/>
  <c r="N241" i="4" s="1"/>
  <c r="Q241" i="12" s="1"/>
  <c r="O241" i="11"/>
  <c r="O241" i="4" s="1"/>
  <c r="R241" i="12" s="1"/>
  <c r="E242" i="11"/>
  <c r="E242" i="4" s="1"/>
  <c r="I242" i="12" s="1"/>
  <c r="F242" i="11"/>
  <c r="F242" i="4" s="1"/>
  <c r="E242" i="12" s="1"/>
  <c r="G242" i="11"/>
  <c r="G242" i="4" s="1"/>
  <c r="F242" i="12" s="1"/>
  <c r="H242" i="11"/>
  <c r="H242" i="4" s="1"/>
  <c r="J242" i="12" s="1"/>
  <c r="I242" i="11"/>
  <c r="I242" i="4" s="1"/>
  <c r="L242" i="12" s="1"/>
  <c r="J242" i="11"/>
  <c r="J242" i="4" s="1"/>
  <c r="M242" i="12" s="1"/>
  <c r="K242" i="11"/>
  <c r="K242" i="4" s="1"/>
  <c r="G242" i="12" s="1"/>
  <c r="L242" i="11"/>
  <c r="L242" i="4" s="1"/>
  <c r="N242" i="12" s="1"/>
  <c r="M242" i="11"/>
  <c r="M242" i="4" s="1"/>
  <c r="O242" i="12" s="1"/>
  <c r="N242" i="11"/>
  <c r="N242" i="4" s="1"/>
  <c r="Q242" i="12" s="1"/>
  <c r="O242" i="11"/>
  <c r="O242" i="4" s="1"/>
  <c r="R242" i="12" s="1"/>
  <c r="E243" i="11"/>
  <c r="E243" i="4" s="1"/>
  <c r="I243" i="12" s="1"/>
  <c r="F243" i="11"/>
  <c r="F243" i="4" s="1"/>
  <c r="E243" i="12" s="1"/>
  <c r="G243" i="11"/>
  <c r="G243" i="4" s="1"/>
  <c r="F243" i="12" s="1"/>
  <c r="H243" i="11"/>
  <c r="H243" i="4" s="1"/>
  <c r="J243" i="12" s="1"/>
  <c r="I243" i="11"/>
  <c r="I243" i="4" s="1"/>
  <c r="L243" i="12" s="1"/>
  <c r="J243" i="11"/>
  <c r="J243" i="4" s="1"/>
  <c r="M243" i="12" s="1"/>
  <c r="K243" i="11"/>
  <c r="K243" i="4" s="1"/>
  <c r="G243" i="12" s="1"/>
  <c r="L243" i="11"/>
  <c r="L243" i="4" s="1"/>
  <c r="N243" i="12" s="1"/>
  <c r="M243" i="11"/>
  <c r="M243" i="4" s="1"/>
  <c r="O243" i="12" s="1"/>
  <c r="N243" i="11"/>
  <c r="N243" i="4" s="1"/>
  <c r="Q243" i="12" s="1"/>
  <c r="O243" i="11"/>
  <c r="O243" i="4" s="1"/>
  <c r="R243" i="12" s="1"/>
  <c r="E244" i="11"/>
  <c r="E244" i="4" s="1"/>
  <c r="I244" i="12" s="1"/>
  <c r="F244" i="11"/>
  <c r="F244" i="4" s="1"/>
  <c r="E244" i="12" s="1"/>
  <c r="G244" i="11"/>
  <c r="G244" i="4" s="1"/>
  <c r="F244" i="12" s="1"/>
  <c r="H244" i="11"/>
  <c r="H244" i="4" s="1"/>
  <c r="J244" i="12" s="1"/>
  <c r="I244" i="11"/>
  <c r="I244" i="4" s="1"/>
  <c r="L244" i="12" s="1"/>
  <c r="J244" i="11"/>
  <c r="J244" i="4" s="1"/>
  <c r="M244" i="12" s="1"/>
  <c r="K244" i="11"/>
  <c r="K244" i="4" s="1"/>
  <c r="G244" i="12" s="1"/>
  <c r="L244" i="11"/>
  <c r="L244" i="4" s="1"/>
  <c r="N244" i="12" s="1"/>
  <c r="M244" i="11"/>
  <c r="M244" i="4" s="1"/>
  <c r="O244" i="12" s="1"/>
  <c r="N244" i="11"/>
  <c r="N244" i="4" s="1"/>
  <c r="Q244" i="12" s="1"/>
  <c r="O244" i="11"/>
  <c r="O244" i="4" s="1"/>
  <c r="R244" i="12" s="1"/>
  <c r="E245" i="11"/>
  <c r="E245" i="4" s="1"/>
  <c r="I245" i="12" s="1"/>
  <c r="F245" i="11"/>
  <c r="F245" i="4" s="1"/>
  <c r="E245" i="12" s="1"/>
  <c r="G245" i="11"/>
  <c r="G245" i="4" s="1"/>
  <c r="F245" i="12" s="1"/>
  <c r="H245" i="11"/>
  <c r="H245" i="4" s="1"/>
  <c r="J245" i="12" s="1"/>
  <c r="I245" i="11"/>
  <c r="I245" i="4" s="1"/>
  <c r="L245" i="12" s="1"/>
  <c r="J245" i="11"/>
  <c r="J245" i="4" s="1"/>
  <c r="M245" i="12" s="1"/>
  <c r="K245" i="11"/>
  <c r="K245" i="4" s="1"/>
  <c r="G245" i="12" s="1"/>
  <c r="L245" i="11"/>
  <c r="L245" i="4" s="1"/>
  <c r="N245" i="12" s="1"/>
  <c r="M245" i="11"/>
  <c r="M245" i="4" s="1"/>
  <c r="O245" i="12" s="1"/>
  <c r="N245" i="11"/>
  <c r="N245" i="4" s="1"/>
  <c r="Q245" i="12" s="1"/>
  <c r="O245" i="11"/>
  <c r="O245" i="4" s="1"/>
  <c r="R245" i="12" s="1"/>
  <c r="E246" i="11"/>
  <c r="E246" i="4" s="1"/>
  <c r="I246" i="12" s="1"/>
  <c r="F246" i="11"/>
  <c r="F246" i="4" s="1"/>
  <c r="E246" i="12" s="1"/>
  <c r="G246" i="11"/>
  <c r="G246" i="4" s="1"/>
  <c r="F246" i="12" s="1"/>
  <c r="H246" i="11"/>
  <c r="H246" i="4" s="1"/>
  <c r="J246" i="12" s="1"/>
  <c r="I246" i="11"/>
  <c r="I246" i="4" s="1"/>
  <c r="L246" i="12" s="1"/>
  <c r="J246" i="11"/>
  <c r="J246" i="4" s="1"/>
  <c r="M246" i="12" s="1"/>
  <c r="K246" i="11"/>
  <c r="K246" i="4" s="1"/>
  <c r="G246" i="12" s="1"/>
  <c r="L246" i="11"/>
  <c r="L246" i="4" s="1"/>
  <c r="N246" i="12" s="1"/>
  <c r="M246" i="11"/>
  <c r="M246" i="4" s="1"/>
  <c r="O246" i="12" s="1"/>
  <c r="N246" i="11"/>
  <c r="N246" i="4" s="1"/>
  <c r="Q246" i="12" s="1"/>
  <c r="O246" i="11"/>
  <c r="O246" i="4" s="1"/>
  <c r="R246" i="12" s="1"/>
  <c r="E247" i="11"/>
  <c r="E247" i="4" s="1"/>
  <c r="I247" i="12" s="1"/>
  <c r="F247" i="11"/>
  <c r="F247" i="4" s="1"/>
  <c r="E247" i="12" s="1"/>
  <c r="G247" i="11"/>
  <c r="G247" i="4" s="1"/>
  <c r="F247" i="12" s="1"/>
  <c r="H247" i="11"/>
  <c r="H247" i="4" s="1"/>
  <c r="J247" i="12" s="1"/>
  <c r="I247" i="11"/>
  <c r="I247" i="4" s="1"/>
  <c r="L247" i="12" s="1"/>
  <c r="J247" i="11"/>
  <c r="J247" i="4" s="1"/>
  <c r="M247" i="12" s="1"/>
  <c r="K247" i="11"/>
  <c r="K247" i="4" s="1"/>
  <c r="G247" i="12" s="1"/>
  <c r="L247" i="11"/>
  <c r="L247" i="4" s="1"/>
  <c r="N247" i="12" s="1"/>
  <c r="M247" i="11"/>
  <c r="M247" i="4" s="1"/>
  <c r="O247" i="12" s="1"/>
  <c r="N247" i="11"/>
  <c r="N247" i="4" s="1"/>
  <c r="Q247" i="12" s="1"/>
  <c r="O247" i="11"/>
  <c r="O247" i="4" s="1"/>
  <c r="R247" i="12" s="1"/>
  <c r="E248" i="11"/>
  <c r="E248" i="4" s="1"/>
  <c r="I248" i="12" s="1"/>
  <c r="F248" i="11"/>
  <c r="F248" i="4" s="1"/>
  <c r="E248" i="12" s="1"/>
  <c r="G248" i="11"/>
  <c r="G248" i="4" s="1"/>
  <c r="F248" i="12" s="1"/>
  <c r="H248" i="11"/>
  <c r="H248" i="4" s="1"/>
  <c r="J248" i="12" s="1"/>
  <c r="I248" i="11"/>
  <c r="I248" i="4" s="1"/>
  <c r="L248" i="12" s="1"/>
  <c r="J248" i="11"/>
  <c r="J248" i="4" s="1"/>
  <c r="M248" i="12" s="1"/>
  <c r="K248" i="11"/>
  <c r="K248" i="4" s="1"/>
  <c r="G248" i="12" s="1"/>
  <c r="L248" i="11"/>
  <c r="L248" i="4" s="1"/>
  <c r="N248" i="12" s="1"/>
  <c r="M248" i="11"/>
  <c r="M248" i="4" s="1"/>
  <c r="O248" i="12" s="1"/>
  <c r="N248" i="11"/>
  <c r="N248" i="4" s="1"/>
  <c r="Q248" i="12" s="1"/>
  <c r="O248" i="11"/>
  <c r="O248" i="4" s="1"/>
  <c r="R248" i="12" s="1"/>
  <c r="E249" i="11"/>
  <c r="E249" i="4" s="1"/>
  <c r="I249" i="12" s="1"/>
  <c r="F249" i="11"/>
  <c r="F249" i="4" s="1"/>
  <c r="E249" i="12" s="1"/>
  <c r="G249" i="11"/>
  <c r="G249" i="4" s="1"/>
  <c r="F249" i="12" s="1"/>
  <c r="H249" i="11"/>
  <c r="H249" i="4" s="1"/>
  <c r="J249" i="12" s="1"/>
  <c r="I249" i="11"/>
  <c r="I249" i="4" s="1"/>
  <c r="L249" i="12" s="1"/>
  <c r="J249" i="11"/>
  <c r="J249" i="4" s="1"/>
  <c r="M249" i="12" s="1"/>
  <c r="K249" i="11"/>
  <c r="K249" i="4" s="1"/>
  <c r="G249" i="12" s="1"/>
  <c r="L249" i="11"/>
  <c r="L249" i="4" s="1"/>
  <c r="N249" i="12" s="1"/>
  <c r="M249" i="11"/>
  <c r="M249" i="4" s="1"/>
  <c r="O249" i="12" s="1"/>
  <c r="N249" i="11"/>
  <c r="N249" i="4" s="1"/>
  <c r="Q249" i="12" s="1"/>
  <c r="O249" i="11"/>
  <c r="O249" i="4" s="1"/>
  <c r="R249" i="12" s="1"/>
  <c r="E250" i="11"/>
  <c r="E250" i="4" s="1"/>
  <c r="I250" i="12" s="1"/>
  <c r="F250" i="11"/>
  <c r="F250" i="4" s="1"/>
  <c r="E250" i="12" s="1"/>
  <c r="G250" i="11"/>
  <c r="G250" i="4" s="1"/>
  <c r="F250" i="12" s="1"/>
  <c r="H250" i="11"/>
  <c r="H250" i="4" s="1"/>
  <c r="J250" i="12" s="1"/>
  <c r="I250" i="11"/>
  <c r="I250" i="4" s="1"/>
  <c r="L250" i="12" s="1"/>
  <c r="J250" i="11"/>
  <c r="J250" i="4" s="1"/>
  <c r="M250" i="12" s="1"/>
  <c r="K250" i="11"/>
  <c r="K250" i="4" s="1"/>
  <c r="G250" i="12" s="1"/>
  <c r="L250" i="11"/>
  <c r="L250" i="4" s="1"/>
  <c r="N250" i="12" s="1"/>
  <c r="M250" i="11"/>
  <c r="M250" i="4" s="1"/>
  <c r="O250" i="12" s="1"/>
  <c r="N250" i="11"/>
  <c r="N250" i="4" s="1"/>
  <c r="Q250" i="12" s="1"/>
  <c r="O250" i="11"/>
  <c r="O250" i="4" s="1"/>
  <c r="R250" i="12" s="1"/>
  <c r="E251" i="11"/>
  <c r="E251" i="4" s="1"/>
  <c r="I251" i="12" s="1"/>
  <c r="F251" i="11"/>
  <c r="F251" i="4" s="1"/>
  <c r="E251" i="12" s="1"/>
  <c r="G251" i="11"/>
  <c r="G251" i="4" s="1"/>
  <c r="F251" i="12" s="1"/>
  <c r="H251" i="11"/>
  <c r="H251" i="4" s="1"/>
  <c r="J251" i="12" s="1"/>
  <c r="I251" i="11"/>
  <c r="I251" i="4" s="1"/>
  <c r="L251" i="12" s="1"/>
  <c r="J251" i="11"/>
  <c r="J251" i="4" s="1"/>
  <c r="M251" i="12" s="1"/>
  <c r="K251" i="11"/>
  <c r="K251" i="4" s="1"/>
  <c r="G251" i="12" s="1"/>
  <c r="L251" i="11"/>
  <c r="L251" i="4" s="1"/>
  <c r="N251" i="12" s="1"/>
  <c r="M251" i="11"/>
  <c r="M251" i="4" s="1"/>
  <c r="O251" i="12" s="1"/>
  <c r="N251" i="11"/>
  <c r="N251" i="4" s="1"/>
  <c r="Q251" i="12" s="1"/>
  <c r="O251" i="11"/>
  <c r="O251" i="4" s="1"/>
  <c r="R251" i="12" s="1"/>
  <c r="E252" i="11"/>
  <c r="E252" i="4" s="1"/>
  <c r="I252" i="12" s="1"/>
  <c r="F252" i="11"/>
  <c r="F252" i="4" s="1"/>
  <c r="E252" i="12" s="1"/>
  <c r="G252" i="11"/>
  <c r="G252" i="4" s="1"/>
  <c r="F252" i="12" s="1"/>
  <c r="H252" i="11"/>
  <c r="H252" i="4" s="1"/>
  <c r="J252" i="12" s="1"/>
  <c r="I252" i="11"/>
  <c r="I252" i="4" s="1"/>
  <c r="L252" i="12" s="1"/>
  <c r="J252" i="11"/>
  <c r="J252" i="4" s="1"/>
  <c r="M252" i="12" s="1"/>
  <c r="K252" i="11"/>
  <c r="K252" i="4" s="1"/>
  <c r="G252" i="12" s="1"/>
  <c r="L252" i="11"/>
  <c r="L252" i="4" s="1"/>
  <c r="N252" i="12" s="1"/>
  <c r="M252" i="11"/>
  <c r="M252" i="4" s="1"/>
  <c r="O252" i="12" s="1"/>
  <c r="N252" i="11"/>
  <c r="N252" i="4" s="1"/>
  <c r="Q252" i="12" s="1"/>
  <c r="O252" i="11"/>
  <c r="O252" i="4" s="1"/>
  <c r="R252" i="12" s="1"/>
  <c r="E253" i="11"/>
  <c r="E253" i="4" s="1"/>
  <c r="I253" i="12" s="1"/>
  <c r="F253" i="11"/>
  <c r="F253" i="4" s="1"/>
  <c r="E253" i="12" s="1"/>
  <c r="G253" i="11"/>
  <c r="G253" i="4" s="1"/>
  <c r="F253" i="12" s="1"/>
  <c r="H253" i="11"/>
  <c r="H253" i="4" s="1"/>
  <c r="J253" i="12" s="1"/>
  <c r="I253" i="11"/>
  <c r="I253" i="4" s="1"/>
  <c r="L253" i="12" s="1"/>
  <c r="J253" i="11"/>
  <c r="J253" i="4" s="1"/>
  <c r="M253" i="12" s="1"/>
  <c r="K253" i="11"/>
  <c r="K253" i="4" s="1"/>
  <c r="G253" i="12" s="1"/>
  <c r="L253" i="11"/>
  <c r="L253" i="4" s="1"/>
  <c r="N253" i="12" s="1"/>
  <c r="M253" i="11"/>
  <c r="M253" i="4" s="1"/>
  <c r="O253" i="12" s="1"/>
  <c r="N253" i="11"/>
  <c r="N253" i="4" s="1"/>
  <c r="Q253" i="12" s="1"/>
  <c r="O253" i="11"/>
  <c r="O253" i="4" s="1"/>
  <c r="R253" i="12" s="1"/>
  <c r="E254" i="11"/>
  <c r="E254" i="4" s="1"/>
  <c r="I254" i="12" s="1"/>
  <c r="F254" i="11"/>
  <c r="F254" i="4" s="1"/>
  <c r="E254" i="12" s="1"/>
  <c r="G254" i="11"/>
  <c r="G254" i="4" s="1"/>
  <c r="F254" i="12" s="1"/>
  <c r="H254" i="11"/>
  <c r="H254" i="4" s="1"/>
  <c r="J254" i="12" s="1"/>
  <c r="I254" i="11"/>
  <c r="I254" i="4" s="1"/>
  <c r="L254" i="12" s="1"/>
  <c r="J254" i="11"/>
  <c r="J254" i="4" s="1"/>
  <c r="M254" i="12" s="1"/>
  <c r="K254" i="11"/>
  <c r="K254" i="4" s="1"/>
  <c r="G254" i="12" s="1"/>
  <c r="L254" i="11"/>
  <c r="L254" i="4" s="1"/>
  <c r="N254" i="12" s="1"/>
  <c r="M254" i="11"/>
  <c r="M254" i="4" s="1"/>
  <c r="O254" i="12" s="1"/>
  <c r="N254" i="11"/>
  <c r="N254" i="4" s="1"/>
  <c r="Q254" i="12" s="1"/>
  <c r="O254" i="11"/>
  <c r="O254" i="4" s="1"/>
  <c r="R254" i="12" s="1"/>
  <c r="E255" i="11"/>
  <c r="E255" i="4" s="1"/>
  <c r="I255" i="12" s="1"/>
  <c r="F255" i="11"/>
  <c r="F255" i="4" s="1"/>
  <c r="E255" i="12" s="1"/>
  <c r="G255" i="11"/>
  <c r="G255" i="4" s="1"/>
  <c r="F255" i="12" s="1"/>
  <c r="H255" i="11"/>
  <c r="H255" i="4" s="1"/>
  <c r="J255" i="12" s="1"/>
  <c r="I255" i="11"/>
  <c r="I255" i="4" s="1"/>
  <c r="L255" i="12" s="1"/>
  <c r="J255" i="11"/>
  <c r="J255" i="4" s="1"/>
  <c r="M255" i="12" s="1"/>
  <c r="K255" i="11"/>
  <c r="K255" i="4" s="1"/>
  <c r="G255" i="12" s="1"/>
  <c r="L255" i="11"/>
  <c r="L255" i="4" s="1"/>
  <c r="N255" i="12" s="1"/>
  <c r="M255" i="11"/>
  <c r="M255" i="4" s="1"/>
  <c r="O255" i="12" s="1"/>
  <c r="N255" i="11"/>
  <c r="N255" i="4" s="1"/>
  <c r="Q255" i="12" s="1"/>
  <c r="O255" i="11"/>
  <c r="O255" i="4" s="1"/>
  <c r="R255" i="12" s="1"/>
  <c r="E256" i="11"/>
  <c r="E256" i="4" s="1"/>
  <c r="I256" i="12" s="1"/>
  <c r="F256" i="11"/>
  <c r="F256" i="4" s="1"/>
  <c r="E256" i="12" s="1"/>
  <c r="G256" i="11"/>
  <c r="G256" i="4" s="1"/>
  <c r="F256" i="12" s="1"/>
  <c r="H256" i="11"/>
  <c r="H256" i="4" s="1"/>
  <c r="J256" i="12" s="1"/>
  <c r="I256" i="11"/>
  <c r="I256" i="4" s="1"/>
  <c r="L256" i="12" s="1"/>
  <c r="J256" i="11"/>
  <c r="J256" i="4" s="1"/>
  <c r="M256" i="12" s="1"/>
  <c r="K256" i="11"/>
  <c r="K256" i="4" s="1"/>
  <c r="G256" i="12" s="1"/>
  <c r="L256" i="11"/>
  <c r="L256" i="4" s="1"/>
  <c r="N256" i="12" s="1"/>
  <c r="M256" i="11"/>
  <c r="M256" i="4" s="1"/>
  <c r="O256" i="12" s="1"/>
  <c r="N256" i="11"/>
  <c r="N256" i="4" s="1"/>
  <c r="Q256" i="12" s="1"/>
  <c r="O256" i="11"/>
  <c r="O256" i="4" s="1"/>
  <c r="R256" i="12" s="1"/>
  <c r="E257" i="11"/>
  <c r="E257" i="4" s="1"/>
  <c r="I257" i="12" s="1"/>
  <c r="F257" i="11"/>
  <c r="F257" i="4" s="1"/>
  <c r="E257" i="12" s="1"/>
  <c r="G257" i="11"/>
  <c r="G257" i="4" s="1"/>
  <c r="F257" i="12" s="1"/>
  <c r="H257" i="11"/>
  <c r="H257" i="4" s="1"/>
  <c r="J257" i="12" s="1"/>
  <c r="I257" i="11"/>
  <c r="I257" i="4" s="1"/>
  <c r="L257" i="12" s="1"/>
  <c r="J257" i="11"/>
  <c r="J257" i="4" s="1"/>
  <c r="M257" i="12" s="1"/>
  <c r="K257" i="11"/>
  <c r="K257" i="4" s="1"/>
  <c r="G257" i="12" s="1"/>
  <c r="L257" i="11"/>
  <c r="L257" i="4" s="1"/>
  <c r="N257" i="12" s="1"/>
  <c r="M257" i="11"/>
  <c r="M257" i="4" s="1"/>
  <c r="O257" i="12" s="1"/>
  <c r="N257" i="11"/>
  <c r="N257" i="4" s="1"/>
  <c r="Q257" i="12" s="1"/>
  <c r="O257" i="11"/>
  <c r="O257" i="4" s="1"/>
  <c r="R257" i="12" s="1"/>
  <c r="E258" i="11"/>
  <c r="E258" i="4" s="1"/>
  <c r="I258" i="12" s="1"/>
  <c r="F258" i="11"/>
  <c r="F258" i="4" s="1"/>
  <c r="E258" i="12" s="1"/>
  <c r="G258" i="11"/>
  <c r="G258" i="4" s="1"/>
  <c r="F258" i="12" s="1"/>
  <c r="H258" i="11"/>
  <c r="H258" i="4" s="1"/>
  <c r="J258" i="12" s="1"/>
  <c r="I258" i="11"/>
  <c r="I258" i="4" s="1"/>
  <c r="L258" i="12" s="1"/>
  <c r="J258" i="11"/>
  <c r="J258" i="4" s="1"/>
  <c r="M258" i="12" s="1"/>
  <c r="K258" i="11"/>
  <c r="K258" i="4" s="1"/>
  <c r="G258" i="12" s="1"/>
  <c r="L258" i="11"/>
  <c r="L258" i="4" s="1"/>
  <c r="N258" i="12" s="1"/>
  <c r="M258" i="11"/>
  <c r="M258" i="4" s="1"/>
  <c r="O258" i="12" s="1"/>
  <c r="N258" i="11"/>
  <c r="N258" i="4" s="1"/>
  <c r="Q258" i="12" s="1"/>
  <c r="O258" i="11"/>
  <c r="O258" i="4" s="1"/>
  <c r="R258" i="12" s="1"/>
  <c r="E259" i="11"/>
  <c r="E259" i="4" s="1"/>
  <c r="I259" i="12" s="1"/>
  <c r="F259" i="11"/>
  <c r="F259" i="4" s="1"/>
  <c r="E259" i="12" s="1"/>
  <c r="G259" i="11"/>
  <c r="G259" i="4" s="1"/>
  <c r="F259" i="12" s="1"/>
  <c r="H259" i="11"/>
  <c r="H259" i="4" s="1"/>
  <c r="J259" i="12" s="1"/>
  <c r="I259" i="11"/>
  <c r="I259" i="4" s="1"/>
  <c r="L259" i="12" s="1"/>
  <c r="J259" i="11"/>
  <c r="J259" i="4" s="1"/>
  <c r="M259" i="12" s="1"/>
  <c r="K259" i="11"/>
  <c r="K259" i="4" s="1"/>
  <c r="G259" i="12" s="1"/>
  <c r="L259" i="11"/>
  <c r="L259" i="4" s="1"/>
  <c r="N259" i="12" s="1"/>
  <c r="M259" i="11"/>
  <c r="M259" i="4" s="1"/>
  <c r="O259" i="12" s="1"/>
  <c r="N259" i="11"/>
  <c r="N259" i="4" s="1"/>
  <c r="Q259" i="12" s="1"/>
  <c r="O259" i="11"/>
  <c r="O259" i="4" s="1"/>
  <c r="R259" i="12" s="1"/>
  <c r="E260" i="11"/>
  <c r="E260" i="4" s="1"/>
  <c r="I260" i="12" s="1"/>
  <c r="F260" i="11"/>
  <c r="F260" i="4" s="1"/>
  <c r="E260" i="12" s="1"/>
  <c r="G260" i="11"/>
  <c r="G260" i="4" s="1"/>
  <c r="F260" i="12" s="1"/>
  <c r="H260" i="11"/>
  <c r="H260" i="4" s="1"/>
  <c r="J260" i="12" s="1"/>
  <c r="I260" i="11"/>
  <c r="I260" i="4" s="1"/>
  <c r="L260" i="12" s="1"/>
  <c r="J260" i="11"/>
  <c r="J260" i="4" s="1"/>
  <c r="M260" i="12" s="1"/>
  <c r="K260" i="11"/>
  <c r="K260" i="4" s="1"/>
  <c r="G260" i="12" s="1"/>
  <c r="L260" i="11"/>
  <c r="L260" i="4" s="1"/>
  <c r="N260" i="12" s="1"/>
  <c r="M260" i="11"/>
  <c r="M260" i="4" s="1"/>
  <c r="O260" i="12" s="1"/>
  <c r="N260" i="11"/>
  <c r="N260" i="4" s="1"/>
  <c r="Q260" i="12" s="1"/>
  <c r="O260" i="11"/>
  <c r="O260" i="4" s="1"/>
  <c r="R260" i="12" s="1"/>
  <c r="E261" i="11"/>
  <c r="E261" i="4" s="1"/>
  <c r="I261" i="12" s="1"/>
  <c r="F261" i="11"/>
  <c r="F261" i="4" s="1"/>
  <c r="E261" i="12" s="1"/>
  <c r="G261" i="11"/>
  <c r="G261" i="4" s="1"/>
  <c r="F261" i="12" s="1"/>
  <c r="H261" i="11"/>
  <c r="H261" i="4" s="1"/>
  <c r="J261" i="12" s="1"/>
  <c r="I261" i="11"/>
  <c r="I261" i="4" s="1"/>
  <c r="L261" i="12" s="1"/>
  <c r="J261" i="11"/>
  <c r="J261" i="4" s="1"/>
  <c r="M261" i="12" s="1"/>
  <c r="K261" i="11"/>
  <c r="K261" i="4" s="1"/>
  <c r="G261" i="12" s="1"/>
  <c r="L261" i="11"/>
  <c r="L261" i="4" s="1"/>
  <c r="N261" i="12" s="1"/>
  <c r="M261" i="11"/>
  <c r="M261" i="4" s="1"/>
  <c r="O261" i="12" s="1"/>
  <c r="N261" i="11"/>
  <c r="N261" i="4" s="1"/>
  <c r="Q261" i="12" s="1"/>
  <c r="O261" i="11"/>
  <c r="O261" i="4" s="1"/>
  <c r="R261" i="12" s="1"/>
  <c r="E262" i="11"/>
  <c r="E262" i="4" s="1"/>
  <c r="I262" i="12" s="1"/>
  <c r="F262" i="11"/>
  <c r="F262" i="4" s="1"/>
  <c r="E262" i="12" s="1"/>
  <c r="G262" i="11"/>
  <c r="G262" i="4" s="1"/>
  <c r="F262" i="12" s="1"/>
  <c r="H262" i="11"/>
  <c r="H262" i="4" s="1"/>
  <c r="J262" i="12" s="1"/>
  <c r="I262" i="11"/>
  <c r="I262" i="4" s="1"/>
  <c r="L262" i="12" s="1"/>
  <c r="J262" i="11"/>
  <c r="J262" i="4" s="1"/>
  <c r="M262" i="12" s="1"/>
  <c r="K262" i="11"/>
  <c r="K262" i="4" s="1"/>
  <c r="G262" i="12" s="1"/>
  <c r="L262" i="11"/>
  <c r="L262" i="4" s="1"/>
  <c r="N262" i="12" s="1"/>
  <c r="M262" i="11"/>
  <c r="M262" i="4" s="1"/>
  <c r="O262" i="12" s="1"/>
  <c r="N262" i="11"/>
  <c r="N262" i="4" s="1"/>
  <c r="Q262" i="12" s="1"/>
  <c r="O262" i="11"/>
  <c r="O262" i="4" s="1"/>
  <c r="R262" i="12" s="1"/>
  <c r="E263" i="11"/>
  <c r="E263" i="4" s="1"/>
  <c r="I263" i="12" s="1"/>
  <c r="F263" i="11"/>
  <c r="F263" i="4" s="1"/>
  <c r="E263" i="12" s="1"/>
  <c r="G263" i="11"/>
  <c r="G263" i="4" s="1"/>
  <c r="F263" i="12" s="1"/>
  <c r="H263" i="11"/>
  <c r="H263" i="4" s="1"/>
  <c r="J263" i="12" s="1"/>
  <c r="I263" i="11"/>
  <c r="I263" i="4" s="1"/>
  <c r="L263" i="12" s="1"/>
  <c r="J263" i="11"/>
  <c r="J263" i="4" s="1"/>
  <c r="M263" i="12" s="1"/>
  <c r="K263" i="11"/>
  <c r="K263" i="4" s="1"/>
  <c r="G263" i="12" s="1"/>
  <c r="L263" i="11"/>
  <c r="L263" i="4" s="1"/>
  <c r="N263" i="12" s="1"/>
  <c r="M263" i="11"/>
  <c r="M263" i="4" s="1"/>
  <c r="O263" i="12" s="1"/>
  <c r="N263" i="11"/>
  <c r="N263" i="4" s="1"/>
  <c r="Q263" i="12" s="1"/>
  <c r="O263" i="11"/>
  <c r="O263" i="4" s="1"/>
  <c r="R263" i="12" s="1"/>
  <c r="E264" i="11"/>
  <c r="E264" i="4" s="1"/>
  <c r="I264" i="12" s="1"/>
  <c r="F264" i="11"/>
  <c r="F264" i="4" s="1"/>
  <c r="E264" i="12" s="1"/>
  <c r="G264" i="11"/>
  <c r="G264" i="4" s="1"/>
  <c r="F264" i="12" s="1"/>
  <c r="H264" i="11"/>
  <c r="H264" i="4" s="1"/>
  <c r="J264" i="12" s="1"/>
  <c r="I264" i="11"/>
  <c r="I264" i="4" s="1"/>
  <c r="L264" i="12" s="1"/>
  <c r="J264" i="11"/>
  <c r="J264" i="4" s="1"/>
  <c r="M264" i="12" s="1"/>
  <c r="K264" i="11"/>
  <c r="K264" i="4" s="1"/>
  <c r="G264" i="12" s="1"/>
  <c r="L264" i="11"/>
  <c r="L264" i="4" s="1"/>
  <c r="N264" i="12" s="1"/>
  <c r="M264" i="11"/>
  <c r="M264" i="4" s="1"/>
  <c r="O264" i="12" s="1"/>
  <c r="N264" i="11"/>
  <c r="N264" i="4" s="1"/>
  <c r="Q264" i="12" s="1"/>
  <c r="O264" i="11"/>
  <c r="O264" i="4" s="1"/>
  <c r="R264" i="12" s="1"/>
  <c r="E265" i="11"/>
  <c r="E265" i="4" s="1"/>
  <c r="I265" i="12" s="1"/>
  <c r="F265" i="11"/>
  <c r="F265" i="4" s="1"/>
  <c r="E265" i="12" s="1"/>
  <c r="G265" i="11"/>
  <c r="G265" i="4" s="1"/>
  <c r="F265" i="12" s="1"/>
  <c r="H265" i="11"/>
  <c r="H265" i="4" s="1"/>
  <c r="J265" i="12" s="1"/>
  <c r="I265" i="11"/>
  <c r="I265" i="4" s="1"/>
  <c r="L265" i="12" s="1"/>
  <c r="J265" i="11"/>
  <c r="J265" i="4" s="1"/>
  <c r="M265" i="12" s="1"/>
  <c r="K265" i="11"/>
  <c r="K265" i="4" s="1"/>
  <c r="G265" i="12" s="1"/>
  <c r="L265" i="11"/>
  <c r="L265" i="4" s="1"/>
  <c r="N265" i="12" s="1"/>
  <c r="M265" i="11"/>
  <c r="M265" i="4" s="1"/>
  <c r="O265" i="12" s="1"/>
  <c r="N265" i="11"/>
  <c r="N265" i="4" s="1"/>
  <c r="Q265" i="12" s="1"/>
  <c r="O265" i="11"/>
  <c r="O265" i="4" s="1"/>
  <c r="R265" i="12" s="1"/>
  <c r="E266" i="11"/>
  <c r="E266" i="4" s="1"/>
  <c r="I266" i="12" s="1"/>
  <c r="F266" i="11"/>
  <c r="F266" i="4" s="1"/>
  <c r="E266" i="12" s="1"/>
  <c r="G266" i="11"/>
  <c r="G266" i="4" s="1"/>
  <c r="F266" i="12" s="1"/>
  <c r="H266" i="11"/>
  <c r="H266" i="4" s="1"/>
  <c r="J266" i="12" s="1"/>
  <c r="I266" i="11"/>
  <c r="I266" i="4" s="1"/>
  <c r="L266" i="12" s="1"/>
  <c r="J266" i="11"/>
  <c r="J266" i="4" s="1"/>
  <c r="M266" i="12" s="1"/>
  <c r="K266" i="11"/>
  <c r="K266" i="4" s="1"/>
  <c r="G266" i="12" s="1"/>
  <c r="L266" i="11"/>
  <c r="L266" i="4" s="1"/>
  <c r="N266" i="12" s="1"/>
  <c r="M266" i="11"/>
  <c r="M266" i="4" s="1"/>
  <c r="O266" i="12" s="1"/>
  <c r="N266" i="11"/>
  <c r="N266" i="4" s="1"/>
  <c r="Q266" i="12" s="1"/>
  <c r="O266" i="11"/>
  <c r="O266" i="4" s="1"/>
  <c r="R266" i="12" s="1"/>
  <c r="E267" i="11"/>
  <c r="E267" i="4" s="1"/>
  <c r="I267" i="12" s="1"/>
  <c r="F267" i="11"/>
  <c r="F267" i="4" s="1"/>
  <c r="E267" i="12" s="1"/>
  <c r="G267" i="11"/>
  <c r="G267" i="4" s="1"/>
  <c r="F267" i="12" s="1"/>
  <c r="H267" i="11"/>
  <c r="H267" i="4" s="1"/>
  <c r="J267" i="12" s="1"/>
  <c r="I267" i="11"/>
  <c r="I267" i="4" s="1"/>
  <c r="L267" i="12" s="1"/>
  <c r="J267" i="11"/>
  <c r="J267" i="4" s="1"/>
  <c r="M267" i="12" s="1"/>
  <c r="K267" i="11"/>
  <c r="K267" i="4" s="1"/>
  <c r="G267" i="12" s="1"/>
  <c r="L267" i="11"/>
  <c r="L267" i="4" s="1"/>
  <c r="N267" i="12" s="1"/>
  <c r="M267" i="11"/>
  <c r="M267" i="4" s="1"/>
  <c r="O267" i="12" s="1"/>
  <c r="N267" i="11"/>
  <c r="N267" i="4" s="1"/>
  <c r="Q267" i="12" s="1"/>
  <c r="O267" i="11"/>
  <c r="O267" i="4" s="1"/>
  <c r="R267" i="12" s="1"/>
  <c r="E268" i="11"/>
  <c r="E268" i="4" s="1"/>
  <c r="I268" i="12" s="1"/>
  <c r="F268" i="11"/>
  <c r="F268" i="4" s="1"/>
  <c r="E268" i="12" s="1"/>
  <c r="G268" i="11"/>
  <c r="G268" i="4" s="1"/>
  <c r="F268" i="12" s="1"/>
  <c r="H268" i="11"/>
  <c r="H268" i="4" s="1"/>
  <c r="J268" i="12" s="1"/>
  <c r="I268" i="11"/>
  <c r="I268" i="4" s="1"/>
  <c r="L268" i="12" s="1"/>
  <c r="J268" i="11"/>
  <c r="J268" i="4" s="1"/>
  <c r="M268" i="12" s="1"/>
  <c r="K268" i="11"/>
  <c r="K268" i="4" s="1"/>
  <c r="G268" i="12" s="1"/>
  <c r="L268" i="11"/>
  <c r="L268" i="4" s="1"/>
  <c r="N268" i="12" s="1"/>
  <c r="M268" i="11"/>
  <c r="M268" i="4" s="1"/>
  <c r="O268" i="12" s="1"/>
  <c r="N268" i="11"/>
  <c r="N268" i="4" s="1"/>
  <c r="Q268" i="12" s="1"/>
  <c r="O268" i="11"/>
  <c r="O268" i="4" s="1"/>
  <c r="R268" i="12" s="1"/>
  <c r="E269" i="11"/>
  <c r="E269" i="4" s="1"/>
  <c r="I269" i="12" s="1"/>
  <c r="F269" i="11"/>
  <c r="F269" i="4" s="1"/>
  <c r="E269" i="12" s="1"/>
  <c r="G269" i="11"/>
  <c r="G269" i="4" s="1"/>
  <c r="F269" i="12" s="1"/>
  <c r="H269" i="11"/>
  <c r="H269" i="4" s="1"/>
  <c r="J269" i="12" s="1"/>
  <c r="I269" i="11"/>
  <c r="I269" i="4" s="1"/>
  <c r="L269" i="12" s="1"/>
  <c r="J269" i="11"/>
  <c r="J269" i="4" s="1"/>
  <c r="M269" i="12" s="1"/>
  <c r="K269" i="11"/>
  <c r="K269" i="4" s="1"/>
  <c r="G269" i="12" s="1"/>
  <c r="L269" i="11"/>
  <c r="L269" i="4" s="1"/>
  <c r="N269" i="12" s="1"/>
  <c r="M269" i="11"/>
  <c r="M269" i="4" s="1"/>
  <c r="O269" i="12" s="1"/>
  <c r="N269" i="11"/>
  <c r="N269" i="4" s="1"/>
  <c r="Q269" i="12" s="1"/>
  <c r="O269" i="11"/>
  <c r="O269" i="4" s="1"/>
  <c r="R269" i="12" s="1"/>
  <c r="E270" i="11"/>
  <c r="E270" i="4" s="1"/>
  <c r="I270" i="12" s="1"/>
  <c r="F270" i="11"/>
  <c r="F270" i="4" s="1"/>
  <c r="E270" i="12" s="1"/>
  <c r="G270" i="11"/>
  <c r="G270" i="4" s="1"/>
  <c r="F270" i="12" s="1"/>
  <c r="H270" i="11"/>
  <c r="H270" i="4" s="1"/>
  <c r="J270" i="12" s="1"/>
  <c r="I270" i="11"/>
  <c r="I270" i="4" s="1"/>
  <c r="L270" i="12" s="1"/>
  <c r="J270" i="11"/>
  <c r="J270" i="4" s="1"/>
  <c r="M270" i="12" s="1"/>
  <c r="K270" i="11"/>
  <c r="K270" i="4" s="1"/>
  <c r="G270" i="12" s="1"/>
  <c r="L270" i="11"/>
  <c r="L270" i="4" s="1"/>
  <c r="N270" i="12" s="1"/>
  <c r="M270" i="11"/>
  <c r="M270" i="4" s="1"/>
  <c r="O270" i="12" s="1"/>
  <c r="N270" i="11"/>
  <c r="N270" i="4" s="1"/>
  <c r="Q270" i="12" s="1"/>
  <c r="O270" i="11"/>
  <c r="O270" i="4" s="1"/>
  <c r="R270" i="12" s="1"/>
  <c r="E271" i="11"/>
  <c r="E271" i="4" s="1"/>
  <c r="I271" i="12" s="1"/>
  <c r="F271" i="11"/>
  <c r="F271" i="4" s="1"/>
  <c r="E271" i="12" s="1"/>
  <c r="G271" i="11"/>
  <c r="G271" i="4" s="1"/>
  <c r="F271" i="12" s="1"/>
  <c r="H271" i="11"/>
  <c r="H271" i="4" s="1"/>
  <c r="J271" i="12" s="1"/>
  <c r="I271" i="11"/>
  <c r="I271" i="4" s="1"/>
  <c r="L271" i="12" s="1"/>
  <c r="J271" i="11"/>
  <c r="J271" i="4" s="1"/>
  <c r="M271" i="12" s="1"/>
  <c r="K271" i="11"/>
  <c r="K271" i="4" s="1"/>
  <c r="G271" i="12" s="1"/>
  <c r="L271" i="11"/>
  <c r="L271" i="4" s="1"/>
  <c r="N271" i="12" s="1"/>
  <c r="M271" i="11"/>
  <c r="M271" i="4" s="1"/>
  <c r="O271" i="12" s="1"/>
  <c r="N271" i="11"/>
  <c r="N271" i="4" s="1"/>
  <c r="Q271" i="12" s="1"/>
  <c r="O271" i="11"/>
  <c r="O271" i="4" s="1"/>
  <c r="R271" i="12" s="1"/>
  <c r="E272" i="11"/>
  <c r="E272" i="4" s="1"/>
  <c r="I272" i="12" s="1"/>
  <c r="F272" i="11"/>
  <c r="F272" i="4" s="1"/>
  <c r="E272" i="12" s="1"/>
  <c r="G272" i="11"/>
  <c r="G272" i="4" s="1"/>
  <c r="F272" i="12" s="1"/>
  <c r="H272" i="11"/>
  <c r="H272" i="4" s="1"/>
  <c r="J272" i="12" s="1"/>
  <c r="I272" i="11"/>
  <c r="I272" i="4" s="1"/>
  <c r="L272" i="12" s="1"/>
  <c r="J272" i="11"/>
  <c r="J272" i="4" s="1"/>
  <c r="M272" i="12" s="1"/>
  <c r="K272" i="11"/>
  <c r="K272" i="4" s="1"/>
  <c r="G272" i="12" s="1"/>
  <c r="L272" i="11"/>
  <c r="L272" i="4" s="1"/>
  <c r="N272" i="12" s="1"/>
  <c r="M272" i="11"/>
  <c r="M272" i="4" s="1"/>
  <c r="O272" i="12" s="1"/>
  <c r="N272" i="11"/>
  <c r="N272" i="4" s="1"/>
  <c r="Q272" i="12" s="1"/>
  <c r="O272" i="11"/>
  <c r="O272" i="4" s="1"/>
  <c r="R272" i="12" s="1"/>
  <c r="E273" i="11"/>
  <c r="E273" i="4" s="1"/>
  <c r="I273" i="12" s="1"/>
  <c r="F273" i="11"/>
  <c r="F273" i="4" s="1"/>
  <c r="E273" i="12" s="1"/>
  <c r="G273" i="11"/>
  <c r="G273" i="4" s="1"/>
  <c r="F273" i="12" s="1"/>
  <c r="H273" i="11"/>
  <c r="H273" i="4" s="1"/>
  <c r="J273" i="12" s="1"/>
  <c r="I273" i="11"/>
  <c r="I273" i="4" s="1"/>
  <c r="L273" i="12" s="1"/>
  <c r="J273" i="11"/>
  <c r="J273" i="4" s="1"/>
  <c r="M273" i="12" s="1"/>
  <c r="K273" i="11"/>
  <c r="K273" i="4" s="1"/>
  <c r="G273" i="12" s="1"/>
  <c r="L273" i="11"/>
  <c r="L273" i="4" s="1"/>
  <c r="N273" i="12" s="1"/>
  <c r="M273" i="11"/>
  <c r="M273" i="4" s="1"/>
  <c r="O273" i="12" s="1"/>
  <c r="N273" i="11"/>
  <c r="N273" i="4" s="1"/>
  <c r="Q273" i="12" s="1"/>
  <c r="O273" i="11"/>
  <c r="O273" i="4" s="1"/>
  <c r="R273" i="12" s="1"/>
  <c r="E274" i="11"/>
  <c r="E274" i="4" s="1"/>
  <c r="I274" i="12" s="1"/>
  <c r="F274" i="11"/>
  <c r="F274" i="4" s="1"/>
  <c r="E274" i="12" s="1"/>
  <c r="G274" i="11"/>
  <c r="G274" i="4" s="1"/>
  <c r="F274" i="12" s="1"/>
  <c r="H274" i="11"/>
  <c r="H274" i="4" s="1"/>
  <c r="J274" i="12" s="1"/>
  <c r="I274" i="11"/>
  <c r="I274" i="4" s="1"/>
  <c r="L274" i="12" s="1"/>
  <c r="J274" i="11"/>
  <c r="J274" i="4" s="1"/>
  <c r="M274" i="12" s="1"/>
  <c r="K274" i="11"/>
  <c r="K274" i="4" s="1"/>
  <c r="G274" i="12" s="1"/>
  <c r="L274" i="11"/>
  <c r="L274" i="4" s="1"/>
  <c r="N274" i="12" s="1"/>
  <c r="M274" i="11"/>
  <c r="M274" i="4" s="1"/>
  <c r="O274" i="12" s="1"/>
  <c r="N274" i="11"/>
  <c r="N274" i="4" s="1"/>
  <c r="Q274" i="12" s="1"/>
  <c r="O274" i="11"/>
  <c r="O274" i="4" s="1"/>
  <c r="R274" i="12" s="1"/>
  <c r="E275" i="11"/>
  <c r="E275" i="4" s="1"/>
  <c r="I275" i="12" s="1"/>
  <c r="F275" i="11"/>
  <c r="F275" i="4" s="1"/>
  <c r="E275" i="12" s="1"/>
  <c r="G275" i="11"/>
  <c r="G275" i="4" s="1"/>
  <c r="F275" i="12" s="1"/>
  <c r="H275" i="11"/>
  <c r="H275" i="4" s="1"/>
  <c r="J275" i="12" s="1"/>
  <c r="I275" i="11"/>
  <c r="I275" i="4" s="1"/>
  <c r="L275" i="12" s="1"/>
  <c r="J275" i="11"/>
  <c r="J275" i="4" s="1"/>
  <c r="M275" i="12" s="1"/>
  <c r="K275" i="11"/>
  <c r="K275" i="4" s="1"/>
  <c r="G275" i="12" s="1"/>
  <c r="L275" i="11"/>
  <c r="L275" i="4" s="1"/>
  <c r="N275" i="12" s="1"/>
  <c r="M275" i="11"/>
  <c r="M275" i="4" s="1"/>
  <c r="O275" i="12" s="1"/>
  <c r="N275" i="11"/>
  <c r="N275" i="4" s="1"/>
  <c r="Q275" i="12" s="1"/>
  <c r="O275" i="11"/>
  <c r="O275" i="4" s="1"/>
  <c r="R275" i="12" s="1"/>
  <c r="E276" i="11"/>
  <c r="E276" i="4" s="1"/>
  <c r="I276" i="12" s="1"/>
  <c r="F276" i="11"/>
  <c r="F276" i="4" s="1"/>
  <c r="E276" i="12" s="1"/>
  <c r="G276" i="11"/>
  <c r="G276" i="4" s="1"/>
  <c r="F276" i="12" s="1"/>
  <c r="H276" i="11"/>
  <c r="H276" i="4" s="1"/>
  <c r="J276" i="12" s="1"/>
  <c r="I276" i="11"/>
  <c r="I276" i="4" s="1"/>
  <c r="L276" i="12" s="1"/>
  <c r="J276" i="11"/>
  <c r="J276" i="4" s="1"/>
  <c r="M276" i="12" s="1"/>
  <c r="K276" i="11"/>
  <c r="K276" i="4" s="1"/>
  <c r="G276" i="12" s="1"/>
  <c r="L276" i="11"/>
  <c r="L276" i="4" s="1"/>
  <c r="N276" i="12" s="1"/>
  <c r="M276" i="11"/>
  <c r="M276" i="4" s="1"/>
  <c r="O276" i="12" s="1"/>
  <c r="N276" i="11"/>
  <c r="N276" i="4" s="1"/>
  <c r="Q276" i="12" s="1"/>
  <c r="O276" i="11"/>
  <c r="O276" i="4" s="1"/>
  <c r="R276" i="12" s="1"/>
  <c r="E277" i="11"/>
  <c r="E277" i="4" s="1"/>
  <c r="I277" i="12" s="1"/>
  <c r="F277" i="11"/>
  <c r="F277" i="4" s="1"/>
  <c r="E277" i="12" s="1"/>
  <c r="G277" i="11"/>
  <c r="G277" i="4" s="1"/>
  <c r="F277" i="12" s="1"/>
  <c r="H277" i="11"/>
  <c r="H277" i="4" s="1"/>
  <c r="J277" i="12" s="1"/>
  <c r="I277" i="11"/>
  <c r="I277" i="4" s="1"/>
  <c r="L277" i="12" s="1"/>
  <c r="J277" i="11"/>
  <c r="J277" i="4" s="1"/>
  <c r="M277" i="12" s="1"/>
  <c r="K277" i="11"/>
  <c r="K277" i="4" s="1"/>
  <c r="G277" i="12" s="1"/>
  <c r="L277" i="11"/>
  <c r="L277" i="4" s="1"/>
  <c r="N277" i="12" s="1"/>
  <c r="M277" i="11"/>
  <c r="M277" i="4" s="1"/>
  <c r="O277" i="12" s="1"/>
  <c r="N277" i="11"/>
  <c r="N277" i="4" s="1"/>
  <c r="Q277" i="12" s="1"/>
  <c r="O277" i="11"/>
  <c r="O277" i="4" s="1"/>
  <c r="R277" i="12" s="1"/>
  <c r="E278" i="11"/>
  <c r="E278" i="4" s="1"/>
  <c r="I278" i="12" s="1"/>
  <c r="F278" i="11"/>
  <c r="F278" i="4" s="1"/>
  <c r="E278" i="12" s="1"/>
  <c r="G278" i="11"/>
  <c r="G278" i="4" s="1"/>
  <c r="F278" i="12" s="1"/>
  <c r="H278" i="11"/>
  <c r="H278" i="4" s="1"/>
  <c r="J278" i="12" s="1"/>
  <c r="I278" i="11"/>
  <c r="I278" i="4" s="1"/>
  <c r="L278" i="12" s="1"/>
  <c r="J278" i="11"/>
  <c r="J278" i="4" s="1"/>
  <c r="M278" i="12" s="1"/>
  <c r="K278" i="11"/>
  <c r="K278" i="4" s="1"/>
  <c r="G278" i="12" s="1"/>
  <c r="L278" i="11"/>
  <c r="L278" i="4" s="1"/>
  <c r="N278" i="12" s="1"/>
  <c r="M278" i="11"/>
  <c r="M278" i="4" s="1"/>
  <c r="O278" i="12" s="1"/>
  <c r="N278" i="11"/>
  <c r="N278" i="4" s="1"/>
  <c r="Q278" i="12" s="1"/>
  <c r="O278" i="11"/>
  <c r="O278" i="4" s="1"/>
  <c r="R278" i="12" s="1"/>
  <c r="E279" i="11"/>
  <c r="E279" i="4" s="1"/>
  <c r="I279" i="12" s="1"/>
  <c r="F279" i="11"/>
  <c r="F279" i="4" s="1"/>
  <c r="E279" i="12" s="1"/>
  <c r="G279" i="11"/>
  <c r="G279" i="4" s="1"/>
  <c r="F279" i="12" s="1"/>
  <c r="H279" i="11"/>
  <c r="H279" i="4" s="1"/>
  <c r="J279" i="12" s="1"/>
  <c r="I279" i="11"/>
  <c r="I279" i="4" s="1"/>
  <c r="L279" i="12" s="1"/>
  <c r="J279" i="11"/>
  <c r="J279" i="4" s="1"/>
  <c r="M279" i="12" s="1"/>
  <c r="K279" i="11"/>
  <c r="K279" i="4" s="1"/>
  <c r="G279" i="12" s="1"/>
  <c r="L279" i="11"/>
  <c r="L279" i="4" s="1"/>
  <c r="N279" i="12" s="1"/>
  <c r="M279" i="11"/>
  <c r="M279" i="4" s="1"/>
  <c r="O279" i="12" s="1"/>
  <c r="N279" i="11"/>
  <c r="N279" i="4" s="1"/>
  <c r="Q279" i="12" s="1"/>
  <c r="O279" i="11"/>
  <c r="O279" i="4" s="1"/>
  <c r="R279" i="12" s="1"/>
  <c r="E280" i="11"/>
  <c r="E280" i="4" s="1"/>
  <c r="I280" i="12" s="1"/>
  <c r="F280" i="11"/>
  <c r="F280" i="4" s="1"/>
  <c r="E280" i="12" s="1"/>
  <c r="G280" i="11"/>
  <c r="G280" i="4" s="1"/>
  <c r="F280" i="12" s="1"/>
  <c r="H280" i="11"/>
  <c r="H280" i="4" s="1"/>
  <c r="J280" i="12" s="1"/>
  <c r="I280" i="11"/>
  <c r="I280" i="4" s="1"/>
  <c r="L280" i="12" s="1"/>
  <c r="J280" i="11"/>
  <c r="J280" i="4" s="1"/>
  <c r="M280" i="12" s="1"/>
  <c r="K280" i="11"/>
  <c r="K280" i="4" s="1"/>
  <c r="G280" i="12" s="1"/>
  <c r="L280" i="11"/>
  <c r="L280" i="4" s="1"/>
  <c r="N280" i="12" s="1"/>
  <c r="M280" i="11"/>
  <c r="M280" i="4" s="1"/>
  <c r="O280" i="12" s="1"/>
  <c r="N280" i="11"/>
  <c r="N280" i="4" s="1"/>
  <c r="Q280" i="12" s="1"/>
  <c r="O280" i="11"/>
  <c r="O280" i="4" s="1"/>
  <c r="R280" i="12" s="1"/>
  <c r="E281" i="11"/>
  <c r="E281" i="4" s="1"/>
  <c r="I281" i="12" s="1"/>
  <c r="F281" i="11"/>
  <c r="F281" i="4" s="1"/>
  <c r="E281" i="12" s="1"/>
  <c r="G281" i="11"/>
  <c r="G281" i="4" s="1"/>
  <c r="F281" i="12" s="1"/>
  <c r="H281" i="11"/>
  <c r="H281" i="4" s="1"/>
  <c r="J281" i="12" s="1"/>
  <c r="I281" i="11"/>
  <c r="I281" i="4" s="1"/>
  <c r="L281" i="12" s="1"/>
  <c r="J281" i="11"/>
  <c r="J281" i="4" s="1"/>
  <c r="M281" i="12" s="1"/>
  <c r="K281" i="11"/>
  <c r="K281" i="4" s="1"/>
  <c r="G281" i="12" s="1"/>
  <c r="L281" i="11"/>
  <c r="L281" i="4" s="1"/>
  <c r="N281" i="12" s="1"/>
  <c r="M281" i="11"/>
  <c r="M281" i="4" s="1"/>
  <c r="O281" i="12" s="1"/>
  <c r="N281" i="11"/>
  <c r="N281" i="4" s="1"/>
  <c r="Q281" i="12" s="1"/>
  <c r="O281" i="11"/>
  <c r="O281" i="4" s="1"/>
  <c r="R281" i="12" s="1"/>
  <c r="E282" i="11"/>
  <c r="E282" i="4" s="1"/>
  <c r="I282" i="12" s="1"/>
  <c r="F282" i="11"/>
  <c r="F282" i="4" s="1"/>
  <c r="E282" i="12" s="1"/>
  <c r="G282" i="11"/>
  <c r="G282" i="4" s="1"/>
  <c r="F282" i="12" s="1"/>
  <c r="H282" i="11"/>
  <c r="H282" i="4" s="1"/>
  <c r="J282" i="12" s="1"/>
  <c r="I282" i="11"/>
  <c r="I282" i="4" s="1"/>
  <c r="L282" i="12" s="1"/>
  <c r="J282" i="11"/>
  <c r="J282" i="4" s="1"/>
  <c r="M282" i="12" s="1"/>
  <c r="K282" i="11"/>
  <c r="K282" i="4" s="1"/>
  <c r="G282" i="12" s="1"/>
  <c r="L282" i="11"/>
  <c r="L282" i="4" s="1"/>
  <c r="N282" i="12" s="1"/>
  <c r="M282" i="11"/>
  <c r="M282" i="4" s="1"/>
  <c r="O282" i="12" s="1"/>
  <c r="N282" i="11"/>
  <c r="N282" i="4" s="1"/>
  <c r="Q282" i="12" s="1"/>
  <c r="O282" i="11"/>
  <c r="O282" i="4" s="1"/>
  <c r="R282" i="12" s="1"/>
  <c r="E283" i="11"/>
  <c r="E283" i="4" s="1"/>
  <c r="I283" i="12" s="1"/>
  <c r="F283" i="11"/>
  <c r="F283" i="4" s="1"/>
  <c r="E283" i="12" s="1"/>
  <c r="G283" i="11"/>
  <c r="G283" i="4" s="1"/>
  <c r="F283" i="12" s="1"/>
  <c r="H283" i="11"/>
  <c r="H283" i="4" s="1"/>
  <c r="J283" i="12" s="1"/>
  <c r="I283" i="11"/>
  <c r="I283" i="4" s="1"/>
  <c r="L283" i="12" s="1"/>
  <c r="J283" i="11"/>
  <c r="J283" i="4" s="1"/>
  <c r="M283" i="12" s="1"/>
  <c r="K283" i="11"/>
  <c r="K283" i="4" s="1"/>
  <c r="G283" i="12" s="1"/>
  <c r="L283" i="11"/>
  <c r="L283" i="4" s="1"/>
  <c r="N283" i="12" s="1"/>
  <c r="M283" i="11"/>
  <c r="M283" i="4" s="1"/>
  <c r="O283" i="12" s="1"/>
  <c r="N283" i="11"/>
  <c r="N283" i="4" s="1"/>
  <c r="Q283" i="12" s="1"/>
  <c r="O283" i="11"/>
  <c r="O283" i="4" s="1"/>
  <c r="R283" i="12" s="1"/>
  <c r="E284" i="11"/>
  <c r="E284" i="4" s="1"/>
  <c r="I284" i="12" s="1"/>
  <c r="F284" i="11"/>
  <c r="F284" i="4" s="1"/>
  <c r="E284" i="12" s="1"/>
  <c r="G284" i="11"/>
  <c r="G284" i="4" s="1"/>
  <c r="F284" i="12" s="1"/>
  <c r="H284" i="11"/>
  <c r="H284" i="4" s="1"/>
  <c r="J284" i="12" s="1"/>
  <c r="I284" i="11"/>
  <c r="I284" i="4" s="1"/>
  <c r="L284" i="12" s="1"/>
  <c r="J284" i="11"/>
  <c r="J284" i="4" s="1"/>
  <c r="M284" i="12" s="1"/>
  <c r="K284" i="11"/>
  <c r="K284" i="4" s="1"/>
  <c r="G284" i="12" s="1"/>
  <c r="L284" i="11"/>
  <c r="L284" i="4" s="1"/>
  <c r="N284" i="12" s="1"/>
  <c r="M284" i="11"/>
  <c r="M284" i="4" s="1"/>
  <c r="O284" i="12" s="1"/>
  <c r="N284" i="11"/>
  <c r="N284" i="4" s="1"/>
  <c r="Q284" i="12" s="1"/>
  <c r="O284" i="11"/>
  <c r="O284" i="4" s="1"/>
  <c r="R284" i="12" s="1"/>
  <c r="E285" i="11"/>
  <c r="E285" i="4" s="1"/>
  <c r="I285" i="12" s="1"/>
  <c r="F285" i="11"/>
  <c r="F285" i="4" s="1"/>
  <c r="E285" i="12" s="1"/>
  <c r="G285" i="11"/>
  <c r="G285" i="4" s="1"/>
  <c r="F285" i="12" s="1"/>
  <c r="H285" i="11"/>
  <c r="H285" i="4" s="1"/>
  <c r="J285" i="12" s="1"/>
  <c r="I285" i="11"/>
  <c r="I285" i="4" s="1"/>
  <c r="L285" i="12" s="1"/>
  <c r="J285" i="11"/>
  <c r="J285" i="4" s="1"/>
  <c r="M285" i="12" s="1"/>
  <c r="K285" i="11"/>
  <c r="K285" i="4" s="1"/>
  <c r="G285" i="12" s="1"/>
  <c r="L285" i="11"/>
  <c r="L285" i="4" s="1"/>
  <c r="N285" i="12" s="1"/>
  <c r="M285" i="11"/>
  <c r="M285" i="4" s="1"/>
  <c r="O285" i="12" s="1"/>
  <c r="N285" i="11"/>
  <c r="N285" i="4" s="1"/>
  <c r="Q285" i="12" s="1"/>
  <c r="O285" i="11"/>
  <c r="O285" i="4" s="1"/>
  <c r="R285" i="12" s="1"/>
  <c r="E286" i="11"/>
  <c r="E286" i="4" s="1"/>
  <c r="I286" i="12" s="1"/>
  <c r="F286" i="11"/>
  <c r="F286" i="4" s="1"/>
  <c r="E286" i="12" s="1"/>
  <c r="G286" i="11"/>
  <c r="G286" i="4" s="1"/>
  <c r="F286" i="12" s="1"/>
  <c r="H286" i="11"/>
  <c r="H286" i="4" s="1"/>
  <c r="J286" i="12" s="1"/>
  <c r="I286" i="11"/>
  <c r="I286" i="4" s="1"/>
  <c r="L286" i="12" s="1"/>
  <c r="J286" i="11"/>
  <c r="J286" i="4" s="1"/>
  <c r="M286" i="12" s="1"/>
  <c r="K286" i="11"/>
  <c r="K286" i="4" s="1"/>
  <c r="G286" i="12" s="1"/>
  <c r="L286" i="11"/>
  <c r="L286" i="4" s="1"/>
  <c r="N286" i="12" s="1"/>
  <c r="M286" i="11"/>
  <c r="M286" i="4" s="1"/>
  <c r="O286" i="12" s="1"/>
  <c r="N286" i="11"/>
  <c r="N286" i="4" s="1"/>
  <c r="Q286" i="12" s="1"/>
  <c r="O286" i="11"/>
  <c r="O286" i="4" s="1"/>
  <c r="R286" i="12" s="1"/>
  <c r="E287" i="11"/>
  <c r="E287" i="4" s="1"/>
  <c r="I287" i="12" s="1"/>
  <c r="F287" i="11"/>
  <c r="F287" i="4" s="1"/>
  <c r="E287" i="12" s="1"/>
  <c r="G287" i="11"/>
  <c r="G287" i="4" s="1"/>
  <c r="F287" i="12" s="1"/>
  <c r="H287" i="11"/>
  <c r="H287" i="4" s="1"/>
  <c r="J287" i="12" s="1"/>
  <c r="I287" i="11"/>
  <c r="I287" i="4" s="1"/>
  <c r="L287" i="12" s="1"/>
  <c r="J287" i="11"/>
  <c r="J287" i="4" s="1"/>
  <c r="M287" i="12" s="1"/>
  <c r="K287" i="11"/>
  <c r="K287" i="4" s="1"/>
  <c r="G287" i="12" s="1"/>
  <c r="L287" i="11"/>
  <c r="L287" i="4" s="1"/>
  <c r="N287" i="12" s="1"/>
  <c r="M287" i="11"/>
  <c r="M287" i="4" s="1"/>
  <c r="O287" i="12" s="1"/>
  <c r="N287" i="11"/>
  <c r="N287" i="4" s="1"/>
  <c r="Q287" i="12" s="1"/>
  <c r="O287" i="11"/>
  <c r="O287" i="4" s="1"/>
  <c r="R287" i="12" s="1"/>
  <c r="E288" i="11"/>
  <c r="E288" i="4" s="1"/>
  <c r="I288" i="12" s="1"/>
  <c r="F288" i="11"/>
  <c r="F288" i="4" s="1"/>
  <c r="E288" i="12" s="1"/>
  <c r="G288" i="11"/>
  <c r="G288" i="4" s="1"/>
  <c r="F288" i="12" s="1"/>
  <c r="H288" i="11"/>
  <c r="H288" i="4" s="1"/>
  <c r="J288" i="12" s="1"/>
  <c r="I288" i="11"/>
  <c r="I288" i="4" s="1"/>
  <c r="L288" i="12" s="1"/>
  <c r="J288" i="11"/>
  <c r="J288" i="4" s="1"/>
  <c r="M288" i="12" s="1"/>
  <c r="K288" i="11"/>
  <c r="K288" i="4" s="1"/>
  <c r="G288" i="12" s="1"/>
  <c r="L288" i="11"/>
  <c r="L288" i="4" s="1"/>
  <c r="N288" i="12" s="1"/>
  <c r="M288" i="11"/>
  <c r="M288" i="4" s="1"/>
  <c r="O288" i="12" s="1"/>
  <c r="N288" i="11"/>
  <c r="N288" i="4" s="1"/>
  <c r="Q288" i="12" s="1"/>
  <c r="O288" i="11"/>
  <c r="O288" i="4" s="1"/>
  <c r="R288" i="12" s="1"/>
  <c r="E289" i="11"/>
  <c r="E289" i="4" s="1"/>
  <c r="I289" i="12" s="1"/>
  <c r="F289" i="11"/>
  <c r="F289" i="4" s="1"/>
  <c r="E289" i="12" s="1"/>
  <c r="G289" i="11"/>
  <c r="G289" i="4" s="1"/>
  <c r="F289" i="12" s="1"/>
  <c r="H289" i="11"/>
  <c r="H289" i="4" s="1"/>
  <c r="J289" i="12" s="1"/>
  <c r="I289" i="11"/>
  <c r="I289" i="4" s="1"/>
  <c r="L289" i="12" s="1"/>
  <c r="J289" i="11"/>
  <c r="J289" i="4" s="1"/>
  <c r="M289" i="12" s="1"/>
  <c r="K289" i="11"/>
  <c r="K289" i="4" s="1"/>
  <c r="G289" i="12" s="1"/>
  <c r="L289" i="11"/>
  <c r="L289" i="4" s="1"/>
  <c r="N289" i="12" s="1"/>
  <c r="M289" i="11"/>
  <c r="M289" i="4" s="1"/>
  <c r="O289" i="12" s="1"/>
  <c r="N289" i="11"/>
  <c r="N289" i="4" s="1"/>
  <c r="Q289" i="12" s="1"/>
  <c r="O289" i="11"/>
  <c r="O289" i="4" s="1"/>
  <c r="R289" i="12" s="1"/>
  <c r="E290" i="11"/>
  <c r="E290" i="4" s="1"/>
  <c r="I290" i="12" s="1"/>
  <c r="F290" i="11"/>
  <c r="F290" i="4" s="1"/>
  <c r="E290" i="12" s="1"/>
  <c r="G290" i="11"/>
  <c r="G290" i="4" s="1"/>
  <c r="F290" i="12" s="1"/>
  <c r="H290" i="11"/>
  <c r="H290" i="4" s="1"/>
  <c r="J290" i="12" s="1"/>
  <c r="I290" i="11"/>
  <c r="I290" i="4" s="1"/>
  <c r="L290" i="12" s="1"/>
  <c r="J290" i="11"/>
  <c r="J290" i="4" s="1"/>
  <c r="M290" i="12" s="1"/>
  <c r="K290" i="11"/>
  <c r="K290" i="4" s="1"/>
  <c r="G290" i="12" s="1"/>
  <c r="L290" i="11"/>
  <c r="L290" i="4" s="1"/>
  <c r="N290" i="12" s="1"/>
  <c r="M290" i="11"/>
  <c r="M290" i="4" s="1"/>
  <c r="O290" i="12" s="1"/>
  <c r="N290" i="11"/>
  <c r="N290" i="4" s="1"/>
  <c r="Q290" i="12" s="1"/>
  <c r="O290" i="11"/>
  <c r="O290" i="4" s="1"/>
  <c r="R290" i="12" s="1"/>
  <c r="E291" i="11"/>
  <c r="E291" i="4" s="1"/>
  <c r="I291" i="12" s="1"/>
  <c r="F291" i="11"/>
  <c r="F291" i="4" s="1"/>
  <c r="E291" i="12" s="1"/>
  <c r="G291" i="11"/>
  <c r="G291" i="4" s="1"/>
  <c r="F291" i="12" s="1"/>
  <c r="H291" i="11"/>
  <c r="H291" i="4" s="1"/>
  <c r="J291" i="12" s="1"/>
  <c r="I291" i="11"/>
  <c r="I291" i="4" s="1"/>
  <c r="L291" i="12" s="1"/>
  <c r="J291" i="11"/>
  <c r="J291" i="4" s="1"/>
  <c r="M291" i="12" s="1"/>
  <c r="K291" i="11"/>
  <c r="K291" i="4" s="1"/>
  <c r="G291" i="12" s="1"/>
  <c r="L291" i="11"/>
  <c r="L291" i="4" s="1"/>
  <c r="N291" i="12" s="1"/>
  <c r="M291" i="11"/>
  <c r="M291" i="4" s="1"/>
  <c r="O291" i="12" s="1"/>
  <c r="N291" i="11"/>
  <c r="N291" i="4" s="1"/>
  <c r="Q291" i="12" s="1"/>
  <c r="O291" i="11"/>
  <c r="O291" i="4" s="1"/>
  <c r="R291" i="12" s="1"/>
  <c r="E292" i="11"/>
  <c r="E292" i="4" s="1"/>
  <c r="I292" i="12" s="1"/>
  <c r="F292" i="11"/>
  <c r="F292" i="4" s="1"/>
  <c r="E292" i="12" s="1"/>
  <c r="G292" i="11"/>
  <c r="G292" i="4" s="1"/>
  <c r="F292" i="12" s="1"/>
  <c r="H292" i="11"/>
  <c r="H292" i="4" s="1"/>
  <c r="J292" i="12" s="1"/>
  <c r="I292" i="11"/>
  <c r="I292" i="4" s="1"/>
  <c r="L292" i="12" s="1"/>
  <c r="J292" i="11"/>
  <c r="J292" i="4" s="1"/>
  <c r="M292" i="12" s="1"/>
  <c r="K292" i="11"/>
  <c r="K292" i="4" s="1"/>
  <c r="G292" i="12" s="1"/>
  <c r="L292" i="11"/>
  <c r="L292" i="4" s="1"/>
  <c r="N292" i="12" s="1"/>
  <c r="M292" i="11"/>
  <c r="M292" i="4" s="1"/>
  <c r="O292" i="12" s="1"/>
  <c r="N292" i="11"/>
  <c r="N292" i="4" s="1"/>
  <c r="Q292" i="12" s="1"/>
  <c r="O292" i="11"/>
  <c r="O292" i="4" s="1"/>
  <c r="R292" i="12" s="1"/>
  <c r="E293" i="11"/>
  <c r="E293" i="4" s="1"/>
  <c r="I293" i="12" s="1"/>
  <c r="F293" i="11"/>
  <c r="F293" i="4" s="1"/>
  <c r="E293" i="12" s="1"/>
  <c r="G293" i="11"/>
  <c r="G293" i="4" s="1"/>
  <c r="F293" i="12" s="1"/>
  <c r="H293" i="11"/>
  <c r="H293" i="4" s="1"/>
  <c r="J293" i="12" s="1"/>
  <c r="I293" i="11"/>
  <c r="I293" i="4" s="1"/>
  <c r="L293" i="12" s="1"/>
  <c r="J293" i="11"/>
  <c r="J293" i="4" s="1"/>
  <c r="M293" i="12" s="1"/>
  <c r="K293" i="11"/>
  <c r="K293" i="4" s="1"/>
  <c r="G293" i="12" s="1"/>
  <c r="L293" i="11"/>
  <c r="L293" i="4" s="1"/>
  <c r="N293" i="12" s="1"/>
  <c r="M293" i="11"/>
  <c r="M293" i="4" s="1"/>
  <c r="O293" i="12" s="1"/>
  <c r="N293" i="11"/>
  <c r="N293" i="4" s="1"/>
  <c r="Q293" i="12" s="1"/>
  <c r="O293" i="11"/>
  <c r="O293" i="4" s="1"/>
  <c r="R293" i="12" s="1"/>
  <c r="E294" i="11"/>
  <c r="E294" i="4" s="1"/>
  <c r="I294" i="12" s="1"/>
  <c r="F294" i="11"/>
  <c r="F294" i="4" s="1"/>
  <c r="E294" i="12" s="1"/>
  <c r="G294" i="11"/>
  <c r="G294" i="4" s="1"/>
  <c r="F294" i="12" s="1"/>
  <c r="H294" i="11"/>
  <c r="H294" i="4" s="1"/>
  <c r="J294" i="12" s="1"/>
  <c r="I294" i="11"/>
  <c r="I294" i="4" s="1"/>
  <c r="L294" i="12" s="1"/>
  <c r="J294" i="11"/>
  <c r="J294" i="4" s="1"/>
  <c r="M294" i="12" s="1"/>
  <c r="K294" i="11"/>
  <c r="K294" i="4" s="1"/>
  <c r="G294" i="12" s="1"/>
  <c r="L294" i="11"/>
  <c r="L294" i="4" s="1"/>
  <c r="N294" i="12" s="1"/>
  <c r="M294" i="11"/>
  <c r="M294" i="4" s="1"/>
  <c r="O294" i="12" s="1"/>
  <c r="N294" i="11"/>
  <c r="N294" i="4" s="1"/>
  <c r="Q294" i="12" s="1"/>
  <c r="O294" i="11"/>
  <c r="O294" i="4" s="1"/>
  <c r="R294" i="12" s="1"/>
  <c r="E295" i="11"/>
  <c r="E295" i="4" s="1"/>
  <c r="I295" i="12" s="1"/>
  <c r="F295" i="11"/>
  <c r="F295" i="4" s="1"/>
  <c r="E295" i="12" s="1"/>
  <c r="G295" i="11"/>
  <c r="G295" i="4" s="1"/>
  <c r="F295" i="12" s="1"/>
  <c r="H295" i="11"/>
  <c r="H295" i="4" s="1"/>
  <c r="J295" i="12" s="1"/>
  <c r="I295" i="11"/>
  <c r="I295" i="4" s="1"/>
  <c r="L295" i="12" s="1"/>
  <c r="J295" i="11"/>
  <c r="J295" i="4" s="1"/>
  <c r="M295" i="12" s="1"/>
  <c r="K295" i="11"/>
  <c r="K295" i="4" s="1"/>
  <c r="G295" i="12" s="1"/>
  <c r="L295" i="11"/>
  <c r="L295" i="4" s="1"/>
  <c r="N295" i="12" s="1"/>
  <c r="M295" i="11"/>
  <c r="M295" i="4" s="1"/>
  <c r="O295" i="12" s="1"/>
  <c r="N295" i="11"/>
  <c r="N295" i="4" s="1"/>
  <c r="Q295" i="12" s="1"/>
  <c r="O295" i="11"/>
  <c r="O295" i="4" s="1"/>
  <c r="R295" i="12" s="1"/>
  <c r="E296" i="11"/>
  <c r="E296" i="4" s="1"/>
  <c r="I296" i="12" s="1"/>
  <c r="F296" i="11"/>
  <c r="F296" i="4" s="1"/>
  <c r="E296" i="12" s="1"/>
  <c r="G296" i="11"/>
  <c r="G296" i="4" s="1"/>
  <c r="F296" i="12" s="1"/>
  <c r="H296" i="11"/>
  <c r="H296" i="4" s="1"/>
  <c r="J296" i="12" s="1"/>
  <c r="I296" i="11"/>
  <c r="I296" i="4" s="1"/>
  <c r="L296" i="12" s="1"/>
  <c r="J296" i="11"/>
  <c r="J296" i="4" s="1"/>
  <c r="M296" i="12" s="1"/>
  <c r="K296" i="11"/>
  <c r="K296" i="4" s="1"/>
  <c r="G296" i="12" s="1"/>
  <c r="L296" i="11"/>
  <c r="L296" i="4" s="1"/>
  <c r="N296" i="12" s="1"/>
  <c r="M296" i="11"/>
  <c r="M296" i="4" s="1"/>
  <c r="O296" i="12" s="1"/>
  <c r="N296" i="11"/>
  <c r="N296" i="4" s="1"/>
  <c r="Q296" i="12" s="1"/>
  <c r="O296" i="11"/>
  <c r="O296" i="4" s="1"/>
  <c r="R296" i="12" s="1"/>
  <c r="E297" i="11"/>
  <c r="E297" i="4" s="1"/>
  <c r="I297" i="12" s="1"/>
  <c r="F297" i="11"/>
  <c r="F297" i="4" s="1"/>
  <c r="E297" i="12" s="1"/>
  <c r="G297" i="11"/>
  <c r="G297" i="4" s="1"/>
  <c r="F297" i="12" s="1"/>
  <c r="H297" i="11"/>
  <c r="H297" i="4" s="1"/>
  <c r="J297" i="12" s="1"/>
  <c r="I297" i="11"/>
  <c r="I297" i="4" s="1"/>
  <c r="L297" i="12" s="1"/>
  <c r="J297" i="11"/>
  <c r="J297" i="4" s="1"/>
  <c r="M297" i="12" s="1"/>
  <c r="K297" i="11"/>
  <c r="K297" i="4" s="1"/>
  <c r="G297" i="12" s="1"/>
  <c r="L297" i="11"/>
  <c r="L297" i="4" s="1"/>
  <c r="N297" i="12" s="1"/>
  <c r="M297" i="11"/>
  <c r="M297" i="4" s="1"/>
  <c r="O297" i="12" s="1"/>
  <c r="N297" i="11"/>
  <c r="N297" i="4" s="1"/>
  <c r="Q297" i="12" s="1"/>
  <c r="O297" i="11"/>
  <c r="O297" i="4" s="1"/>
  <c r="R297" i="12" s="1"/>
  <c r="E298" i="11"/>
  <c r="E298" i="4" s="1"/>
  <c r="I298" i="12" s="1"/>
  <c r="F298" i="11"/>
  <c r="F298" i="4" s="1"/>
  <c r="E298" i="12" s="1"/>
  <c r="G298" i="11"/>
  <c r="G298" i="4" s="1"/>
  <c r="F298" i="12" s="1"/>
  <c r="H298" i="11"/>
  <c r="H298" i="4" s="1"/>
  <c r="J298" i="12" s="1"/>
  <c r="I298" i="11"/>
  <c r="I298" i="4" s="1"/>
  <c r="L298" i="12" s="1"/>
  <c r="J298" i="11"/>
  <c r="J298" i="4" s="1"/>
  <c r="M298" i="12" s="1"/>
  <c r="K298" i="11"/>
  <c r="K298" i="4" s="1"/>
  <c r="G298" i="12" s="1"/>
  <c r="L298" i="11"/>
  <c r="L298" i="4" s="1"/>
  <c r="N298" i="12" s="1"/>
  <c r="M298" i="11"/>
  <c r="M298" i="4" s="1"/>
  <c r="O298" i="12" s="1"/>
  <c r="N298" i="11"/>
  <c r="N298" i="4" s="1"/>
  <c r="Q298" i="12" s="1"/>
  <c r="O298" i="11"/>
  <c r="O298" i="4" s="1"/>
  <c r="R298" i="12" s="1"/>
  <c r="E299" i="11"/>
  <c r="E299" i="4" s="1"/>
  <c r="I299" i="12" s="1"/>
  <c r="F299" i="11"/>
  <c r="F299" i="4" s="1"/>
  <c r="E299" i="12" s="1"/>
  <c r="G299" i="11"/>
  <c r="G299" i="4" s="1"/>
  <c r="F299" i="12" s="1"/>
  <c r="H299" i="11"/>
  <c r="H299" i="4" s="1"/>
  <c r="J299" i="12" s="1"/>
  <c r="I299" i="11"/>
  <c r="I299" i="4" s="1"/>
  <c r="L299" i="12" s="1"/>
  <c r="J299" i="11"/>
  <c r="J299" i="4" s="1"/>
  <c r="M299" i="12" s="1"/>
  <c r="K299" i="11"/>
  <c r="K299" i="4" s="1"/>
  <c r="G299" i="12" s="1"/>
  <c r="L299" i="11"/>
  <c r="L299" i="4" s="1"/>
  <c r="N299" i="12" s="1"/>
  <c r="M299" i="11"/>
  <c r="M299" i="4" s="1"/>
  <c r="O299" i="12" s="1"/>
  <c r="N299" i="11"/>
  <c r="N299" i="4" s="1"/>
  <c r="Q299" i="12" s="1"/>
  <c r="O299" i="11"/>
  <c r="O299" i="4" s="1"/>
  <c r="R299" i="12" s="1"/>
  <c r="E300" i="11"/>
  <c r="E300" i="4" s="1"/>
  <c r="I300" i="12" s="1"/>
  <c r="F300" i="11"/>
  <c r="F300" i="4" s="1"/>
  <c r="E300" i="12" s="1"/>
  <c r="G300" i="11"/>
  <c r="G300" i="4" s="1"/>
  <c r="F300" i="12" s="1"/>
  <c r="H300" i="11"/>
  <c r="H300" i="4" s="1"/>
  <c r="J300" i="12" s="1"/>
  <c r="I300" i="11"/>
  <c r="I300" i="4" s="1"/>
  <c r="L300" i="12" s="1"/>
  <c r="J300" i="11"/>
  <c r="J300" i="4" s="1"/>
  <c r="M300" i="12" s="1"/>
  <c r="K300" i="11"/>
  <c r="K300" i="4" s="1"/>
  <c r="G300" i="12" s="1"/>
  <c r="L300" i="11"/>
  <c r="L300" i="4" s="1"/>
  <c r="N300" i="12" s="1"/>
  <c r="M300" i="11"/>
  <c r="M300" i="4" s="1"/>
  <c r="O300" i="12" s="1"/>
  <c r="N300" i="11"/>
  <c r="N300" i="4" s="1"/>
  <c r="Q300" i="12" s="1"/>
  <c r="O300" i="11"/>
  <c r="O300" i="4" s="1"/>
  <c r="R300" i="12" s="1"/>
  <c r="E301" i="11"/>
  <c r="E301" i="4" s="1"/>
  <c r="I301" i="12" s="1"/>
  <c r="F301" i="11"/>
  <c r="F301" i="4" s="1"/>
  <c r="E301" i="12" s="1"/>
  <c r="G301" i="11"/>
  <c r="G301" i="4" s="1"/>
  <c r="F301" i="12" s="1"/>
  <c r="H301" i="11"/>
  <c r="H301" i="4" s="1"/>
  <c r="J301" i="12" s="1"/>
  <c r="I301" i="11"/>
  <c r="I301" i="4" s="1"/>
  <c r="L301" i="12" s="1"/>
  <c r="J301" i="11"/>
  <c r="J301" i="4" s="1"/>
  <c r="M301" i="12" s="1"/>
  <c r="K301" i="11"/>
  <c r="K301" i="4" s="1"/>
  <c r="G301" i="12" s="1"/>
  <c r="L301" i="11"/>
  <c r="L301" i="4" s="1"/>
  <c r="N301" i="12" s="1"/>
  <c r="M301" i="11"/>
  <c r="M301" i="4" s="1"/>
  <c r="O301" i="12" s="1"/>
  <c r="N301" i="11"/>
  <c r="N301" i="4" s="1"/>
  <c r="Q301" i="12" s="1"/>
  <c r="O301" i="11"/>
  <c r="O301" i="4" s="1"/>
  <c r="R301" i="12" s="1"/>
  <c r="D3" i="11"/>
  <c r="D3" i="4" s="1"/>
  <c r="D3" i="12" s="1"/>
  <c r="D4" i="11"/>
  <c r="D4" i="4" s="1"/>
  <c r="D4" i="12" s="1"/>
  <c r="D5" i="11"/>
  <c r="D5" i="4" s="1"/>
  <c r="D5" i="12" s="1"/>
  <c r="D6" i="11"/>
  <c r="D6" i="4" s="1"/>
  <c r="D6" i="12" s="1"/>
  <c r="D7" i="11"/>
  <c r="D7" i="4" s="1"/>
  <c r="D7" i="12" s="1"/>
  <c r="D8" i="11"/>
  <c r="D8" i="4" s="1"/>
  <c r="D8" i="12" s="1"/>
  <c r="D9" i="11"/>
  <c r="D9" i="4" s="1"/>
  <c r="D9" i="12" s="1"/>
  <c r="D10" i="11"/>
  <c r="D10" i="4" s="1"/>
  <c r="D10" i="12" s="1"/>
  <c r="D11" i="11"/>
  <c r="D11" i="4" s="1"/>
  <c r="D11" i="12" s="1"/>
  <c r="D12" i="11"/>
  <c r="D12" i="4" s="1"/>
  <c r="D12" i="12" s="1"/>
  <c r="D13" i="11"/>
  <c r="D13" i="4" s="1"/>
  <c r="D13" i="12" s="1"/>
  <c r="D14" i="11"/>
  <c r="D14" i="4" s="1"/>
  <c r="D14" i="12" s="1"/>
  <c r="D15" i="11"/>
  <c r="D15" i="4" s="1"/>
  <c r="D15" i="12" s="1"/>
  <c r="D16" i="11"/>
  <c r="D16" i="4" s="1"/>
  <c r="D16" i="12" s="1"/>
  <c r="D17" i="11"/>
  <c r="D17" i="4" s="1"/>
  <c r="D17" i="12" s="1"/>
  <c r="D18" i="11"/>
  <c r="D18" i="4" s="1"/>
  <c r="D18" i="12" s="1"/>
  <c r="D19" i="11"/>
  <c r="D19" i="4" s="1"/>
  <c r="D19" i="12" s="1"/>
  <c r="D20" i="11"/>
  <c r="D20" i="4" s="1"/>
  <c r="D20" i="12" s="1"/>
  <c r="D21" i="11"/>
  <c r="D21" i="4" s="1"/>
  <c r="D21" i="12" s="1"/>
  <c r="D22" i="11"/>
  <c r="D22" i="4" s="1"/>
  <c r="D22" i="12" s="1"/>
  <c r="D23" i="11"/>
  <c r="D23" i="4" s="1"/>
  <c r="D23" i="12" s="1"/>
  <c r="D24" i="11"/>
  <c r="D24" i="4" s="1"/>
  <c r="D24" i="12" s="1"/>
  <c r="D25" i="11"/>
  <c r="D25" i="4" s="1"/>
  <c r="D25" i="12" s="1"/>
  <c r="D26" i="11"/>
  <c r="D26" i="4" s="1"/>
  <c r="D26" i="12" s="1"/>
  <c r="D27" i="11"/>
  <c r="D27" i="4" s="1"/>
  <c r="D27" i="12" s="1"/>
  <c r="D28" i="11"/>
  <c r="D28" i="4" s="1"/>
  <c r="D28" i="12" s="1"/>
  <c r="D29" i="11"/>
  <c r="D29" i="4" s="1"/>
  <c r="D29" i="12" s="1"/>
  <c r="D30" i="11"/>
  <c r="D30" i="4" s="1"/>
  <c r="D30" i="12" s="1"/>
  <c r="D31" i="11"/>
  <c r="D31" i="4" s="1"/>
  <c r="D31" i="12" s="1"/>
  <c r="D32" i="11"/>
  <c r="D32" i="4" s="1"/>
  <c r="D32" i="12" s="1"/>
  <c r="D33" i="11"/>
  <c r="D33" i="4" s="1"/>
  <c r="D33" i="12" s="1"/>
  <c r="D34" i="11"/>
  <c r="D34" i="4" s="1"/>
  <c r="D34" i="12" s="1"/>
  <c r="D35" i="11"/>
  <c r="D35" i="4" s="1"/>
  <c r="D35" i="12" s="1"/>
  <c r="D36" i="11"/>
  <c r="D36" i="4" s="1"/>
  <c r="D36" i="12" s="1"/>
  <c r="D37" i="11"/>
  <c r="D37" i="4" s="1"/>
  <c r="D37" i="12" s="1"/>
  <c r="D38" i="11"/>
  <c r="D38" i="4" s="1"/>
  <c r="D38" i="12" s="1"/>
  <c r="D39" i="11"/>
  <c r="D39" i="4" s="1"/>
  <c r="D39" i="12" s="1"/>
  <c r="D40" i="11"/>
  <c r="D40" i="4" s="1"/>
  <c r="D40" i="12" s="1"/>
  <c r="D41" i="11"/>
  <c r="D41" i="4" s="1"/>
  <c r="D41" i="12" s="1"/>
  <c r="D42" i="11"/>
  <c r="D42" i="4" s="1"/>
  <c r="D42" i="12" s="1"/>
  <c r="D43" i="11"/>
  <c r="D43" i="4" s="1"/>
  <c r="D43" i="12" s="1"/>
  <c r="D44" i="11"/>
  <c r="D44" i="4" s="1"/>
  <c r="D44" i="12" s="1"/>
  <c r="D45" i="11"/>
  <c r="D45" i="4" s="1"/>
  <c r="D45" i="12" s="1"/>
  <c r="D46" i="11"/>
  <c r="D46" i="4" s="1"/>
  <c r="D46" i="12" s="1"/>
  <c r="D47" i="11"/>
  <c r="D47" i="4" s="1"/>
  <c r="D47" i="12" s="1"/>
  <c r="D48" i="11"/>
  <c r="D48" i="4" s="1"/>
  <c r="D48" i="12" s="1"/>
  <c r="D49" i="11"/>
  <c r="D49" i="4" s="1"/>
  <c r="D49" i="12" s="1"/>
  <c r="D50" i="11"/>
  <c r="D50" i="4" s="1"/>
  <c r="D50" i="12" s="1"/>
  <c r="D51" i="11"/>
  <c r="D51" i="4" s="1"/>
  <c r="D51" i="12" s="1"/>
  <c r="D52" i="11"/>
  <c r="D52" i="4" s="1"/>
  <c r="D52" i="12" s="1"/>
  <c r="D53" i="11"/>
  <c r="D53" i="4" s="1"/>
  <c r="D53" i="12" s="1"/>
  <c r="D54" i="11"/>
  <c r="D54" i="4" s="1"/>
  <c r="D54" i="12" s="1"/>
  <c r="D55" i="11"/>
  <c r="D55" i="4" s="1"/>
  <c r="D55" i="12" s="1"/>
  <c r="D56" i="11"/>
  <c r="D56" i="4" s="1"/>
  <c r="D56" i="12" s="1"/>
  <c r="D57" i="11"/>
  <c r="D57" i="4" s="1"/>
  <c r="D57" i="12" s="1"/>
  <c r="D58" i="11"/>
  <c r="D58" i="4" s="1"/>
  <c r="D58" i="12" s="1"/>
  <c r="D59" i="11"/>
  <c r="D59" i="4" s="1"/>
  <c r="D59" i="12" s="1"/>
  <c r="D60" i="11"/>
  <c r="D60" i="4" s="1"/>
  <c r="D60" i="12" s="1"/>
  <c r="D61" i="11"/>
  <c r="D61" i="4" s="1"/>
  <c r="D61" i="12" s="1"/>
  <c r="D62" i="11"/>
  <c r="D62" i="4" s="1"/>
  <c r="D62" i="12" s="1"/>
  <c r="D63" i="11"/>
  <c r="D63" i="4" s="1"/>
  <c r="D63" i="12" s="1"/>
  <c r="D64" i="11"/>
  <c r="D64" i="4" s="1"/>
  <c r="D64" i="12" s="1"/>
  <c r="D65" i="11"/>
  <c r="D65" i="4" s="1"/>
  <c r="D65" i="12" s="1"/>
  <c r="D66" i="11"/>
  <c r="D66" i="4" s="1"/>
  <c r="D66" i="12" s="1"/>
  <c r="D67" i="11"/>
  <c r="D67" i="4" s="1"/>
  <c r="D67" i="12" s="1"/>
  <c r="D68" i="11"/>
  <c r="D68" i="4" s="1"/>
  <c r="D68" i="12" s="1"/>
  <c r="D69" i="11"/>
  <c r="D69" i="4" s="1"/>
  <c r="D69" i="12" s="1"/>
  <c r="D70" i="11"/>
  <c r="D70" i="4" s="1"/>
  <c r="D70" i="12" s="1"/>
  <c r="D71" i="11"/>
  <c r="D71" i="4" s="1"/>
  <c r="D71" i="12" s="1"/>
  <c r="D72" i="11"/>
  <c r="D72" i="4" s="1"/>
  <c r="D72" i="12" s="1"/>
  <c r="D73" i="11"/>
  <c r="D73" i="4" s="1"/>
  <c r="D73" i="12" s="1"/>
  <c r="D74" i="11"/>
  <c r="D74" i="4" s="1"/>
  <c r="D74" i="12" s="1"/>
  <c r="D75" i="11"/>
  <c r="D75" i="4" s="1"/>
  <c r="D75" i="12" s="1"/>
  <c r="D76" i="11"/>
  <c r="D76" i="4" s="1"/>
  <c r="D76" i="12" s="1"/>
  <c r="D77" i="11"/>
  <c r="D77" i="4" s="1"/>
  <c r="D77" i="12" s="1"/>
  <c r="D78" i="11"/>
  <c r="D78" i="4" s="1"/>
  <c r="D78" i="12" s="1"/>
  <c r="D79" i="11"/>
  <c r="D79" i="4" s="1"/>
  <c r="D79" i="12" s="1"/>
  <c r="D80" i="11"/>
  <c r="D80" i="4" s="1"/>
  <c r="D80" i="12" s="1"/>
  <c r="D81" i="11"/>
  <c r="D81" i="4" s="1"/>
  <c r="D81" i="12" s="1"/>
  <c r="D82" i="11"/>
  <c r="D82" i="4" s="1"/>
  <c r="D82" i="12" s="1"/>
  <c r="D83" i="11"/>
  <c r="D83" i="4" s="1"/>
  <c r="D83" i="12" s="1"/>
  <c r="D84" i="11"/>
  <c r="D84" i="4" s="1"/>
  <c r="D84" i="12" s="1"/>
  <c r="D85" i="11"/>
  <c r="D85" i="4" s="1"/>
  <c r="D85" i="12" s="1"/>
  <c r="D86" i="11"/>
  <c r="D86" i="4" s="1"/>
  <c r="D86" i="12" s="1"/>
  <c r="D87" i="11"/>
  <c r="D87" i="4" s="1"/>
  <c r="D87" i="12" s="1"/>
  <c r="D88" i="11"/>
  <c r="D88" i="4" s="1"/>
  <c r="D88" i="12" s="1"/>
  <c r="D89" i="11"/>
  <c r="D89" i="4" s="1"/>
  <c r="D89" i="12" s="1"/>
  <c r="D90" i="11"/>
  <c r="D90" i="4" s="1"/>
  <c r="D90" i="12" s="1"/>
  <c r="D91" i="11"/>
  <c r="D91" i="4" s="1"/>
  <c r="D91" i="12" s="1"/>
  <c r="D92" i="11"/>
  <c r="D92" i="4" s="1"/>
  <c r="D92" i="12" s="1"/>
  <c r="D93" i="11"/>
  <c r="D93" i="4" s="1"/>
  <c r="D93" i="12" s="1"/>
  <c r="D94" i="11"/>
  <c r="D94" i="4" s="1"/>
  <c r="D94" i="12" s="1"/>
  <c r="D95" i="11"/>
  <c r="D95" i="4" s="1"/>
  <c r="D95" i="12" s="1"/>
  <c r="D96" i="11"/>
  <c r="D96" i="4" s="1"/>
  <c r="D96" i="12" s="1"/>
  <c r="D97" i="11"/>
  <c r="D97" i="4" s="1"/>
  <c r="D97" i="12" s="1"/>
  <c r="D98" i="11"/>
  <c r="D98" i="4" s="1"/>
  <c r="D98" i="12" s="1"/>
  <c r="D99" i="11"/>
  <c r="D99" i="4" s="1"/>
  <c r="D99" i="12" s="1"/>
  <c r="D100" i="11"/>
  <c r="D100" i="4" s="1"/>
  <c r="D100" i="12" s="1"/>
  <c r="D101" i="11"/>
  <c r="D101" i="4" s="1"/>
  <c r="D101" i="12" s="1"/>
  <c r="D102" i="11"/>
  <c r="D102" i="4" s="1"/>
  <c r="D102" i="12" s="1"/>
  <c r="D103" i="11"/>
  <c r="D103" i="4" s="1"/>
  <c r="D103" i="12" s="1"/>
  <c r="D104" i="11"/>
  <c r="D104" i="4" s="1"/>
  <c r="D104" i="12" s="1"/>
  <c r="D105" i="11"/>
  <c r="D105" i="4" s="1"/>
  <c r="D105" i="12" s="1"/>
  <c r="D106" i="11"/>
  <c r="D106" i="4" s="1"/>
  <c r="D106" i="12" s="1"/>
  <c r="D107" i="11"/>
  <c r="D107" i="4" s="1"/>
  <c r="D107" i="12" s="1"/>
  <c r="D108" i="11"/>
  <c r="D108" i="4" s="1"/>
  <c r="D108" i="12" s="1"/>
  <c r="D109" i="11"/>
  <c r="D109" i="4" s="1"/>
  <c r="D109" i="12" s="1"/>
  <c r="D110" i="11"/>
  <c r="D110" i="4" s="1"/>
  <c r="D110" i="12" s="1"/>
  <c r="D111" i="11"/>
  <c r="D111" i="4" s="1"/>
  <c r="D111" i="12" s="1"/>
  <c r="D112" i="11"/>
  <c r="D112" i="4" s="1"/>
  <c r="D112" i="12" s="1"/>
  <c r="D113" i="11"/>
  <c r="D113" i="4" s="1"/>
  <c r="D113" i="12" s="1"/>
  <c r="D114" i="11"/>
  <c r="D114" i="4" s="1"/>
  <c r="D114" i="12" s="1"/>
  <c r="D115" i="11"/>
  <c r="D115" i="4" s="1"/>
  <c r="D115" i="12" s="1"/>
  <c r="D116" i="11"/>
  <c r="D116" i="4" s="1"/>
  <c r="D116" i="12" s="1"/>
  <c r="D117" i="11"/>
  <c r="D117" i="4" s="1"/>
  <c r="D117" i="12" s="1"/>
  <c r="D118" i="11"/>
  <c r="D118" i="4" s="1"/>
  <c r="D118" i="12" s="1"/>
  <c r="D119" i="11"/>
  <c r="D119" i="4" s="1"/>
  <c r="D119" i="12" s="1"/>
  <c r="D120" i="11"/>
  <c r="D120" i="4" s="1"/>
  <c r="D120" i="12" s="1"/>
  <c r="D121" i="11"/>
  <c r="D121" i="4" s="1"/>
  <c r="D121" i="12" s="1"/>
  <c r="D122" i="11"/>
  <c r="D122" i="4" s="1"/>
  <c r="D122" i="12" s="1"/>
  <c r="D123" i="11"/>
  <c r="D123" i="4" s="1"/>
  <c r="D123" i="12" s="1"/>
  <c r="D124" i="11"/>
  <c r="D124" i="4" s="1"/>
  <c r="D124" i="12" s="1"/>
  <c r="D125" i="11"/>
  <c r="D125" i="4" s="1"/>
  <c r="D125" i="12" s="1"/>
  <c r="D126" i="11"/>
  <c r="D126" i="4" s="1"/>
  <c r="D126" i="12" s="1"/>
  <c r="D127" i="11"/>
  <c r="D127" i="4" s="1"/>
  <c r="D127" i="12" s="1"/>
  <c r="D128" i="11"/>
  <c r="D128" i="4" s="1"/>
  <c r="D128" i="12" s="1"/>
  <c r="D129" i="11"/>
  <c r="D129" i="4" s="1"/>
  <c r="D129" i="12" s="1"/>
  <c r="D130" i="11"/>
  <c r="D130" i="4" s="1"/>
  <c r="D130" i="12" s="1"/>
  <c r="D131" i="11"/>
  <c r="D131" i="4" s="1"/>
  <c r="D131" i="12" s="1"/>
  <c r="D132" i="11"/>
  <c r="D132" i="4" s="1"/>
  <c r="D132" i="12" s="1"/>
  <c r="D133" i="11"/>
  <c r="D133" i="4" s="1"/>
  <c r="D133" i="12" s="1"/>
  <c r="D134" i="11"/>
  <c r="D134" i="4" s="1"/>
  <c r="D134" i="12" s="1"/>
  <c r="D135" i="11"/>
  <c r="D135" i="4" s="1"/>
  <c r="D135" i="12" s="1"/>
  <c r="D136" i="11"/>
  <c r="D136" i="4" s="1"/>
  <c r="D136" i="12" s="1"/>
  <c r="D137" i="11"/>
  <c r="D137" i="4" s="1"/>
  <c r="D137" i="12" s="1"/>
  <c r="D138" i="11"/>
  <c r="D138" i="4" s="1"/>
  <c r="D138" i="12" s="1"/>
  <c r="D139" i="11"/>
  <c r="D139" i="4" s="1"/>
  <c r="D139" i="12" s="1"/>
  <c r="D140" i="11"/>
  <c r="D140" i="4" s="1"/>
  <c r="D140" i="12" s="1"/>
  <c r="D141" i="11"/>
  <c r="D141" i="4" s="1"/>
  <c r="D141" i="12" s="1"/>
  <c r="D142" i="11"/>
  <c r="D142" i="4" s="1"/>
  <c r="D142" i="12" s="1"/>
  <c r="D143" i="11"/>
  <c r="D143" i="4" s="1"/>
  <c r="D143" i="12" s="1"/>
  <c r="D144" i="11"/>
  <c r="D144" i="4" s="1"/>
  <c r="D144" i="12" s="1"/>
  <c r="D145" i="11"/>
  <c r="D145" i="4" s="1"/>
  <c r="D145" i="12" s="1"/>
  <c r="D146" i="11"/>
  <c r="D146" i="4" s="1"/>
  <c r="D146" i="12" s="1"/>
  <c r="D147" i="11"/>
  <c r="D147" i="4" s="1"/>
  <c r="D147" i="12" s="1"/>
  <c r="D148" i="11"/>
  <c r="D148" i="4" s="1"/>
  <c r="D148" i="12" s="1"/>
  <c r="D149" i="11"/>
  <c r="D149" i="4" s="1"/>
  <c r="D149" i="12" s="1"/>
  <c r="D150" i="11"/>
  <c r="D150" i="4" s="1"/>
  <c r="D150" i="12" s="1"/>
  <c r="D151" i="11"/>
  <c r="D151" i="4" s="1"/>
  <c r="D151" i="12" s="1"/>
  <c r="D152" i="11"/>
  <c r="D152" i="4" s="1"/>
  <c r="D152" i="12" s="1"/>
  <c r="D153" i="11"/>
  <c r="D153" i="4" s="1"/>
  <c r="D153" i="12" s="1"/>
  <c r="D154" i="11"/>
  <c r="D154" i="4" s="1"/>
  <c r="D154" i="12" s="1"/>
  <c r="D155" i="11"/>
  <c r="D155" i="4" s="1"/>
  <c r="D155" i="12" s="1"/>
  <c r="D156" i="11"/>
  <c r="D156" i="4" s="1"/>
  <c r="D156" i="12" s="1"/>
  <c r="D157" i="11"/>
  <c r="D157" i="4" s="1"/>
  <c r="D157" i="12" s="1"/>
  <c r="D158" i="11"/>
  <c r="D158" i="4" s="1"/>
  <c r="D158" i="12" s="1"/>
  <c r="D159" i="11"/>
  <c r="D159" i="4" s="1"/>
  <c r="D159" i="12" s="1"/>
  <c r="D160" i="11"/>
  <c r="D160" i="4" s="1"/>
  <c r="D160" i="12" s="1"/>
  <c r="D161" i="11"/>
  <c r="D161" i="4" s="1"/>
  <c r="D161" i="12" s="1"/>
  <c r="D162" i="11"/>
  <c r="D162" i="4" s="1"/>
  <c r="D162" i="12" s="1"/>
  <c r="D163" i="11"/>
  <c r="D163" i="4" s="1"/>
  <c r="D163" i="12" s="1"/>
  <c r="D164" i="11"/>
  <c r="D164" i="4" s="1"/>
  <c r="D164" i="12" s="1"/>
  <c r="D165" i="11"/>
  <c r="D165" i="4" s="1"/>
  <c r="D165" i="12" s="1"/>
  <c r="D166" i="11"/>
  <c r="D166" i="4" s="1"/>
  <c r="D166" i="12" s="1"/>
  <c r="D167" i="11"/>
  <c r="D167" i="4" s="1"/>
  <c r="D167" i="12" s="1"/>
  <c r="D168" i="11"/>
  <c r="D168" i="4" s="1"/>
  <c r="D168" i="12" s="1"/>
  <c r="D169" i="11"/>
  <c r="D169" i="4" s="1"/>
  <c r="D169" i="12" s="1"/>
  <c r="D170" i="11"/>
  <c r="D170" i="4" s="1"/>
  <c r="D170" i="12" s="1"/>
  <c r="D171" i="11"/>
  <c r="D171" i="4" s="1"/>
  <c r="D171" i="12" s="1"/>
  <c r="D172" i="11"/>
  <c r="D172" i="4" s="1"/>
  <c r="D172" i="12" s="1"/>
  <c r="D173" i="11"/>
  <c r="D173" i="4" s="1"/>
  <c r="D173" i="12" s="1"/>
  <c r="D174" i="11"/>
  <c r="D174" i="4" s="1"/>
  <c r="D174" i="12" s="1"/>
  <c r="D175" i="11"/>
  <c r="D175" i="4" s="1"/>
  <c r="D175" i="12" s="1"/>
  <c r="D176" i="11"/>
  <c r="D176" i="4" s="1"/>
  <c r="D176" i="12" s="1"/>
  <c r="D177" i="11"/>
  <c r="D177" i="4" s="1"/>
  <c r="D177" i="12" s="1"/>
  <c r="D178" i="11"/>
  <c r="D178" i="4" s="1"/>
  <c r="D178" i="12" s="1"/>
  <c r="D179" i="11"/>
  <c r="D179" i="4" s="1"/>
  <c r="D179" i="12" s="1"/>
  <c r="D180" i="11"/>
  <c r="D180" i="4" s="1"/>
  <c r="D180" i="12" s="1"/>
  <c r="D181" i="11"/>
  <c r="D181" i="4" s="1"/>
  <c r="D181" i="12" s="1"/>
  <c r="D182" i="11"/>
  <c r="D182" i="4" s="1"/>
  <c r="D182" i="12" s="1"/>
  <c r="D183" i="11"/>
  <c r="D183" i="4" s="1"/>
  <c r="D183" i="12" s="1"/>
  <c r="D184" i="11"/>
  <c r="D184" i="4" s="1"/>
  <c r="D184" i="12" s="1"/>
  <c r="D185" i="11"/>
  <c r="D185" i="4" s="1"/>
  <c r="D185" i="12" s="1"/>
  <c r="D186" i="11"/>
  <c r="D186" i="4" s="1"/>
  <c r="D186" i="12" s="1"/>
  <c r="D187" i="11"/>
  <c r="D187" i="4" s="1"/>
  <c r="D187" i="12" s="1"/>
  <c r="D188" i="11"/>
  <c r="D188" i="4" s="1"/>
  <c r="D188" i="12" s="1"/>
  <c r="D189" i="11"/>
  <c r="D189" i="4" s="1"/>
  <c r="D189" i="12" s="1"/>
  <c r="D190" i="11"/>
  <c r="D190" i="4" s="1"/>
  <c r="D190" i="12" s="1"/>
  <c r="D191" i="11"/>
  <c r="D191" i="4" s="1"/>
  <c r="D191" i="12" s="1"/>
  <c r="D192" i="11"/>
  <c r="D192" i="4" s="1"/>
  <c r="D192" i="12" s="1"/>
  <c r="D193" i="11"/>
  <c r="D193" i="4" s="1"/>
  <c r="D193" i="12" s="1"/>
  <c r="D194" i="11"/>
  <c r="D194" i="4" s="1"/>
  <c r="D194" i="12" s="1"/>
  <c r="D195" i="11"/>
  <c r="D195" i="4" s="1"/>
  <c r="D195" i="12" s="1"/>
  <c r="D196" i="11"/>
  <c r="D196" i="4" s="1"/>
  <c r="D196" i="12" s="1"/>
  <c r="D197" i="11"/>
  <c r="D197" i="4" s="1"/>
  <c r="D197" i="12" s="1"/>
  <c r="D198" i="11"/>
  <c r="D198" i="4" s="1"/>
  <c r="D198" i="12" s="1"/>
  <c r="D199" i="11"/>
  <c r="D199" i="4" s="1"/>
  <c r="D199" i="12" s="1"/>
  <c r="D200" i="11"/>
  <c r="D200" i="4" s="1"/>
  <c r="D200" i="12" s="1"/>
  <c r="D201" i="11"/>
  <c r="D201" i="4" s="1"/>
  <c r="D201" i="12" s="1"/>
  <c r="D202" i="11"/>
  <c r="D202" i="4" s="1"/>
  <c r="D202" i="12" s="1"/>
  <c r="D203" i="11"/>
  <c r="D203" i="4" s="1"/>
  <c r="D203" i="12" s="1"/>
  <c r="D204" i="11"/>
  <c r="D204" i="4" s="1"/>
  <c r="D204" i="12" s="1"/>
  <c r="D205" i="11"/>
  <c r="D205" i="4" s="1"/>
  <c r="D205" i="12" s="1"/>
  <c r="D206" i="11"/>
  <c r="D206" i="4" s="1"/>
  <c r="D206" i="12" s="1"/>
  <c r="D207" i="11"/>
  <c r="D207" i="4" s="1"/>
  <c r="D207" i="12" s="1"/>
  <c r="D208" i="11"/>
  <c r="D208" i="4" s="1"/>
  <c r="D208" i="12" s="1"/>
  <c r="D209" i="11"/>
  <c r="D209" i="4" s="1"/>
  <c r="D209" i="12" s="1"/>
  <c r="D210" i="11"/>
  <c r="D210" i="4" s="1"/>
  <c r="D210" i="12" s="1"/>
  <c r="D211" i="11"/>
  <c r="D211" i="4" s="1"/>
  <c r="D211" i="12" s="1"/>
  <c r="D212" i="11"/>
  <c r="D212" i="4" s="1"/>
  <c r="D212" i="12" s="1"/>
  <c r="D213" i="11"/>
  <c r="D213" i="4" s="1"/>
  <c r="D213" i="12" s="1"/>
  <c r="D214" i="11"/>
  <c r="D214" i="4" s="1"/>
  <c r="D214" i="12" s="1"/>
  <c r="D215" i="11"/>
  <c r="D215" i="4" s="1"/>
  <c r="D215" i="12" s="1"/>
  <c r="D216" i="11"/>
  <c r="D216" i="4" s="1"/>
  <c r="D216" i="12" s="1"/>
  <c r="D217" i="11"/>
  <c r="D217" i="4" s="1"/>
  <c r="D217" i="12" s="1"/>
  <c r="D218" i="11"/>
  <c r="D218" i="4" s="1"/>
  <c r="D218" i="12" s="1"/>
  <c r="D219" i="11"/>
  <c r="D219" i="4" s="1"/>
  <c r="D219" i="12" s="1"/>
  <c r="D220" i="11"/>
  <c r="D220" i="4" s="1"/>
  <c r="D220" i="12" s="1"/>
  <c r="D221" i="11"/>
  <c r="D221" i="4" s="1"/>
  <c r="D221" i="12" s="1"/>
  <c r="D222" i="11"/>
  <c r="D222" i="4" s="1"/>
  <c r="D222" i="12" s="1"/>
  <c r="D223" i="11"/>
  <c r="D223" i="4" s="1"/>
  <c r="D223" i="12" s="1"/>
  <c r="D224" i="11"/>
  <c r="D224" i="4" s="1"/>
  <c r="D224" i="12" s="1"/>
  <c r="D225" i="11"/>
  <c r="D225" i="4" s="1"/>
  <c r="D225" i="12" s="1"/>
  <c r="D226" i="11"/>
  <c r="D226" i="4" s="1"/>
  <c r="D226" i="12" s="1"/>
  <c r="D227" i="11"/>
  <c r="D227" i="4" s="1"/>
  <c r="D227" i="12" s="1"/>
  <c r="D228" i="11"/>
  <c r="D228" i="4" s="1"/>
  <c r="D228" i="12" s="1"/>
  <c r="D229" i="11"/>
  <c r="D229" i="4" s="1"/>
  <c r="D229" i="12" s="1"/>
  <c r="D230" i="11"/>
  <c r="D230" i="4" s="1"/>
  <c r="D230" i="12" s="1"/>
  <c r="D231" i="11"/>
  <c r="D231" i="4" s="1"/>
  <c r="D231" i="12" s="1"/>
  <c r="D232" i="11"/>
  <c r="D232" i="4" s="1"/>
  <c r="D232" i="12" s="1"/>
  <c r="D233" i="11"/>
  <c r="D233" i="4" s="1"/>
  <c r="D233" i="12" s="1"/>
  <c r="D234" i="11"/>
  <c r="D234" i="4" s="1"/>
  <c r="D234" i="12" s="1"/>
  <c r="D235" i="11"/>
  <c r="D235" i="4" s="1"/>
  <c r="D235" i="12" s="1"/>
  <c r="D236" i="11"/>
  <c r="D236" i="4" s="1"/>
  <c r="D236" i="12" s="1"/>
  <c r="D237" i="11"/>
  <c r="D237" i="4" s="1"/>
  <c r="D237" i="12" s="1"/>
  <c r="D238" i="11"/>
  <c r="D238" i="4" s="1"/>
  <c r="D238" i="12" s="1"/>
  <c r="D239" i="11"/>
  <c r="D239" i="4" s="1"/>
  <c r="D239" i="12" s="1"/>
  <c r="D240" i="11"/>
  <c r="D240" i="4" s="1"/>
  <c r="D240" i="12" s="1"/>
  <c r="D241" i="11"/>
  <c r="D241" i="4" s="1"/>
  <c r="D241" i="12" s="1"/>
  <c r="D242" i="11"/>
  <c r="D242" i="4" s="1"/>
  <c r="D242" i="12" s="1"/>
  <c r="D243" i="11"/>
  <c r="D243" i="4" s="1"/>
  <c r="D243" i="12" s="1"/>
  <c r="D244" i="11"/>
  <c r="D244" i="4" s="1"/>
  <c r="D244" i="12" s="1"/>
  <c r="D245" i="11"/>
  <c r="D245" i="4" s="1"/>
  <c r="D245" i="12" s="1"/>
  <c r="D246" i="11"/>
  <c r="D246" i="4" s="1"/>
  <c r="D246" i="12" s="1"/>
  <c r="D247" i="11"/>
  <c r="D247" i="4" s="1"/>
  <c r="D247" i="12" s="1"/>
  <c r="D248" i="11"/>
  <c r="D248" i="4" s="1"/>
  <c r="D248" i="12" s="1"/>
  <c r="D249" i="11"/>
  <c r="D249" i="4" s="1"/>
  <c r="D249" i="12" s="1"/>
  <c r="D250" i="11"/>
  <c r="D250" i="4" s="1"/>
  <c r="D250" i="12" s="1"/>
  <c r="D251" i="11"/>
  <c r="D251" i="4" s="1"/>
  <c r="D251" i="12" s="1"/>
  <c r="D252" i="11"/>
  <c r="D252" i="4" s="1"/>
  <c r="D252" i="12" s="1"/>
  <c r="D253" i="11"/>
  <c r="D253" i="4" s="1"/>
  <c r="D253" i="12" s="1"/>
  <c r="D254" i="11"/>
  <c r="D254" i="4" s="1"/>
  <c r="D254" i="12" s="1"/>
  <c r="D255" i="11"/>
  <c r="D255" i="4" s="1"/>
  <c r="D255" i="12" s="1"/>
  <c r="D256" i="11"/>
  <c r="D256" i="4" s="1"/>
  <c r="D256" i="12" s="1"/>
  <c r="D257" i="11"/>
  <c r="D257" i="4" s="1"/>
  <c r="D257" i="12" s="1"/>
  <c r="D258" i="11"/>
  <c r="D258" i="4" s="1"/>
  <c r="D258" i="12" s="1"/>
  <c r="D259" i="11"/>
  <c r="D259" i="4" s="1"/>
  <c r="D259" i="12" s="1"/>
  <c r="D260" i="11"/>
  <c r="D260" i="4" s="1"/>
  <c r="D260" i="12" s="1"/>
  <c r="D261" i="11"/>
  <c r="D261" i="4" s="1"/>
  <c r="D261" i="12" s="1"/>
  <c r="D262" i="11"/>
  <c r="D262" i="4" s="1"/>
  <c r="D262" i="12" s="1"/>
  <c r="D263" i="11"/>
  <c r="D263" i="4" s="1"/>
  <c r="D263" i="12" s="1"/>
  <c r="D264" i="11"/>
  <c r="D264" i="4" s="1"/>
  <c r="D264" i="12" s="1"/>
  <c r="D265" i="11"/>
  <c r="D265" i="4" s="1"/>
  <c r="D265" i="12" s="1"/>
  <c r="D266" i="11"/>
  <c r="D266" i="4" s="1"/>
  <c r="D266" i="12" s="1"/>
  <c r="D267" i="11"/>
  <c r="D267" i="4" s="1"/>
  <c r="D267" i="12" s="1"/>
  <c r="D268" i="11"/>
  <c r="D268" i="4" s="1"/>
  <c r="D268" i="12" s="1"/>
  <c r="D269" i="11"/>
  <c r="D269" i="4" s="1"/>
  <c r="D269" i="12" s="1"/>
  <c r="D270" i="11"/>
  <c r="D270" i="4" s="1"/>
  <c r="D270" i="12" s="1"/>
  <c r="D271" i="11"/>
  <c r="D271" i="4" s="1"/>
  <c r="D271" i="12" s="1"/>
  <c r="D272" i="11"/>
  <c r="D272" i="4" s="1"/>
  <c r="D272" i="12" s="1"/>
  <c r="D273" i="11"/>
  <c r="D273" i="4" s="1"/>
  <c r="D273" i="12" s="1"/>
  <c r="D274" i="11"/>
  <c r="D274" i="4" s="1"/>
  <c r="D274" i="12" s="1"/>
  <c r="D275" i="11"/>
  <c r="D275" i="4" s="1"/>
  <c r="D275" i="12" s="1"/>
  <c r="D276" i="11"/>
  <c r="D276" i="4" s="1"/>
  <c r="D276" i="12" s="1"/>
  <c r="D277" i="11"/>
  <c r="D277" i="4" s="1"/>
  <c r="D277" i="12" s="1"/>
  <c r="D278" i="11"/>
  <c r="D278" i="4" s="1"/>
  <c r="D278" i="12" s="1"/>
  <c r="D279" i="11"/>
  <c r="D279" i="4" s="1"/>
  <c r="D279" i="12" s="1"/>
  <c r="D280" i="11"/>
  <c r="D280" i="4" s="1"/>
  <c r="D280" i="12" s="1"/>
  <c r="D281" i="11"/>
  <c r="D281" i="4" s="1"/>
  <c r="D281" i="12" s="1"/>
  <c r="D282" i="11"/>
  <c r="D282" i="4" s="1"/>
  <c r="D282" i="12" s="1"/>
  <c r="D283" i="11"/>
  <c r="D283" i="4" s="1"/>
  <c r="D283" i="12" s="1"/>
  <c r="D284" i="11"/>
  <c r="D284" i="4" s="1"/>
  <c r="D284" i="12" s="1"/>
  <c r="D285" i="11"/>
  <c r="D285" i="4" s="1"/>
  <c r="D285" i="12" s="1"/>
  <c r="D286" i="11"/>
  <c r="D286" i="4" s="1"/>
  <c r="D286" i="12" s="1"/>
  <c r="D287" i="11"/>
  <c r="D287" i="4" s="1"/>
  <c r="D287" i="12" s="1"/>
  <c r="D288" i="11"/>
  <c r="D288" i="4" s="1"/>
  <c r="D288" i="12" s="1"/>
  <c r="D289" i="11"/>
  <c r="D289" i="4" s="1"/>
  <c r="D289" i="12" s="1"/>
  <c r="D290" i="11"/>
  <c r="D290" i="4" s="1"/>
  <c r="D290" i="12" s="1"/>
  <c r="D291" i="11"/>
  <c r="D291" i="4" s="1"/>
  <c r="D291" i="12" s="1"/>
  <c r="D292" i="11"/>
  <c r="D292" i="4" s="1"/>
  <c r="D292" i="12" s="1"/>
  <c r="D293" i="11"/>
  <c r="D293" i="4" s="1"/>
  <c r="D293" i="12" s="1"/>
  <c r="D294" i="11"/>
  <c r="D294" i="4" s="1"/>
  <c r="D294" i="12" s="1"/>
  <c r="D295" i="11"/>
  <c r="D295" i="4" s="1"/>
  <c r="D295" i="12" s="1"/>
  <c r="D296" i="11"/>
  <c r="D296" i="4" s="1"/>
  <c r="D296" i="12" s="1"/>
  <c r="D297" i="11"/>
  <c r="D297" i="4" s="1"/>
  <c r="D297" i="12" s="1"/>
  <c r="D298" i="11"/>
  <c r="D298" i="4" s="1"/>
  <c r="D298" i="12" s="1"/>
  <c r="D299" i="11"/>
  <c r="D299" i="4" s="1"/>
  <c r="D299" i="12" s="1"/>
  <c r="D300" i="11"/>
  <c r="D300" i="4" s="1"/>
  <c r="D300" i="12" s="1"/>
  <c r="D301" i="11"/>
  <c r="D301" i="4" s="1"/>
  <c r="D301" i="12" s="1"/>
  <c r="D2" i="11"/>
  <c r="D2" i="4" s="1"/>
  <c r="D2" i="12" s="1"/>
  <c r="B4" i="13" l="1"/>
  <c r="B68" i="13"/>
  <c r="B60" i="13"/>
  <c r="B12" i="13"/>
  <c r="B98" i="13"/>
  <c r="B50" i="13"/>
  <c r="B100" i="13"/>
  <c r="B52" i="13"/>
  <c r="B78" i="13"/>
  <c r="B30" i="13"/>
  <c r="B20" i="13"/>
  <c r="B45" i="13"/>
  <c r="B35" i="13"/>
  <c r="B27" i="13"/>
  <c r="B146" i="13"/>
  <c r="B300" i="13"/>
  <c r="B252" i="13"/>
  <c r="B222" i="13"/>
  <c r="B174" i="13"/>
  <c r="B164" i="13"/>
  <c r="B148" i="13"/>
  <c r="B126" i="13"/>
  <c r="B116" i="13"/>
  <c r="B108" i="13"/>
  <c r="B227" i="13"/>
  <c r="B83" i="13"/>
  <c r="B171" i="13"/>
  <c r="B123" i="13"/>
  <c r="B93" i="13"/>
  <c r="B75" i="13"/>
  <c r="B299" i="13"/>
  <c r="B292" i="13"/>
  <c r="B291" i="13"/>
  <c r="B290" i="13"/>
  <c r="B289" i="13"/>
  <c r="B259" i="13"/>
  <c r="B257" i="13"/>
  <c r="B251" i="13"/>
  <c r="B243" i="13"/>
  <c r="B242" i="13"/>
  <c r="B241" i="13"/>
  <c r="B212" i="13"/>
  <c r="B211" i="13"/>
  <c r="B209" i="13"/>
  <c r="B196" i="13"/>
  <c r="B156" i="13"/>
  <c r="B285" i="13"/>
  <c r="B275" i="13"/>
  <c r="B267" i="13"/>
  <c r="B237" i="13"/>
  <c r="B189" i="13"/>
  <c r="B179" i="13"/>
  <c r="B66" i="13"/>
  <c r="B203" i="13"/>
  <c r="B195" i="13"/>
  <c r="B193" i="13"/>
  <c r="B163" i="13"/>
  <c r="B161" i="13"/>
  <c r="B155" i="13"/>
  <c r="B147" i="13"/>
  <c r="B145" i="13"/>
  <c r="B115" i="13"/>
  <c r="B113" i="13"/>
  <c r="B107" i="13"/>
  <c r="B99" i="13"/>
  <c r="B97" i="13"/>
  <c r="B67" i="13"/>
  <c r="B65" i="13"/>
  <c r="B59" i="13"/>
  <c r="B51" i="13"/>
  <c r="B49" i="13"/>
  <c r="B19" i="13"/>
  <c r="B17" i="13"/>
  <c r="B11" i="13"/>
  <c r="B3" i="13"/>
  <c r="B296" i="13"/>
  <c r="B294" i="13"/>
  <c r="B286" i="13"/>
  <c r="B282" i="13"/>
  <c r="B280" i="13"/>
  <c r="B278" i="13"/>
  <c r="B276" i="13"/>
  <c r="B272" i="13"/>
  <c r="B270" i="13"/>
  <c r="B268" i="13"/>
  <c r="B264" i="13"/>
  <c r="B260" i="13"/>
  <c r="B254" i="13"/>
  <c r="B248" i="13"/>
  <c r="B246" i="13"/>
  <c r="B244" i="13"/>
  <c r="B238" i="13"/>
  <c r="B234" i="13"/>
  <c r="B232" i="13"/>
  <c r="B230" i="13"/>
  <c r="B228" i="13"/>
  <c r="B224" i="13"/>
  <c r="B220" i="13"/>
  <c r="B216" i="13"/>
  <c r="B206" i="13"/>
  <c r="B204" i="13"/>
  <c r="B200" i="13"/>
  <c r="B198" i="13"/>
  <c r="B194" i="13"/>
  <c r="B190" i="13"/>
  <c r="B186" i="13"/>
  <c r="B184" i="13"/>
  <c r="B182" i="13"/>
  <c r="B180" i="13"/>
  <c r="B176" i="13"/>
  <c r="B172" i="13"/>
  <c r="B168" i="13"/>
  <c r="B158" i="13"/>
  <c r="B152" i="13"/>
  <c r="B150" i="13"/>
  <c r="B142" i="13"/>
  <c r="B139" i="13"/>
  <c r="B138" i="13"/>
  <c r="B136" i="13"/>
  <c r="B132" i="13"/>
  <c r="B124" i="13"/>
  <c r="B120" i="13"/>
  <c r="B102" i="13"/>
  <c r="B94" i="13"/>
  <c r="B91" i="13"/>
  <c r="B90" i="13"/>
  <c r="B88" i="13"/>
  <c r="B84" i="13"/>
  <c r="B76" i="13"/>
  <c r="B72" i="13"/>
  <c r="B54" i="13"/>
  <c r="B46" i="13"/>
  <c r="B43" i="13"/>
  <c r="B42" i="13"/>
  <c r="B41" i="13"/>
  <c r="B40" i="13"/>
  <c r="B36" i="13"/>
  <c r="B33" i="13"/>
  <c r="B28" i="13"/>
  <c r="B25" i="13"/>
  <c r="B24" i="13"/>
  <c r="B6" i="13"/>
  <c r="B295" i="13"/>
  <c r="B277" i="13"/>
  <c r="B269" i="13"/>
  <c r="B247" i="13"/>
  <c r="B229" i="13"/>
  <c r="B221" i="13"/>
  <c r="B199" i="13"/>
  <c r="B181" i="13"/>
  <c r="B173" i="13"/>
  <c r="B159" i="13"/>
  <c r="B151" i="13"/>
  <c r="B143" i="13"/>
  <c r="B135" i="13"/>
  <c r="B133" i="13"/>
  <c r="B125" i="13"/>
  <c r="B119" i="13"/>
  <c r="B111" i="13"/>
  <c r="B103" i="13"/>
  <c r="B95" i="13"/>
  <c r="B87" i="13"/>
  <c r="B85" i="13"/>
  <c r="B77" i="13"/>
  <c r="B71" i="13"/>
  <c r="B63" i="13"/>
  <c r="B55" i="13"/>
  <c r="B47" i="13"/>
  <c r="B39" i="13"/>
  <c r="B37" i="13"/>
  <c r="B29" i="13"/>
  <c r="B23" i="13"/>
  <c r="B15" i="13"/>
  <c r="B7" i="13"/>
  <c r="B5" i="13"/>
  <c r="B301" i="13"/>
  <c r="B298" i="13"/>
  <c r="B297" i="13"/>
  <c r="B293" i="13"/>
  <c r="B288" i="13"/>
  <c r="B287" i="13"/>
  <c r="B279" i="13"/>
  <c r="B271" i="13"/>
  <c r="B263" i="13"/>
  <c r="B261" i="13"/>
  <c r="B258" i="13"/>
  <c r="B256" i="13"/>
  <c r="B255" i="13"/>
  <c r="B253" i="13"/>
  <c r="B250" i="13"/>
  <c r="B249" i="13"/>
  <c r="B245" i="13"/>
  <c r="B240" i="13"/>
  <c r="B239" i="13"/>
  <c r="B231" i="13"/>
  <c r="B223" i="13"/>
  <c r="B219" i="13"/>
  <c r="B215" i="13"/>
  <c r="B213" i="13"/>
  <c r="B210" i="13"/>
  <c r="B208" i="13"/>
  <c r="B207" i="13"/>
  <c r="B205" i="13"/>
  <c r="B202" i="13"/>
  <c r="B201" i="13"/>
  <c r="B197" i="13"/>
  <c r="B192" i="13"/>
  <c r="B191" i="13"/>
  <c r="B183" i="13"/>
  <c r="B175" i="13"/>
  <c r="B167" i="13"/>
  <c r="B165" i="13"/>
  <c r="B162" i="13"/>
  <c r="B160" i="13"/>
  <c r="B157" i="13"/>
  <c r="B153" i="13"/>
  <c r="B149" i="13"/>
  <c r="B141" i="13"/>
  <c r="B131" i="13"/>
  <c r="B127" i="13"/>
  <c r="B117" i="13"/>
  <c r="B114" i="13"/>
  <c r="B112" i="13"/>
  <c r="B109" i="13"/>
  <c r="B106" i="13"/>
  <c r="B105" i="13"/>
  <c r="B101" i="13"/>
  <c r="B79" i="13"/>
  <c r="B69" i="13"/>
  <c r="B61" i="13"/>
  <c r="B57" i="13"/>
  <c r="B53" i="13"/>
  <c r="B31" i="13"/>
  <c r="B21" i="13"/>
  <c r="B13" i="13"/>
  <c r="B9" i="13"/>
  <c r="B283" i="13"/>
  <c r="B281" i="13"/>
  <c r="B273" i="13"/>
  <c r="B265" i="13"/>
  <c r="B235" i="13"/>
  <c r="B233" i="13"/>
  <c r="B225" i="13"/>
  <c r="B217" i="13"/>
  <c r="B187" i="13"/>
  <c r="B185" i="13"/>
  <c r="B177" i="13"/>
  <c r="B169" i="13"/>
  <c r="B137" i="13"/>
  <c r="B129" i="13"/>
  <c r="B121" i="13"/>
  <c r="B89" i="13"/>
  <c r="B81" i="13"/>
  <c r="B73" i="13"/>
  <c r="B284" i="13"/>
  <c r="B274" i="13"/>
  <c r="B266" i="13"/>
  <c r="B236" i="13"/>
  <c r="B226" i="13"/>
  <c r="B218" i="13"/>
  <c r="B188" i="13"/>
  <c r="B178" i="13"/>
  <c r="B170" i="13"/>
  <c r="B140" i="13"/>
  <c r="B130" i="13"/>
  <c r="B122" i="13"/>
  <c r="B92" i="13"/>
  <c r="B82" i="13"/>
  <c r="B74" i="13"/>
  <c r="B44" i="13"/>
  <c r="B34" i="13"/>
  <c r="B26" i="13"/>
  <c r="B154" i="13"/>
  <c r="B144" i="13"/>
  <c r="B96" i="13"/>
  <c r="B64" i="13"/>
  <c r="B58" i="13"/>
  <c r="B48" i="13"/>
  <c r="B18" i="13"/>
  <c r="B16" i="13"/>
  <c r="B10" i="13"/>
  <c r="B262" i="13"/>
  <c r="B214" i="13"/>
  <c r="B166" i="13"/>
  <c r="B134" i="13"/>
  <c r="B128" i="13"/>
  <c r="B118" i="13"/>
  <c r="B110" i="13"/>
  <c r="B104" i="13"/>
  <c r="B86" i="13"/>
  <c r="B80" i="13"/>
  <c r="B70" i="13"/>
  <c r="B62" i="13"/>
  <c r="B56" i="13"/>
  <c r="B38" i="13"/>
  <c r="B32" i="13"/>
  <c r="B22" i="13"/>
  <c r="B14" i="13"/>
  <c r="B8" i="13"/>
</calcChain>
</file>

<file path=xl/sharedStrings.xml><?xml version="1.0" encoding="utf-8"?>
<sst xmlns="http://schemas.openxmlformats.org/spreadsheetml/2006/main" count="417" uniqueCount="331">
  <si>
    <t>ano</t>
  </si>
  <si>
    <t>biomassa</t>
  </si>
  <si>
    <t>carvao</t>
  </si>
  <si>
    <t>eolica</t>
  </si>
  <si>
    <t>fotovoltaica</t>
  </si>
  <si>
    <t>gas</t>
  </si>
  <si>
    <t>hidraulica</t>
  </si>
  <si>
    <t>nuclear</t>
  </si>
  <si>
    <t>oleo_combustivel</t>
  </si>
  <si>
    <t>oleo_diesel</t>
  </si>
  <si>
    <t>outras_multi_combustivel</t>
  </si>
  <si>
    <t>residuos_industriais</t>
  </si>
  <si>
    <t>multi_combustivel_diesel_oleo</t>
  </si>
  <si>
    <t>mes</t>
  </si>
  <si>
    <t>mes_total</t>
  </si>
  <si>
    <t>coeficientes</t>
  </si>
  <si>
    <t>co2_mt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</si>
  <si>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</si>
  <si>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</si>
  <si>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</si>
  <si>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</si>
  <si>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</si>
  <si>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</si>
  <si>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</si>
  <si>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</si>
  <si>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</si>
  <si>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</si>
  <si>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</si>
  <si>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</si>
  <si>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</si>
  <si>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</si>
  <si>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</si>
  <si>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</si>
  <si>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</si>
  <si>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</si>
  <si>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</si>
  <si>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</si>
  <si>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</si>
  <si>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</si>
  <si>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</si>
  <si>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</si>
  <si>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</si>
  <si>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</si>
  <si>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</si>
  <si>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</si>
  <si>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</si>
  <si>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</si>
  <si>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</si>
  <si>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</si>
  <si>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</si>
  <si>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</si>
  <si>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</si>
  <si>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</si>
  <si>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</si>
  <si>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</si>
  <si>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</si>
  <si>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</si>
  <si>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</si>
  <si>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</si>
  <si>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</si>
  <si>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</si>
  <si>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</si>
  <si>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</si>
  <si>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</si>
  <si>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</si>
  <si>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</si>
  <si>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</si>
  <si>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</si>
  <si>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</si>
  <si>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</si>
  <si>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</si>
  <si>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</si>
  <si>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</si>
  <si>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</si>
  <si>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</si>
  <si>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</si>
  <si>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</si>
  <si>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2010-01</t>
  </si>
  <si>
    <t>2021-02</t>
  </si>
  <si>
    <t>2010-02</t>
  </si>
  <si>
    <t>2021-03</t>
  </si>
  <si>
    <t>2010-03</t>
  </si>
  <si>
    <t>2021-04</t>
  </si>
  <si>
    <t>2010-04</t>
  </si>
  <si>
    <t>2021-05</t>
  </si>
  <si>
    <t>2010-05</t>
  </si>
  <si>
    <t>2021-06</t>
  </si>
  <si>
    <t>2010-06</t>
  </si>
  <si>
    <t>2021-07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</si>
  <si>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</si>
  <si>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</si>
  <si>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</si>
  <si>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</si>
  <si>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</si>
  <si>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</si>
  <si>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</si>
  <si>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</si>
  <si>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</si>
  <si>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</si>
  <si>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</si>
  <si>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</si>
  <si>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</si>
  <si>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</si>
  <si>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</si>
  <si>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</si>
  <si>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</si>
  <si>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</si>
  <si>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</si>
  <si>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</si>
  <si>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</si>
  <si>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</si>
  <si>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</si>
  <si>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</si>
  <si>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</si>
  <si>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</si>
  <si>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</si>
  <si>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</si>
  <si>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</si>
  <si>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</si>
  <si>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</si>
  <si>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</si>
  <si>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</si>
  <si>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</si>
  <si>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</si>
  <si>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</si>
  <si>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</si>
  <si>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</si>
  <si>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</si>
  <si>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</si>
  <si>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</si>
  <si>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</si>
  <si>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</si>
  <si>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</si>
  <si>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</si>
  <si>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</si>
  <si>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</si>
  <si>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</si>
  <si>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</si>
  <si>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</si>
  <si>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</si>
  <si>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</si>
  <si>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</si>
  <si>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</si>
  <si>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</si>
  <si>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</si>
  <si>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</si>
  <si>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</si>
  <si>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</si>
  <si>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</si>
  <si>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</si>
  <si>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</si>
  <si>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</si>
  <si>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</si>
  <si>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</si>
  <si>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</si>
  <si>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</si>
  <si>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</si>
  <si>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</si>
  <si>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</si>
  <si>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</si>
  <si>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</si>
  <si>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</si>
  <si>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</si>
  <si>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</si>
  <si>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</si>
  <si>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</si>
  <si>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</si>
  <si>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</si>
  <si>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</si>
  <si>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</si>
  <si>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</si>
  <si>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</si>
  <si>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</si>
  <si>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</si>
  <si>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</si>
  <si>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</si>
  <si>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</si>
  <si>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</si>
  <si>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</si>
  <si>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</si>
  <si>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</si>
  <si>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</si>
  <si>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</si>
  <si>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</si>
  <si>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</si>
  <si>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</si>
  <si>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</si>
  <si>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</si>
  <si>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</si>
  <si>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</si>
  <si>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</si>
  <si>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</si>
  <si>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</si>
  <si>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</si>
  <si>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</si>
  <si>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</si>
  <si>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</si>
  <si>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</si>
  <si>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</si>
  <si>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</si>
  <si>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</si>
  <si>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</si>
  <si>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</si>
  <si>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</si>
  <si>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</si>
  <si>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</si>
  <si>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</si>
  <si>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</si>
  <si>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</si>
  <si>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</si>
  <si>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</si>
  <si>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</si>
  <si>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</si>
  <si>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</si>
  <si>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</si>
  <si>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</si>
  <si>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2021-08</t>
  </si>
  <si>
    <t>2021-09</t>
  </si>
  <si>
    <t>2021-10</t>
  </si>
  <si>
    <t>2021-11</t>
  </si>
  <si>
    <t>2021-12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</si>
  <si>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</si>
  <si>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</si>
  <si>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</si>
  <si>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</si>
  <si>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</si>
  <si>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</si>
  <si>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</si>
  <si>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</si>
  <si>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</si>
  <si>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</si>
  <si>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</si>
  <si>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</si>
  <si>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</si>
  <si>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</si>
  <si>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</si>
  <si>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</si>
  <si>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</si>
  <si>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</si>
  <si>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</si>
  <si>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</si>
  <si>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</si>
  <si>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</si>
  <si>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</si>
  <si>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</si>
  <si>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</si>
  <si>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</si>
  <si>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</si>
  <si>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</si>
  <si>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</si>
  <si>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</si>
  <si>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</si>
  <si>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</si>
  <si>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</si>
  <si>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</si>
  <si>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</si>
  <si>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</si>
  <si>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</si>
  <si>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</si>
  <si>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</si>
  <si>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</si>
  <si>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</si>
  <si>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</si>
  <si>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</si>
  <si>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</si>
  <si>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</si>
  <si>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</si>
  <si>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</si>
  <si>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</si>
  <si>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</si>
  <si>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</si>
  <si>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</si>
  <si>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</si>
  <si>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</si>
  <si>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</si>
  <si>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</si>
  <si>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</si>
  <si>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</si>
  <si>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</si>
  <si>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</si>
  <si>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</si>
  <si>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</si>
  <si>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</si>
  <si>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</si>
  <si>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</si>
  <si>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</si>
  <si>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</si>
  <si>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</si>
  <si>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</si>
  <si>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</si>
  <si>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</si>
  <si>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</si>
  <si>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</si>
  <si>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</si>
  <si>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</si>
  <si>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</si>
  <si>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</si>
  <si>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</si>
  <si>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</si>
  <si>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</si>
  <si>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</si>
  <si>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</si>
  <si>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</si>
  <si>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</si>
  <si>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</si>
  <si>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</si>
  <si>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</si>
  <si>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</si>
  <si>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</si>
  <si>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</si>
  <si>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</si>
  <si>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</si>
  <si>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</si>
  <si>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</si>
  <si>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</si>
  <si>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</si>
  <si>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</si>
  <si>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</si>
  <si>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</si>
  <si>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</si>
  <si>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</si>
  <si>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</si>
  <si>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</si>
  <si>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</si>
  <si>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</si>
  <si>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</si>
  <si>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</si>
  <si>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grupo_befn</t>
  </si>
  <si>
    <t>grupo_cg</t>
  </si>
  <si>
    <t>grupo_o</t>
  </si>
  <si>
    <t>grupo_hidraulica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</si>
</sst>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 applyAlignment="1">
      <alignment horizontal="center" vertical="center" wrapText="1"/>
    </xf>
    <xf numFmtId="2" fontId="0" fillId="0" borderId="0" xfId="0" applyNumberFormat="1"/>
    <xf numFmtId="164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64" fontId="0" fillId="8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1F74-BDE7-4781-ACAD-7CDB5E4563FB}">
  <dimension ref="A1:P311"/>
  <sheetViews>
    <sheetView tabSelected="1" workbookViewId="0">
      <selection activeCell="G8" sqref="G8"/>
    </sheetView>
  </sheetViews>
  <sheetFormatPr defaultRowHeight="14.4" x14ac:dyDescent="0.3"/>
  <cols>
    <col min="1" max="1" width="7.6640625" bestFit="1" customWidth="1"/>
    <col min="2" max="2" width="12" bestFit="1" customWidth="1"/>
    <col min="3" max="4" width="10.5546875" style="3" bestFit="1" customWidth="1"/>
    <col min="5" max="5" width="11.5546875" style="3" bestFit="1" customWidth="1"/>
    <col min="6" max="7" width="10.5546875" style="3" bestFit="1" customWidth="1"/>
    <col min="8" max="8" width="11.5546875" style="3" customWidth="1"/>
    <col min="9" max="9" width="12.77734375" style="3" bestFit="1" customWidth="1"/>
    <col min="10" max="10" width="10.5546875" style="3" bestFit="1" customWidth="1"/>
    <col min="11" max="11" width="15" style="3" bestFit="1" customWidth="1"/>
    <col min="12" max="12" width="10" style="3" bestFit="1" customWidth="1"/>
  </cols>
  <sheetData>
    <row r="1" spans="1:16" ht="43.2" x14ac:dyDescent="0.3">
      <c r="A1" s="17" t="s">
        <v>13</v>
      </c>
      <c r="B1" s="23" t="s">
        <v>16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12</v>
      </c>
      <c r="J1" s="16" t="s">
        <v>7</v>
      </c>
      <c r="K1" s="16" t="s">
        <v>8</v>
      </c>
      <c r="L1" s="16" t="s">
        <v>9</v>
      </c>
      <c r="M1" s="18" t="str">
        <f>co2e_mt!H1</f>
        <v>grupo_befn</v>
      </c>
      <c r="N1" s="18" t="str">
        <f>co2e_mt!K1</f>
        <v>grupo_cg</v>
      </c>
      <c r="O1" s="18" t="str">
        <f>co2e_mt!L1</f>
        <v>grupo_hidraulica</v>
      </c>
      <c r="P1" s="18" t="str">
        <f>co2e_mt!P1</f>
        <v>grupo_o</v>
      </c>
    </row>
    <row r="2" spans="1:16" x14ac:dyDescent="0.3">
      <c r="A2" s="6" t="s">
        <v>231</v>
      </c>
      <c r="B2" s="11">
        <f>co2e_mt!S2</f>
        <v>1.7037341636499936</v>
      </c>
      <c r="C2" s="2">
        <f>geracao_mwh!D2</f>
        <v>50755.599999999984</v>
      </c>
      <c r="D2" s="2">
        <f>geracao_mwh!E2</f>
        <v>770965.7</v>
      </c>
      <c r="E2" s="2">
        <f>geracao_mwh!F2</f>
        <v>0</v>
      </c>
      <c r="F2" s="2">
        <f>geracao_mwh!G2</f>
        <v>0</v>
      </c>
      <c r="G2" s="2">
        <f>geracao_mwh!H2</f>
        <v>510249.60000000009</v>
      </c>
      <c r="H2" s="2">
        <f>geracao_mwh!I2</f>
        <v>27711264.8499997</v>
      </c>
      <c r="I2" s="2">
        <f>geracao_mwh!J2</f>
        <v>0</v>
      </c>
      <c r="J2" s="2">
        <f>geracao_mwh!K2</f>
        <v>418078.09999999992</v>
      </c>
      <c r="K2" s="2">
        <f>geracao_mwh!L2</f>
        <v>111911.10000000014</v>
      </c>
      <c r="L2" s="2">
        <f>geracao_mwh!M2</f>
        <v>0</v>
      </c>
      <c r="M2" s="7">
        <f>co2e_mt!H2</f>
        <v>8.0743064999999978E-3</v>
      </c>
      <c r="N2" s="7">
        <f>co2e_mt!K2</f>
        <v>1.0197179713</v>
      </c>
      <c r="O2" s="7">
        <f>co2e_mt!L2</f>
        <v>0.58193656184999365</v>
      </c>
      <c r="P2" s="7">
        <f>co2e_mt!P2</f>
        <v>9.4005324000000112E-2</v>
      </c>
    </row>
    <row r="3" spans="1:16" x14ac:dyDescent="0.3">
      <c r="A3" s="6" t="s">
        <v>232</v>
      </c>
      <c r="B3" s="11">
        <f>co2e_mt!S3</f>
        <v>1.6357510917000102</v>
      </c>
      <c r="C3" s="2">
        <f>geracao_mwh!D3</f>
        <v>11439.000000000002</v>
      </c>
      <c r="D3" s="2">
        <f>geracao_mwh!E3</f>
        <v>725440.2000000003</v>
      </c>
      <c r="E3" s="2">
        <f>geracao_mwh!F3</f>
        <v>0</v>
      </c>
      <c r="F3" s="2">
        <f>geracao_mwh!G3</f>
        <v>0</v>
      </c>
      <c r="G3" s="2">
        <f>geracao_mwh!H3</f>
        <v>580009.19999999972</v>
      </c>
      <c r="H3" s="2">
        <f>geracao_mwh!I3</f>
        <v>26849928.000000469</v>
      </c>
      <c r="I3" s="2">
        <f>geracao_mwh!J3</f>
        <v>0</v>
      </c>
      <c r="J3" s="2">
        <f>geracao_mwh!K3</f>
        <v>400043.1</v>
      </c>
      <c r="K3" s="2">
        <f>geracao_mwh!L3</f>
        <v>69115.599999999977</v>
      </c>
      <c r="L3" s="2">
        <f>geracao_mwh!M3</f>
        <v>0</v>
      </c>
      <c r="M3" s="7">
        <f>co2e_mt!H3</f>
        <v>5.7953882999999999E-3</v>
      </c>
      <c r="N3" s="7">
        <f>co2e_mt!K3</f>
        <v>1.0080501114000002</v>
      </c>
      <c r="O3" s="7">
        <f>co2e_mt!L3</f>
        <v>0.56384848800000986</v>
      </c>
      <c r="P3" s="7">
        <f>co2e_mt!P3</f>
        <v>5.8057103999999977E-2</v>
      </c>
    </row>
    <row r="4" spans="1:16" x14ac:dyDescent="0.3">
      <c r="A4" s="6" t="s">
        <v>233</v>
      </c>
      <c r="B4" s="11">
        <f>co2e_mt!S4</f>
        <v>1.6114991548741397</v>
      </c>
      <c r="C4" s="2">
        <f>geracao_mwh!D4</f>
        <v>3845.4</v>
      </c>
      <c r="D4" s="2">
        <f>geracao_mwh!E4</f>
        <v>685798.44999999914</v>
      </c>
      <c r="E4" s="2">
        <f>geracao_mwh!F4</f>
        <v>0</v>
      </c>
      <c r="F4" s="2">
        <f>geracao_mwh!G4</f>
        <v>0</v>
      </c>
      <c r="G4" s="2">
        <f>geracao_mwh!H4</f>
        <v>513065.18000000005</v>
      </c>
      <c r="H4" s="2">
        <f>geracao_mwh!I4</f>
        <v>28789383.893340014</v>
      </c>
      <c r="I4" s="2">
        <f>geracao_mwh!J4</f>
        <v>0</v>
      </c>
      <c r="J4" s="2">
        <f>geracao_mwh!K4</f>
        <v>400187.10000000003</v>
      </c>
      <c r="K4" s="2">
        <f>geracao_mwh!L4</f>
        <v>78197.350100000214</v>
      </c>
      <c r="L4" s="2">
        <f>geracao_mwh!M4</f>
        <v>0</v>
      </c>
      <c r="M4" s="7">
        <f>co2e_mt!H4</f>
        <v>5.4023931000000015E-3</v>
      </c>
      <c r="N4" s="7">
        <f>co2e_mt!K4</f>
        <v>0.93583392592999914</v>
      </c>
      <c r="O4" s="7">
        <f>co2e_mt!L4</f>
        <v>0.60457706176014037</v>
      </c>
      <c r="P4" s="7">
        <f>co2e_mt!P4</f>
        <v>6.5685774084000184E-2</v>
      </c>
    </row>
    <row r="5" spans="1:16" x14ac:dyDescent="0.3">
      <c r="A5" s="6" t="s">
        <v>234</v>
      </c>
      <c r="B5" s="11">
        <f>co2e_mt!S5</f>
        <v>1.4621317105999985</v>
      </c>
      <c r="C5" s="2">
        <f>geracao_mwh!D5</f>
        <v>3600</v>
      </c>
      <c r="D5" s="2">
        <f>geracao_mwh!E5</f>
        <v>675601.70000000007</v>
      </c>
      <c r="E5" s="2">
        <f>geracao_mwh!F5</f>
        <v>0</v>
      </c>
      <c r="F5" s="2">
        <f>geracao_mwh!G5</f>
        <v>0</v>
      </c>
      <c r="G5" s="2">
        <f>geracao_mwh!H5</f>
        <v>337403.1999999999</v>
      </c>
      <c r="H5" s="2">
        <f>geracao_mwh!I5</f>
        <v>27810598.89999992</v>
      </c>
      <c r="I5" s="2">
        <f>geracao_mwh!J5</f>
        <v>0</v>
      </c>
      <c r="J5" s="2">
        <f>geracao_mwh!K5</f>
        <v>358885.60000000003</v>
      </c>
      <c r="K5" s="2">
        <f>geracao_mwh!L5</f>
        <v>39287.100000000013</v>
      </c>
      <c r="L5" s="2">
        <f>geracao_mwh!M5</f>
        <v>0</v>
      </c>
      <c r="M5" s="7">
        <f>co2e_mt!H5</f>
        <v>4.8527128000000015E-3</v>
      </c>
      <c r="N5" s="7">
        <f>co2e_mt!K5</f>
        <v>0.84025525690000002</v>
      </c>
      <c r="O5" s="7">
        <f>co2e_mt!L5</f>
        <v>0.58402257689999826</v>
      </c>
      <c r="P5" s="7">
        <f>co2e_mt!P5</f>
        <v>3.3001164000000013E-2</v>
      </c>
    </row>
    <row r="6" spans="1:16" x14ac:dyDescent="0.3">
      <c r="A6" s="6" t="s">
        <v>235</v>
      </c>
      <c r="B6" s="11">
        <f>co2e_mt!S6</f>
        <v>1.661700980899995</v>
      </c>
      <c r="C6" s="2">
        <f>geracao_mwh!D6</f>
        <v>4403.1000000000004</v>
      </c>
      <c r="D6" s="2">
        <f>geracao_mwh!E6</f>
        <v>725874.69999999809</v>
      </c>
      <c r="E6" s="2">
        <f>geracao_mwh!F6</f>
        <v>0</v>
      </c>
      <c r="F6" s="2">
        <f>geracao_mwh!G6</f>
        <v>0</v>
      </c>
      <c r="G6" s="2">
        <f>geracao_mwh!H6</f>
        <v>503225.49999999942</v>
      </c>
      <c r="H6" s="2">
        <f>geracao_mwh!I6</f>
        <v>28813391.99999987</v>
      </c>
      <c r="I6" s="2">
        <f>geracao_mwh!J6</f>
        <v>0</v>
      </c>
      <c r="J6" s="2">
        <f>geracao_mwh!K6</f>
        <v>0</v>
      </c>
      <c r="K6" s="2">
        <f>geracao_mwh!L6</f>
        <v>101455.5</v>
      </c>
      <c r="L6" s="2">
        <f>geracao_mwh!M6</f>
        <v>0</v>
      </c>
      <c r="M6" s="7">
        <f>co2e_mt!H6</f>
        <v>2.2896120000000001E-4</v>
      </c>
      <c r="N6" s="7">
        <f>co2e_mt!K6</f>
        <v>0.97116816769999781</v>
      </c>
      <c r="O6" s="7">
        <f>co2e_mt!L6</f>
        <v>0.6050812319999973</v>
      </c>
      <c r="P6" s="7">
        <f>co2e_mt!P6</f>
        <v>8.5222619999999999E-2</v>
      </c>
    </row>
    <row r="7" spans="1:16" x14ac:dyDescent="0.3">
      <c r="A7" s="6" t="s">
        <v>236</v>
      </c>
      <c r="B7" s="11">
        <f>co2e_mt!S7</f>
        <v>1.6691870364999999</v>
      </c>
      <c r="C7" s="2">
        <f>geracao_mwh!D7</f>
        <v>7536.9</v>
      </c>
      <c r="D7" s="2">
        <f>geracao_mwh!E7</f>
        <v>725001.50000000047</v>
      </c>
      <c r="E7" s="2">
        <f>geracao_mwh!F7</f>
        <v>0</v>
      </c>
      <c r="F7" s="2">
        <f>geracao_mwh!G7</f>
        <v>0</v>
      </c>
      <c r="G7" s="2">
        <f>geracao_mwh!H7</f>
        <v>574331.6</v>
      </c>
      <c r="H7" s="2">
        <f>geracao_mwh!I7</f>
        <v>27376412.299999986</v>
      </c>
      <c r="I7" s="2">
        <f>geracao_mwh!J7</f>
        <v>0</v>
      </c>
      <c r="J7" s="2">
        <f>geracao_mwh!K7</f>
        <v>11.1</v>
      </c>
      <c r="K7" s="2">
        <f>geracao_mwh!L7</f>
        <v>105998.40000000007</v>
      </c>
      <c r="L7" s="2">
        <f>geracao_mwh!M7</f>
        <v>0</v>
      </c>
      <c r="M7" s="7">
        <f>co2e_mt!H7</f>
        <v>3.9206309999999998E-4</v>
      </c>
      <c r="N7" s="7">
        <f>co2e_mt!K7</f>
        <v>1.0048516591000005</v>
      </c>
      <c r="O7" s="7">
        <f>co2e_mt!L7</f>
        <v>0.57490465829999959</v>
      </c>
      <c r="P7" s="7">
        <f>co2e_mt!P7</f>
        <v>8.9038656000000049E-2</v>
      </c>
    </row>
    <row r="8" spans="1:16" x14ac:dyDescent="0.3">
      <c r="A8" s="6" t="s">
        <v>237</v>
      </c>
      <c r="B8" s="11">
        <f>co2e_mt!S8</f>
        <v>1.5623790069299979</v>
      </c>
      <c r="C8" s="2">
        <f>geracao_mwh!D8</f>
        <v>5147.5</v>
      </c>
      <c r="D8" s="2">
        <f>geracao_mwh!E8</f>
        <v>607498.30000000075</v>
      </c>
      <c r="E8" s="2">
        <f>geracao_mwh!F8</f>
        <v>0</v>
      </c>
      <c r="F8" s="2">
        <f>geracao_mwh!G8</f>
        <v>0</v>
      </c>
      <c r="G8" s="2">
        <f>geracao_mwh!H8</f>
        <v>540092.50000000058</v>
      </c>
      <c r="H8" s="2">
        <f>geracao_mwh!I8</f>
        <v>27679250.029999848</v>
      </c>
      <c r="I8" s="2">
        <f>geracao_mwh!J8</f>
        <v>0</v>
      </c>
      <c r="J8" s="2">
        <f>geracao_mwh!K8</f>
        <v>67880.999999999971</v>
      </c>
      <c r="K8" s="2">
        <f>geracao_mwh!L8</f>
        <v>130207.00000000004</v>
      </c>
      <c r="L8" s="2">
        <f>geracao_mwh!M8</f>
        <v>0</v>
      </c>
      <c r="M8" s="7">
        <f>co2e_mt!H8</f>
        <v>1.1501229999999996E-3</v>
      </c>
      <c r="N8" s="7">
        <f>co2e_mt!K8</f>
        <v>0.87059075330000102</v>
      </c>
      <c r="O8" s="7">
        <f>co2e_mt!L8</f>
        <v>0.58126425062999687</v>
      </c>
      <c r="P8" s="7">
        <f>co2e_mt!P8</f>
        <v>0.10937388000000003</v>
      </c>
    </row>
    <row r="9" spans="1:16" x14ac:dyDescent="0.3">
      <c r="A9" s="6" t="s">
        <v>238</v>
      </c>
      <c r="B9" s="11">
        <f>co2e_mt!S9</f>
        <v>1.5944673881999931</v>
      </c>
      <c r="C9" s="2">
        <f>geracao_mwh!D9</f>
        <v>8189.2000000000007</v>
      </c>
      <c r="D9" s="2">
        <f>geracao_mwh!E9</f>
        <v>627497.69999999914</v>
      </c>
      <c r="E9" s="2">
        <f>geracao_mwh!F9</f>
        <v>0</v>
      </c>
      <c r="F9" s="2">
        <f>geracao_mwh!G9</f>
        <v>0</v>
      </c>
      <c r="G9" s="2">
        <f>geracao_mwh!H9</f>
        <v>547118.20000000042</v>
      </c>
      <c r="H9" s="2">
        <f>geracao_mwh!I9</f>
        <v>27812268.499999683</v>
      </c>
      <c r="I9" s="2">
        <f>geracao_mwh!J9</f>
        <v>0</v>
      </c>
      <c r="J9" s="2">
        <f>geracao_mwh!K9</f>
        <v>672390.80000000028</v>
      </c>
      <c r="K9" s="2">
        <f>geracao_mwh!L9</f>
        <v>127640.70000000027</v>
      </c>
      <c r="L9" s="2">
        <f>geracao_mwh!M9</f>
        <v>0</v>
      </c>
      <c r="M9" s="7">
        <f>co2e_mt!H9</f>
        <v>9.1669188000000033E-3</v>
      </c>
      <c r="N9" s="7">
        <f>co2e_mt!K9</f>
        <v>0.89402464289999939</v>
      </c>
      <c r="O9" s="7">
        <f>co2e_mt!L9</f>
        <v>0.58405763849999337</v>
      </c>
      <c r="P9" s="7">
        <f>co2e_mt!P9</f>
        <v>0.10721818800000023</v>
      </c>
    </row>
    <row r="10" spans="1:16" x14ac:dyDescent="0.3">
      <c r="A10" s="6" t="s">
        <v>239</v>
      </c>
      <c r="B10" s="11">
        <f>co2e_mt!S10</f>
        <v>1.296702393780002</v>
      </c>
      <c r="C10" s="2">
        <f>geracao_mwh!D10</f>
        <v>18807.5</v>
      </c>
      <c r="D10" s="2">
        <f>geracao_mwh!E10</f>
        <v>397360.2</v>
      </c>
      <c r="E10" s="2">
        <f>geracao_mwh!F10</f>
        <v>0</v>
      </c>
      <c r="F10" s="2">
        <f>geracao_mwh!G10</f>
        <v>0</v>
      </c>
      <c r="G10" s="2">
        <f>geracao_mwh!H10</f>
        <v>500284.799999999</v>
      </c>
      <c r="H10" s="2">
        <f>geracao_mwh!I10</f>
        <v>27482979.380000111</v>
      </c>
      <c r="I10" s="2">
        <f>geracao_mwh!J10</f>
        <v>0</v>
      </c>
      <c r="J10" s="2">
        <f>geracao_mwh!K10</f>
        <v>781196.19999999949</v>
      </c>
      <c r="K10" s="2">
        <f>geracao_mwh!L10</f>
        <v>80393.230000000054</v>
      </c>
      <c r="L10" s="2">
        <f>geracao_mwh!M10</f>
        <v>0</v>
      </c>
      <c r="M10" s="7">
        <f>co2e_mt!H10</f>
        <v>1.1133540599999993E-2</v>
      </c>
      <c r="N10" s="7">
        <f>co2e_mt!K10</f>
        <v>0.64089597299999956</v>
      </c>
      <c r="O10" s="7">
        <f>co2e_mt!L10</f>
        <v>0.57714256698000233</v>
      </c>
      <c r="P10" s="7">
        <f>co2e_mt!P10</f>
        <v>6.7530313200000053E-2</v>
      </c>
    </row>
    <row r="11" spans="1:16" x14ac:dyDescent="0.3">
      <c r="A11" s="6" t="s">
        <v>240</v>
      </c>
      <c r="B11" s="11">
        <f>co2e_mt!S11</f>
        <v>1.3027970384248033</v>
      </c>
      <c r="C11" s="2">
        <f>geracao_mwh!D11</f>
        <v>3536.6999999999994</v>
      </c>
      <c r="D11" s="2">
        <f>geracao_mwh!E11</f>
        <v>337343.60000000009</v>
      </c>
      <c r="E11" s="2">
        <f>geracao_mwh!F11</f>
        <v>0</v>
      </c>
      <c r="F11" s="2">
        <f>geracao_mwh!G11</f>
        <v>0</v>
      </c>
      <c r="G11" s="2">
        <f>geracao_mwh!H11</f>
        <v>551283.49999999907</v>
      </c>
      <c r="H11" s="2">
        <f>geracao_mwh!I11</f>
        <v>30034719.410000172</v>
      </c>
      <c r="I11" s="2">
        <f>geracao_mwh!J11</f>
        <v>0</v>
      </c>
      <c r="J11" s="2">
        <f>geracao_mwh!K11</f>
        <v>544916.13959999953</v>
      </c>
      <c r="K11" s="2">
        <f>geracao_mwh!L11</f>
        <v>70470.700000000012</v>
      </c>
      <c r="L11" s="2">
        <f>geracao_mwh!M11</f>
        <v>0</v>
      </c>
      <c r="M11" s="7">
        <f>co2e_mt!H11</f>
        <v>7.2678182147999943E-3</v>
      </c>
      <c r="N11" s="7">
        <f>co2e_mt!K11</f>
        <v>0.60560472459999959</v>
      </c>
      <c r="O11" s="7">
        <f>co2e_mt!L11</f>
        <v>0.63072910761000367</v>
      </c>
      <c r="P11" s="7">
        <f>co2e_mt!P11</f>
        <v>5.9195388000000015E-2</v>
      </c>
    </row>
    <row r="12" spans="1:16" x14ac:dyDescent="0.3">
      <c r="A12" s="6" t="s">
        <v>241</v>
      </c>
      <c r="B12" s="11">
        <f>co2e_mt!S12</f>
        <v>1.4361071223878028</v>
      </c>
      <c r="C12" s="2">
        <f>geracao_mwh!D12</f>
        <v>3573.8999999999996</v>
      </c>
      <c r="D12" s="2">
        <f>geracao_mwh!E12</f>
        <v>489988.49999999977</v>
      </c>
      <c r="E12" s="2">
        <f>geracao_mwh!F12</f>
        <v>0</v>
      </c>
      <c r="F12" s="2">
        <f>geracao_mwh!G12</f>
        <v>0</v>
      </c>
      <c r="G12" s="2">
        <f>geracao_mwh!H12</f>
        <v>548469.99999999988</v>
      </c>
      <c r="H12" s="2">
        <f>geracao_mwh!I12</f>
        <v>27613932.590000134</v>
      </c>
      <c r="I12" s="2">
        <f>geracao_mwh!J12</f>
        <v>0</v>
      </c>
      <c r="J12" s="2">
        <f>geracao_mwh!K12</f>
        <v>1127845.1306000012</v>
      </c>
      <c r="K12" s="2">
        <f>geracao_mwh!L12</f>
        <v>100395.0000000001</v>
      </c>
      <c r="L12" s="2">
        <f>geracao_mwh!M12</f>
        <v>0</v>
      </c>
      <c r="M12" s="7">
        <f>co2e_mt!H12</f>
        <v>1.4847829497800015E-2</v>
      </c>
      <c r="N12" s="7">
        <f>co2e_mt!K12</f>
        <v>0.75703490849999966</v>
      </c>
      <c r="O12" s="7">
        <f>co2e_mt!L12</f>
        <v>0.5798925843900028</v>
      </c>
      <c r="P12" s="7">
        <f>co2e_mt!P12</f>
        <v>8.4331800000000096E-2</v>
      </c>
    </row>
    <row r="13" spans="1:16" x14ac:dyDescent="0.3">
      <c r="A13" s="6" t="s">
        <v>242</v>
      </c>
      <c r="B13" s="11">
        <f>co2e_mt!S13</f>
        <v>1.6436042247403009</v>
      </c>
      <c r="C13" s="2">
        <f>geracao_mwh!D13</f>
        <v>9228.7999999999993</v>
      </c>
      <c r="D13" s="2">
        <f>geracao_mwh!E13</f>
        <v>640149.79999999981</v>
      </c>
      <c r="E13" s="2">
        <f>geracao_mwh!F13</f>
        <v>0</v>
      </c>
      <c r="F13" s="2">
        <f>geracao_mwh!G13</f>
        <v>0</v>
      </c>
      <c r="G13" s="2">
        <f>geracao_mwh!H13</f>
        <v>673443.39999999944</v>
      </c>
      <c r="H13" s="2">
        <f>geracao_mwh!I13</f>
        <v>27617699.060000069</v>
      </c>
      <c r="I13" s="2">
        <f>geracao_mwh!J13</f>
        <v>0</v>
      </c>
      <c r="J13" s="2">
        <f>geracao_mwh!K13</f>
        <v>1224857.2830999994</v>
      </c>
      <c r="K13" s="2">
        <f>geracao_mwh!L13</f>
        <v>94221.499999999927</v>
      </c>
      <c r="L13" s="2">
        <f>geracao_mwh!M13</f>
        <v>0</v>
      </c>
      <c r="M13" s="7">
        <f>co2e_mt!H13</f>
        <v>1.6403042280299991E-2</v>
      </c>
      <c r="N13" s="7">
        <f>co2e_mt!K13</f>
        <v>0.96808344219999942</v>
      </c>
      <c r="O13" s="7">
        <f>co2e_mt!L13</f>
        <v>0.57997168026000145</v>
      </c>
      <c r="P13" s="7">
        <f>co2e_mt!P13</f>
        <v>7.9146059999999935E-2</v>
      </c>
    </row>
    <row r="14" spans="1:16" x14ac:dyDescent="0.3">
      <c r="A14" s="6" t="s">
        <v>243</v>
      </c>
      <c r="B14" s="11">
        <f>co2e_mt!S14</f>
        <v>1.6449733339155945</v>
      </c>
      <c r="C14" s="2">
        <f>geracao_mwh!D14</f>
        <v>4398.1000000000004</v>
      </c>
      <c r="D14" s="2">
        <f>geracao_mwh!E14</f>
        <v>593526.70000000228</v>
      </c>
      <c r="E14" s="2">
        <f>geracao_mwh!F14</f>
        <v>0</v>
      </c>
      <c r="F14" s="2">
        <f>geracao_mwh!G14</f>
        <v>0</v>
      </c>
      <c r="G14" s="2">
        <f>geracao_mwh!H14</f>
        <v>742412.30000000156</v>
      </c>
      <c r="H14" s="2">
        <f>geracao_mwh!I14</f>
        <v>28962382.719999608</v>
      </c>
      <c r="I14" s="2">
        <f>geracao_mwh!J14</f>
        <v>0</v>
      </c>
      <c r="J14" s="2">
        <f>geracao_mwh!K14</f>
        <v>1000797.1611999993</v>
      </c>
      <c r="K14" s="2">
        <f>geracao_mwh!L14</f>
        <v>81656.699999999895</v>
      </c>
      <c r="L14" s="2">
        <f>geracao_mwh!M14</f>
        <v>0</v>
      </c>
      <c r="M14" s="7">
        <f>co2e_mt!H14</f>
        <v>1.3239064295599991E-2</v>
      </c>
      <c r="N14" s="7">
        <f>co2e_mt!K14</f>
        <v>0.95493260450000306</v>
      </c>
      <c r="O14" s="7">
        <f>co2e_mt!L14</f>
        <v>0.60821003711999166</v>
      </c>
      <c r="P14" s="7">
        <f>co2e_mt!P14</f>
        <v>6.8591627999999918E-2</v>
      </c>
    </row>
    <row r="15" spans="1:16" x14ac:dyDescent="0.3">
      <c r="A15" s="6" t="s">
        <v>244</v>
      </c>
      <c r="B15" s="11">
        <f>co2e_mt!S15</f>
        <v>1.4974518159900092</v>
      </c>
      <c r="C15" s="2">
        <f>geracao_mwh!D15</f>
        <v>2984.2</v>
      </c>
      <c r="D15" s="2">
        <f>geracao_mwh!E15</f>
        <v>459373.90000000043</v>
      </c>
      <c r="E15" s="2">
        <f>geracao_mwh!F15</f>
        <v>0</v>
      </c>
      <c r="F15" s="2">
        <f>geracao_mwh!G15</f>
        <v>0</v>
      </c>
      <c r="G15" s="2">
        <f>geracao_mwh!H15</f>
        <v>790047.80000000133</v>
      </c>
      <c r="H15" s="2">
        <f>geracao_mwh!I15</f>
        <v>26913947.600000396</v>
      </c>
      <c r="I15" s="2">
        <f>geracao_mwh!J15</f>
        <v>0</v>
      </c>
      <c r="J15" s="2">
        <f>geracao_mwh!K15</f>
        <v>1121565.3299999975</v>
      </c>
      <c r="K15" s="2">
        <f>geracao_mwh!L15</f>
        <v>87770.100000000137</v>
      </c>
      <c r="L15" s="2">
        <f>geracao_mwh!M15</f>
        <v>0</v>
      </c>
      <c r="M15" s="7">
        <f>co2e_mt!H15</f>
        <v>1.473552768999997E-2</v>
      </c>
      <c r="N15" s="7">
        <f>co2e_mt!K15</f>
        <v>0.84379650470000112</v>
      </c>
      <c r="O15" s="7">
        <f>co2e_mt!L15</f>
        <v>0.56519289960000829</v>
      </c>
      <c r="P15" s="7">
        <f>co2e_mt!P15</f>
        <v>7.3726884000000104E-2</v>
      </c>
    </row>
    <row r="16" spans="1:16" x14ac:dyDescent="0.3">
      <c r="A16" s="6" t="s">
        <v>245</v>
      </c>
      <c r="B16" s="11">
        <f>co2e_mt!S16</f>
        <v>1.7449038874100005</v>
      </c>
      <c r="C16" s="2">
        <f>geracao_mwh!D16</f>
        <v>3730.2999999999997</v>
      </c>
      <c r="D16" s="2">
        <f>geracao_mwh!E16</f>
        <v>586966.69999999891</v>
      </c>
      <c r="E16" s="2">
        <f>geracao_mwh!F16</f>
        <v>0</v>
      </c>
      <c r="F16" s="2">
        <f>geracao_mwh!G16</f>
        <v>0</v>
      </c>
      <c r="G16" s="2">
        <f>geracao_mwh!H16</f>
        <v>956483.5</v>
      </c>
      <c r="H16" s="2">
        <f>geracao_mwh!I16</f>
        <v>29808605.200000066</v>
      </c>
      <c r="I16" s="2">
        <f>geracao_mwh!J16</f>
        <v>0</v>
      </c>
      <c r="J16" s="2">
        <f>geracao_mwh!K16</f>
        <v>1273550.0700000019</v>
      </c>
      <c r="K16" s="2">
        <f>geracao_mwh!L16</f>
        <v>59248.100000000049</v>
      </c>
      <c r="L16" s="2">
        <f>geracao_mwh!M16</f>
        <v>0</v>
      </c>
      <c r="M16" s="7">
        <f>co2e_mt!H16</f>
        <v>1.6750126510000025E-2</v>
      </c>
      <c r="N16" s="7">
        <f>co2e_mt!K16</f>
        <v>1.0524046476999989</v>
      </c>
      <c r="O16" s="7">
        <f>co2e_mt!L16</f>
        <v>0.62598070920000137</v>
      </c>
      <c r="P16" s="7">
        <f>co2e_mt!P16</f>
        <v>4.9768404000000044E-2</v>
      </c>
    </row>
    <row r="17" spans="1:16" x14ac:dyDescent="0.3">
      <c r="A17" s="6" t="s">
        <v>246</v>
      </c>
      <c r="B17" s="11">
        <f>co2e_mt!S17</f>
        <v>1.7109226421600052</v>
      </c>
      <c r="C17" s="2">
        <f>geracao_mwh!D17</f>
        <v>2880</v>
      </c>
      <c r="D17" s="2">
        <f>geracao_mwh!E17</f>
        <v>589966.09999999823</v>
      </c>
      <c r="E17" s="2">
        <f>geracao_mwh!F17</f>
        <v>0</v>
      </c>
      <c r="F17" s="2">
        <f>geracao_mwh!G17</f>
        <v>0</v>
      </c>
      <c r="G17" s="2">
        <f>geracao_mwh!H17</f>
        <v>896897.88</v>
      </c>
      <c r="H17" s="2">
        <f>geracao_mwh!I17</f>
        <v>28110677.320000339</v>
      </c>
      <c r="I17" s="2">
        <f>geracao_mwh!J17</f>
        <v>0</v>
      </c>
      <c r="J17" s="2">
        <f>geracao_mwh!K17</f>
        <v>826548.82000000088</v>
      </c>
      <c r="K17" s="2">
        <f>geracao_mwh!L17</f>
        <v>99113.199999999895</v>
      </c>
      <c r="L17" s="2">
        <f>geracao_mwh!M17</f>
        <v>0</v>
      </c>
      <c r="M17" s="7">
        <f>co2e_mt!H17</f>
        <v>1.0894894660000012E-2</v>
      </c>
      <c r="N17" s="7">
        <f>co2e_mt!K17</f>
        <v>1.0264484357799981</v>
      </c>
      <c r="O17" s="7">
        <f>co2e_mt!L17</f>
        <v>0.59032422372000704</v>
      </c>
      <c r="P17" s="7">
        <f>co2e_mt!P17</f>
        <v>8.3255087999999908E-2</v>
      </c>
    </row>
    <row r="18" spans="1:16" x14ac:dyDescent="0.3">
      <c r="A18" s="6" t="s">
        <v>247</v>
      </c>
      <c r="B18" s="11">
        <f>co2e_mt!S18</f>
        <v>1.8054715263500083</v>
      </c>
      <c r="C18" s="2">
        <f>geracao_mwh!D18</f>
        <v>5385.4999999999982</v>
      </c>
      <c r="D18" s="2">
        <f>geracao_mwh!E18</f>
        <v>618171.30000000191</v>
      </c>
      <c r="E18" s="2">
        <f>geracao_mwh!F18</f>
        <v>0</v>
      </c>
      <c r="F18" s="2">
        <f>geracao_mwh!G18</f>
        <v>0</v>
      </c>
      <c r="G18" s="2">
        <f>geracao_mwh!H18</f>
        <v>1025980.4999999991</v>
      </c>
      <c r="H18" s="2">
        <f>geracao_mwh!I18</f>
        <v>26629075.960000318</v>
      </c>
      <c r="I18" s="2">
        <f>geracao_mwh!J18</f>
        <v>0</v>
      </c>
      <c r="J18" s="2">
        <f>geracao_mwh!K18</f>
        <v>789544.52999999945</v>
      </c>
      <c r="K18" s="2">
        <f>geracao_mwh!L18</f>
        <v>140834.3000000001</v>
      </c>
      <c r="L18" s="2">
        <f>geracao_mwh!M18</f>
        <v>0</v>
      </c>
      <c r="M18" s="7">
        <f>co2e_mt!H18</f>
        <v>1.0544124889999992E-2</v>
      </c>
      <c r="N18" s="7">
        <f>co2e_mt!K18</f>
        <v>1.1174159943000015</v>
      </c>
      <c r="O18" s="7">
        <f>co2e_mt!L18</f>
        <v>0.5592105951600066</v>
      </c>
      <c r="P18" s="7">
        <f>co2e_mt!P18</f>
        <v>0.1183008120000001</v>
      </c>
    </row>
    <row r="19" spans="1:16" x14ac:dyDescent="0.3">
      <c r="A19" s="6" t="s">
        <v>248</v>
      </c>
      <c r="B19" s="11">
        <f>co2e_mt!S19</f>
        <v>1.5756428864899985</v>
      </c>
      <c r="C19" s="2">
        <f>geracao_mwh!D19</f>
        <v>14169.000000000004</v>
      </c>
      <c r="D19" s="2">
        <f>geracao_mwh!E19</f>
        <v>582638.39999999769</v>
      </c>
      <c r="E19" s="2">
        <f>geracao_mwh!F19</f>
        <v>0</v>
      </c>
      <c r="F19" s="2">
        <f>geracao_mwh!G19</f>
        <v>0</v>
      </c>
      <c r="G19" s="2">
        <f>geracao_mwh!H19</f>
        <v>885022.69999999763</v>
      </c>
      <c r="H19" s="2">
        <f>geracao_mwh!I19</f>
        <v>20979293.820000086</v>
      </c>
      <c r="I19" s="2">
        <f>geracao_mwh!J19</f>
        <v>0</v>
      </c>
      <c r="J19" s="2">
        <f>geracao_mwh!K19</f>
        <v>1172934.5899999978</v>
      </c>
      <c r="K19" s="2">
        <f>geracao_mwh!L19</f>
        <v>125893.70000000001</v>
      </c>
      <c r="L19" s="2">
        <f>geracao_mwh!M19</f>
        <v>0</v>
      </c>
      <c r="M19" s="7">
        <f>co2e_mt!H19</f>
        <v>1.598493766999997E-2</v>
      </c>
      <c r="N19" s="7">
        <f>co2e_mt!K19</f>
        <v>1.0133420705999967</v>
      </c>
      <c r="O19" s="7">
        <f>co2e_mt!L19</f>
        <v>0.44056517022000186</v>
      </c>
      <c r="P19" s="7">
        <f>co2e_mt!P19</f>
        <v>0.10575070800000001</v>
      </c>
    </row>
    <row r="20" spans="1:16" x14ac:dyDescent="0.3">
      <c r="A20" s="6" t="s">
        <v>249</v>
      </c>
      <c r="B20" s="11">
        <f>co2e_mt!S20</f>
        <v>1.4352194427499934</v>
      </c>
      <c r="C20" s="2">
        <f>geracao_mwh!D20</f>
        <v>5460.0999999999995</v>
      </c>
      <c r="D20" s="2">
        <f>geracao_mwh!E20</f>
        <v>451318.89999999985</v>
      </c>
      <c r="E20" s="2">
        <f>geracao_mwh!F20</f>
        <v>0</v>
      </c>
      <c r="F20" s="2">
        <f>geracao_mwh!G20</f>
        <v>0</v>
      </c>
      <c r="G20" s="2">
        <f>geracao_mwh!H20</f>
        <v>897429.09999999928</v>
      </c>
      <c r="H20" s="2">
        <f>geracao_mwh!I20</f>
        <v>21521666.609999713</v>
      </c>
      <c r="I20" s="2">
        <f>geracao_mwh!J20</f>
        <v>0</v>
      </c>
      <c r="J20" s="2">
        <f>geracao_mwh!K20</f>
        <v>1442627.4799999995</v>
      </c>
      <c r="K20" s="2">
        <f>geracao_mwh!L20</f>
        <v>90839.999999999927</v>
      </c>
      <c r="L20" s="2">
        <f>geracao_mwh!M20</f>
        <v>0</v>
      </c>
      <c r="M20" s="7">
        <f>co2e_mt!H20</f>
        <v>1.9038082439999993E-2</v>
      </c>
      <c r="N20" s="7">
        <f>co2e_mt!K20</f>
        <v>0.88792076149999943</v>
      </c>
      <c r="O20" s="7">
        <f>co2e_mt!L20</f>
        <v>0.45195499880999401</v>
      </c>
      <c r="P20" s="7">
        <f>co2e_mt!P20</f>
        <v>7.6305599999999946E-2</v>
      </c>
    </row>
    <row r="21" spans="1:16" x14ac:dyDescent="0.3">
      <c r="A21" s="6" t="s">
        <v>250</v>
      </c>
      <c r="B21" s="11">
        <f>co2e_mt!S21</f>
        <v>1.5970194378100031</v>
      </c>
      <c r="C21" s="2">
        <f>geracao_mwh!D21</f>
        <v>4617.9999999999991</v>
      </c>
      <c r="D21" s="2">
        <f>geracao_mwh!E21</f>
        <v>497269.40000000026</v>
      </c>
      <c r="E21" s="2">
        <f>geracao_mwh!F21</f>
        <v>0</v>
      </c>
      <c r="F21" s="2">
        <f>geracao_mwh!G21</f>
        <v>0</v>
      </c>
      <c r="G21" s="2">
        <f>geracao_mwh!H21</f>
        <v>1113643</v>
      </c>
      <c r="H21" s="2">
        <f>geracao_mwh!I21</f>
        <v>21557366.200000145</v>
      </c>
      <c r="I21" s="2">
        <f>geracao_mwh!J21</f>
        <v>0</v>
      </c>
      <c r="J21" s="2">
        <f>geracao_mwh!K21</f>
        <v>1421286.1700000013</v>
      </c>
      <c r="K21" s="2">
        <f>geracao_mwh!L21</f>
        <v>103096.09999999995</v>
      </c>
      <c r="L21" s="2">
        <f>geracao_mwh!M21</f>
        <v>0</v>
      </c>
      <c r="M21" s="7">
        <f>co2e_mt!H21</f>
        <v>1.8716856210000018E-2</v>
      </c>
      <c r="N21" s="7">
        <f>co2e_mt!K21</f>
        <v>1.0389971674000003</v>
      </c>
      <c r="O21" s="7">
        <f>co2e_mt!L21</f>
        <v>0.45270469020000303</v>
      </c>
      <c r="P21" s="7">
        <f>co2e_mt!P21</f>
        <v>8.6600723999999948E-2</v>
      </c>
    </row>
    <row r="22" spans="1:16" x14ac:dyDescent="0.3">
      <c r="A22" s="6" t="s">
        <v>251</v>
      </c>
      <c r="B22" s="11">
        <f>co2e_mt!S22</f>
        <v>1.5740798072099973</v>
      </c>
      <c r="C22" s="2">
        <f>geracao_mwh!D22</f>
        <v>5178</v>
      </c>
      <c r="D22" s="2">
        <f>geracao_mwh!E22</f>
        <v>531253.09999999881</v>
      </c>
      <c r="E22" s="2">
        <f>geracao_mwh!F22</f>
        <v>0</v>
      </c>
      <c r="F22" s="2">
        <f>geracao_mwh!G22</f>
        <v>0</v>
      </c>
      <c r="G22" s="2">
        <f>geracao_mwh!H22</f>
        <v>1045652.8700000014</v>
      </c>
      <c r="H22" s="2">
        <f>geracao_mwh!I22</f>
        <v>20601601.199999902</v>
      </c>
      <c r="I22" s="2">
        <f>geracao_mwh!J22</f>
        <v>0</v>
      </c>
      <c r="J22" s="2">
        <f>geracao_mwh!K22</f>
        <v>1409582.9299999934</v>
      </c>
      <c r="K22" s="2">
        <f>geracao_mwh!L22</f>
        <v>98667.5</v>
      </c>
      <c r="L22" s="2">
        <f>geracao_mwh!M22</f>
        <v>0</v>
      </c>
      <c r="M22" s="7">
        <f>co2e_mt!H22</f>
        <v>1.859383408999991E-2</v>
      </c>
      <c r="N22" s="7">
        <f>co2e_mt!K22</f>
        <v>1.0399716479199994</v>
      </c>
      <c r="O22" s="7">
        <f>co2e_mt!L22</f>
        <v>0.43263362519999793</v>
      </c>
      <c r="P22" s="7">
        <f>co2e_mt!P22</f>
        <v>8.2880700000000002E-2</v>
      </c>
    </row>
    <row r="23" spans="1:16" x14ac:dyDescent="0.3">
      <c r="A23" s="6" t="s">
        <v>252</v>
      </c>
      <c r="B23" s="11">
        <f>co2e_mt!S23</f>
        <v>1.5013437055870038</v>
      </c>
      <c r="C23" s="2">
        <f>geracao_mwh!D23</f>
        <v>3891.2999999999997</v>
      </c>
      <c r="D23" s="2">
        <f>geracao_mwh!E23</f>
        <v>387752.89999999997</v>
      </c>
      <c r="E23" s="2">
        <f>geracao_mwh!F23</f>
        <v>0</v>
      </c>
      <c r="F23" s="2">
        <f>geracao_mwh!G23</f>
        <v>0</v>
      </c>
      <c r="G23" s="2">
        <f>geracao_mwh!H23</f>
        <v>1113950.810000004</v>
      </c>
      <c r="H23" s="2">
        <f>geracao_mwh!I23</f>
        <v>22637673.530000091</v>
      </c>
      <c r="I23" s="2">
        <f>geracao_mwh!J23</f>
        <v>0</v>
      </c>
      <c r="J23" s="2">
        <f>geracao_mwh!K23</f>
        <v>1441180.8690000011</v>
      </c>
      <c r="K23" s="2">
        <f>geracao_mwh!L23</f>
        <v>92254.900000000038</v>
      </c>
      <c r="L23" s="2">
        <f>geracao_mwh!M23</f>
        <v>0</v>
      </c>
      <c r="M23" s="7">
        <f>co2e_mt!H23</f>
        <v>1.8937698897000015E-2</v>
      </c>
      <c r="N23" s="7">
        <f>co2e_mt!K23</f>
        <v>0.92952074656000194</v>
      </c>
      <c r="O23" s="7">
        <f>co2e_mt!L23</f>
        <v>0.47539114413000194</v>
      </c>
      <c r="P23" s="7">
        <f>co2e_mt!P23</f>
        <v>7.749411600000003E-2</v>
      </c>
    </row>
    <row r="24" spans="1:16" x14ac:dyDescent="0.3">
      <c r="A24" s="6" t="s">
        <v>253</v>
      </c>
      <c r="B24" s="11">
        <f>co2e_mt!S24</f>
        <v>1.6388391209999984</v>
      </c>
      <c r="C24" s="2">
        <f>geracao_mwh!D24</f>
        <v>3696.5</v>
      </c>
      <c r="D24" s="2">
        <f>geracao_mwh!E24</f>
        <v>434831.09999999742</v>
      </c>
      <c r="E24" s="2">
        <f>geracao_mwh!F24</f>
        <v>0</v>
      </c>
      <c r="F24" s="2">
        <f>geracao_mwh!G24</f>
        <v>0</v>
      </c>
      <c r="G24" s="2">
        <f>geracao_mwh!H24</f>
        <v>1324028.1200000062</v>
      </c>
      <c r="H24" s="2">
        <f>geracao_mwh!I24</f>
        <v>22074553.539999917</v>
      </c>
      <c r="I24" s="2">
        <f>geracao_mwh!J24</f>
        <v>0</v>
      </c>
      <c r="J24" s="2">
        <f>geracao_mwh!K24</f>
        <v>1069831.4800000032</v>
      </c>
      <c r="K24" s="2">
        <f>geracao_mwh!L24</f>
        <v>98130.79999999977</v>
      </c>
      <c r="L24" s="2">
        <f>geracao_mwh!M24</f>
        <v>0</v>
      </c>
      <c r="M24" s="7">
        <f>co2e_mt!H24</f>
        <v>1.4100027240000042E-2</v>
      </c>
      <c r="N24" s="7">
        <f>co2e_mt!K24</f>
        <v>1.0787435974200004</v>
      </c>
      <c r="O24" s="7">
        <f>co2e_mt!L24</f>
        <v>0.46356562433999821</v>
      </c>
      <c r="P24" s="7">
        <f>co2e_mt!P24</f>
        <v>8.2429871999999821E-2</v>
      </c>
    </row>
    <row r="25" spans="1:16" x14ac:dyDescent="0.3">
      <c r="A25" s="6" t="s">
        <v>254</v>
      </c>
      <c r="B25" s="11">
        <f>co2e_mt!S25</f>
        <v>1.6513307165999946</v>
      </c>
      <c r="C25" s="2">
        <f>geracao_mwh!D25</f>
        <v>3614.5</v>
      </c>
      <c r="D25" s="2">
        <f>geracao_mwh!E25</f>
        <v>448494.29999999993</v>
      </c>
      <c r="E25" s="2">
        <f>geracao_mwh!F25</f>
        <v>0</v>
      </c>
      <c r="F25" s="2">
        <f>geracao_mwh!G25</f>
        <v>0</v>
      </c>
      <c r="G25" s="2">
        <f>geracao_mwh!H25</f>
        <v>1306114.78</v>
      </c>
      <c r="H25" s="2">
        <f>geracao_mwh!I25</f>
        <v>22629794.839999739</v>
      </c>
      <c r="I25" s="2">
        <f>geracao_mwh!J25</f>
        <v>0</v>
      </c>
      <c r="J25" s="2">
        <f>geracao_mwh!K25</f>
        <v>1380725.6599999974</v>
      </c>
      <c r="K25" s="2">
        <f>geracao_mwh!L25</f>
        <v>88396.500000000116</v>
      </c>
      <c r="L25" s="2">
        <f>geracao_mwh!M25</f>
        <v>0</v>
      </c>
      <c r="M25" s="7">
        <f>co2e_mt!H25</f>
        <v>1.8137387579999966E-2</v>
      </c>
      <c r="N25" s="7">
        <f>co2e_mt!K25</f>
        <v>1.0837145773799999</v>
      </c>
      <c r="O25" s="7">
        <f>co2e_mt!L25</f>
        <v>0.47522569163999456</v>
      </c>
      <c r="P25" s="7">
        <f>co2e_mt!P25</f>
        <v>7.4253060000000107E-2</v>
      </c>
    </row>
    <row r="26" spans="1:16" x14ac:dyDescent="0.3">
      <c r="A26" s="6" t="s">
        <v>255</v>
      </c>
      <c r="B26" s="11">
        <f>co2e_mt!S26</f>
        <v>1.7010851522899904</v>
      </c>
      <c r="C26" s="2">
        <f>geracao_mwh!D26</f>
        <v>3720</v>
      </c>
      <c r="D26" s="2">
        <f>geracao_mwh!E26</f>
        <v>481468.30000000051</v>
      </c>
      <c r="E26" s="2">
        <f>geracao_mwh!F26</f>
        <v>0</v>
      </c>
      <c r="F26" s="2">
        <f>geracao_mwh!G26</f>
        <v>0</v>
      </c>
      <c r="G26" s="2">
        <f>geracao_mwh!H26</f>
        <v>1303040.2099999941</v>
      </c>
      <c r="H26" s="2">
        <f>geracao_mwh!I26</f>
        <v>23635930.779999651</v>
      </c>
      <c r="I26" s="2">
        <f>geracao_mwh!J26</f>
        <v>0</v>
      </c>
      <c r="J26" s="2">
        <f>geracao_mwh!K26</f>
        <v>1278871.3500000006</v>
      </c>
      <c r="K26" s="2">
        <f>geracao_mwh!L26</f>
        <v>86529.199999999924</v>
      </c>
      <c r="L26" s="2">
        <f>geracao_mwh!M26</f>
        <v>0</v>
      </c>
      <c r="M26" s="7">
        <f>co2e_mt!H26</f>
        <v>1.6818767550000006E-2</v>
      </c>
      <c r="N26" s="7">
        <f>co2e_mt!K26</f>
        <v>1.1152273103599977</v>
      </c>
      <c r="O26" s="7">
        <f>co2e_mt!L26</f>
        <v>0.49635454637999271</v>
      </c>
      <c r="P26" s="7">
        <f>co2e_mt!P26</f>
        <v>7.2684527999999943E-2</v>
      </c>
    </row>
    <row r="27" spans="1:16" x14ac:dyDescent="0.3">
      <c r="A27" s="6" t="s">
        <v>256</v>
      </c>
      <c r="B27" s="11">
        <f>co2e_mt!S27</f>
        <v>1.4591419270099941</v>
      </c>
      <c r="C27" s="2">
        <f>geracao_mwh!D27</f>
        <v>3360</v>
      </c>
      <c r="D27" s="2">
        <f>geracao_mwh!E27</f>
        <v>466962.69999999902</v>
      </c>
      <c r="E27" s="2">
        <f>geracao_mwh!F27</f>
        <v>0</v>
      </c>
      <c r="F27" s="2">
        <f>geracao_mwh!G27</f>
        <v>0</v>
      </c>
      <c r="G27" s="2">
        <f>geracao_mwh!H27</f>
        <v>969507.0700000003</v>
      </c>
      <c r="H27" s="2">
        <f>geracao_mwh!I27</f>
        <v>22632634.709999751</v>
      </c>
      <c r="I27" s="2">
        <f>geracao_mwh!J27</f>
        <v>0</v>
      </c>
      <c r="J27" s="2">
        <f>geracao_mwh!K27</f>
        <v>1206064.2600000033</v>
      </c>
      <c r="K27" s="2">
        <f>geracao_mwh!L27</f>
        <v>34628.000000000007</v>
      </c>
      <c r="L27" s="2">
        <f>geracao_mwh!M27</f>
        <v>363.6</v>
      </c>
      <c r="M27" s="7">
        <f>co2e_mt!H27</f>
        <v>1.5853555380000044E-2</v>
      </c>
      <c r="N27" s="7">
        <f>co2e_mt!K27</f>
        <v>0.93861009871999923</v>
      </c>
      <c r="O27" s="7">
        <f>co2e_mt!L27</f>
        <v>0.47528532890999481</v>
      </c>
      <c r="P27" s="7">
        <f>co2e_mt!P27</f>
        <v>2.9392944000000008E-2</v>
      </c>
    </row>
    <row r="28" spans="1:16" x14ac:dyDescent="0.3">
      <c r="A28" s="6" t="s">
        <v>257</v>
      </c>
      <c r="B28" s="11">
        <f>co2e_mt!S28</f>
        <v>1.7593559166400199</v>
      </c>
      <c r="C28" s="2">
        <f>geracao_mwh!D28</f>
        <v>3883.0999999999995</v>
      </c>
      <c r="D28" s="2">
        <f>geracao_mwh!E28</f>
        <v>558895.60000000149</v>
      </c>
      <c r="E28" s="2">
        <f>geracao_mwh!F28</f>
        <v>0</v>
      </c>
      <c r="F28" s="2">
        <f>geracao_mwh!G28</f>
        <v>0</v>
      </c>
      <c r="G28" s="2">
        <f>geracao_mwh!H28</f>
        <v>1248862.9800000079</v>
      </c>
      <c r="H28" s="2">
        <f>geracao_mwh!I28</f>
        <v>27235627.690000687</v>
      </c>
      <c r="I28" s="2">
        <f>geracao_mwh!J28</f>
        <v>0</v>
      </c>
      <c r="J28" s="2">
        <f>geracao_mwh!K28</f>
        <v>637968.9899999979</v>
      </c>
      <c r="K28" s="2">
        <f>geracao_mwh!L28</f>
        <v>14770.2</v>
      </c>
      <c r="L28" s="2">
        <f>geracao_mwh!M28</f>
        <v>123.03</v>
      </c>
      <c r="M28" s="7">
        <f>co2e_mt!H28</f>
        <v>8.4955180699999716E-3</v>
      </c>
      <c r="N28" s="7">
        <f>co2e_mt!K28</f>
        <v>1.1664019038800053</v>
      </c>
      <c r="O28" s="7">
        <f>co2e_mt!L28</f>
        <v>0.57194818149001436</v>
      </c>
      <c r="P28" s="7">
        <f>co2e_mt!P28</f>
        <v>1.2510313200000001E-2</v>
      </c>
    </row>
    <row r="29" spans="1:16" x14ac:dyDescent="0.3">
      <c r="A29" s="6" t="s">
        <v>258</v>
      </c>
      <c r="B29" s="11">
        <f>co2e_mt!S29</f>
        <v>1.5985487249239965</v>
      </c>
      <c r="C29" s="2">
        <f>geracao_mwh!D29</f>
        <v>3600</v>
      </c>
      <c r="D29" s="2">
        <f>geracao_mwh!E29</f>
        <v>451231.59999999945</v>
      </c>
      <c r="E29" s="2">
        <f>geracao_mwh!F29</f>
        <v>0</v>
      </c>
      <c r="F29" s="2">
        <f>geracao_mwh!G29</f>
        <v>0</v>
      </c>
      <c r="G29" s="2">
        <f>geracao_mwh!H29</f>
        <v>1140688.1699999978</v>
      </c>
      <c r="H29" s="2">
        <f>geracao_mwh!I29</f>
        <v>26537238.599999901</v>
      </c>
      <c r="I29" s="2">
        <f>geracao_mwh!J29</f>
        <v>0</v>
      </c>
      <c r="J29" s="2">
        <f>geracao_mwh!K29</f>
        <v>1143621.9000000039</v>
      </c>
      <c r="K29" s="2">
        <f>geracao_mwh!L29</f>
        <v>22601.000000000025</v>
      </c>
      <c r="L29" s="2">
        <f>geracao_mwh!M29</f>
        <v>1393.2231000000006</v>
      </c>
      <c r="M29" s="7">
        <f>co2e_mt!H29</f>
        <v>1.505428470000005E-2</v>
      </c>
      <c r="N29" s="7">
        <f>co2e_mt!K29</f>
        <v>1.0060572822199982</v>
      </c>
      <c r="O29" s="7">
        <f>co2e_mt!L29</f>
        <v>0.55728201059999793</v>
      </c>
      <c r="P29" s="7">
        <f>co2e_mt!P29</f>
        <v>2.0155147404000023E-2</v>
      </c>
    </row>
    <row r="30" spans="1:16" x14ac:dyDescent="0.3">
      <c r="A30" s="6" t="s">
        <v>259</v>
      </c>
      <c r="B30" s="11">
        <f>co2e_mt!S30</f>
        <v>1.5757147704420027</v>
      </c>
      <c r="C30" s="2">
        <f>geracao_mwh!D30</f>
        <v>3636.8</v>
      </c>
      <c r="D30" s="2">
        <f>geracao_mwh!E30</f>
        <v>406472.20000000024</v>
      </c>
      <c r="E30" s="2">
        <f>geracao_mwh!F30</f>
        <v>0</v>
      </c>
      <c r="F30" s="2">
        <f>geracao_mwh!G30</f>
        <v>0</v>
      </c>
      <c r="G30" s="2">
        <f>geracao_mwh!H30</f>
        <v>1178954.6069999975</v>
      </c>
      <c r="H30" s="2">
        <f>geracao_mwh!I30</f>
        <v>26104956.66000016</v>
      </c>
      <c r="I30" s="2">
        <f>geracao_mwh!J30</f>
        <v>0</v>
      </c>
      <c r="J30" s="2">
        <f>geracao_mwh!K30</f>
        <v>1367538.2600000037</v>
      </c>
      <c r="K30" s="2">
        <f>geracao_mwh!L30</f>
        <v>34783.199999999968</v>
      </c>
      <c r="L30" s="2">
        <f>geracao_mwh!M30</f>
        <v>565.55999999999972</v>
      </c>
      <c r="M30" s="7">
        <f>co2e_mt!H30</f>
        <v>1.7967110980000048E-2</v>
      </c>
      <c r="N30" s="7">
        <f>co2e_mt!K30</f>
        <v>0.97985061120199912</v>
      </c>
      <c r="O30" s="7">
        <f>co2e_mt!L30</f>
        <v>0.54820408986000335</v>
      </c>
      <c r="P30" s="7">
        <f>co2e_mt!P30</f>
        <v>2.9692958399999973E-2</v>
      </c>
    </row>
    <row r="31" spans="1:16" x14ac:dyDescent="0.3">
      <c r="A31" s="6" t="s">
        <v>260</v>
      </c>
      <c r="B31" s="11">
        <f>co2e_mt!S31</f>
        <v>1.4896428963966062</v>
      </c>
      <c r="C31" s="2">
        <f>geracao_mwh!D31</f>
        <v>3286.7</v>
      </c>
      <c r="D31" s="2">
        <f>geracao_mwh!E31</f>
        <v>435733.70000000013</v>
      </c>
      <c r="E31" s="2">
        <f>geracao_mwh!F31</f>
        <v>0</v>
      </c>
      <c r="F31" s="2">
        <f>geracao_mwh!G31</f>
        <v>0</v>
      </c>
      <c r="G31" s="2">
        <f>geracao_mwh!H31</f>
        <v>977444.44810000213</v>
      </c>
      <c r="H31" s="2">
        <f>geracao_mwh!I31</f>
        <v>25161253.830000233</v>
      </c>
      <c r="I31" s="2">
        <f>geracao_mwh!J31</f>
        <v>0</v>
      </c>
      <c r="J31" s="2">
        <f>geracao_mwh!K31</f>
        <v>1305149.7300000002</v>
      </c>
      <c r="K31" s="2">
        <f>geracao_mwh!L31</f>
        <v>38599.69999999999</v>
      </c>
      <c r="L31" s="2">
        <f>geracao_mwh!M31</f>
        <v>580.39</v>
      </c>
      <c r="M31" s="7">
        <f>co2e_mt!H31</f>
        <v>1.7137854890000002E-2</v>
      </c>
      <c r="N31" s="7">
        <f>co2e_mt!K31</f>
        <v>0.9112074354766011</v>
      </c>
      <c r="O31" s="7">
        <f>co2e_mt!L31</f>
        <v>0.52838633043000494</v>
      </c>
      <c r="P31" s="7">
        <f>co2e_mt!P31</f>
        <v>3.2911275599999998E-2</v>
      </c>
    </row>
    <row r="32" spans="1:16" x14ac:dyDescent="0.3">
      <c r="A32" s="6" t="s">
        <v>261</v>
      </c>
      <c r="B32" s="11">
        <f>co2e_mt!S32</f>
        <v>1.4851351378640032</v>
      </c>
      <c r="C32" s="2">
        <f>geracao_mwh!D32</f>
        <v>2212.8000000000002</v>
      </c>
      <c r="D32" s="2">
        <f>geracao_mwh!E32</f>
        <v>434330.10000000219</v>
      </c>
      <c r="E32" s="2">
        <f>geracao_mwh!F32</f>
        <v>0</v>
      </c>
      <c r="F32" s="2">
        <f>geracao_mwh!G32</f>
        <v>0</v>
      </c>
      <c r="G32" s="2">
        <f>geracao_mwh!H32</f>
        <v>934996.96399999049</v>
      </c>
      <c r="H32" s="2">
        <f>geracao_mwh!I32</f>
        <v>26105915.970000271</v>
      </c>
      <c r="I32" s="2">
        <f>geracao_mwh!J32</f>
        <v>0</v>
      </c>
      <c r="J32" s="2">
        <f>geracao_mwh!K32</f>
        <v>1213972.4899999972</v>
      </c>
      <c r="K32" s="2">
        <f>geracao_mwh!L32</f>
        <v>37569.019999999968</v>
      </c>
      <c r="L32" s="2">
        <f>geracao_mwh!M32</f>
        <v>337.21800000000007</v>
      </c>
      <c r="M32" s="7">
        <f>co2e_mt!H32</f>
        <v>1.5896707969999962E-2</v>
      </c>
      <c r="N32" s="7">
        <f>co2e_mt!K32</f>
        <v>0.88917295460399759</v>
      </c>
      <c r="O32" s="7">
        <f>co2e_mt!L32</f>
        <v>0.54822423537000564</v>
      </c>
      <c r="P32" s="7">
        <f>co2e_mt!P32</f>
        <v>3.1841239919999972E-2</v>
      </c>
    </row>
    <row r="33" spans="1:16" x14ac:dyDescent="0.3">
      <c r="A33" s="6" t="s">
        <v>262</v>
      </c>
      <c r="B33" s="11">
        <f>co2e_mt!S33</f>
        <v>1.4798891679719965</v>
      </c>
      <c r="C33" s="2">
        <f>geracao_mwh!D33</f>
        <v>240</v>
      </c>
      <c r="D33" s="2">
        <f>geracao_mwh!E33</f>
        <v>352267.70000000019</v>
      </c>
      <c r="E33" s="2">
        <f>geracao_mwh!F33</f>
        <v>0</v>
      </c>
      <c r="F33" s="2">
        <f>geracao_mwh!G33</f>
        <v>0</v>
      </c>
      <c r="G33" s="2">
        <f>geracao_mwh!H33</f>
        <v>1055124.0899999966</v>
      </c>
      <c r="H33" s="2">
        <f>geracao_mwh!I33</f>
        <v>27187482.969999909</v>
      </c>
      <c r="I33" s="2">
        <f>geracao_mwh!J33</f>
        <v>0</v>
      </c>
      <c r="J33" s="2">
        <f>geracao_mwh!K33</f>
        <v>963706.73000000103</v>
      </c>
      <c r="K33" s="2">
        <f>geracao_mwh!L33</f>
        <v>36905.099999999969</v>
      </c>
      <c r="L33" s="2">
        <f>geracao_mwh!M33</f>
        <v>0.95079999999999998</v>
      </c>
      <c r="M33" s="7">
        <f>co2e_mt!H33</f>
        <v>1.2540667490000015E-2</v>
      </c>
      <c r="N33" s="7">
        <f>co2e_mt!K33</f>
        <v>0.8654102754399986</v>
      </c>
      <c r="O33" s="7">
        <f>co2e_mt!L33</f>
        <v>0.57093714236999804</v>
      </c>
      <c r="P33" s="7">
        <f>co2e_mt!P33</f>
        <v>3.1001082671999972E-2</v>
      </c>
    </row>
    <row r="34" spans="1:16" x14ac:dyDescent="0.3">
      <c r="A34" s="6" t="s">
        <v>263</v>
      </c>
      <c r="B34" s="11">
        <f>co2e_mt!S34</f>
        <v>1.4532864882799972</v>
      </c>
      <c r="C34" s="2">
        <f>geracao_mwh!D34</f>
        <v>0</v>
      </c>
      <c r="D34" s="2">
        <f>geracao_mwh!E34</f>
        <v>378167.99999999913</v>
      </c>
      <c r="E34" s="2">
        <f>geracao_mwh!F34</f>
        <v>0</v>
      </c>
      <c r="F34" s="2">
        <f>geracao_mwh!G34</f>
        <v>0</v>
      </c>
      <c r="G34" s="2">
        <f>geracao_mwh!H34</f>
        <v>997187.34000000043</v>
      </c>
      <c r="H34" s="2">
        <f>geracao_mwh!I34</f>
        <v>25885799.709999904</v>
      </c>
      <c r="I34" s="2">
        <f>geracao_mwh!J34</f>
        <v>0</v>
      </c>
      <c r="J34" s="2">
        <f>geracao_mwh!K34</f>
        <v>1155110.2099999995</v>
      </c>
      <c r="K34" s="2">
        <f>geracao_mwh!L34</f>
        <v>36681.939999999973</v>
      </c>
      <c r="L34" s="2">
        <f>geracao_mwh!M34</f>
        <v>805.02</v>
      </c>
      <c r="M34" s="7">
        <f>co2e_mt!H34</f>
        <v>1.5016432729999994E-2</v>
      </c>
      <c r="N34" s="7">
        <f>co2e_mt!K34</f>
        <v>0.8631792152399993</v>
      </c>
      <c r="O34" s="7">
        <f>co2e_mt!L34</f>
        <v>0.54360179390999797</v>
      </c>
      <c r="P34" s="7">
        <f>co2e_mt!P34</f>
        <v>3.148904639999997E-2</v>
      </c>
    </row>
    <row r="35" spans="1:16" x14ac:dyDescent="0.3">
      <c r="A35" s="6" t="s">
        <v>264</v>
      </c>
      <c r="B35" s="11">
        <f>co2e_mt!S35</f>
        <v>1.4721682124906079</v>
      </c>
      <c r="C35" s="2">
        <f>geracao_mwh!D35</f>
        <v>198.94000000000003</v>
      </c>
      <c r="D35" s="2">
        <f>geracao_mwh!E35</f>
        <v>376640.20000000054</v>
      </c>
      <c r="E35" s="2">
        <f>geracao_mwh!F35</f>
        <v>0</v>
      </c>
      <c r="F35" s="2">
        <f>geracao_mwh!G35</f>
        <v>0</v>
      </c>
      <c r="G35" s="2">
        <f>geracao_mwh!H35</f>
        <v>880828.57710000209</v>
      </c>
      <c r="H35" s="2">
        <f>geracao_mwh!I35</f>
        <v>28930453.430000309</v>
      </c>
      <c r="I35" s="2">
        <f>geracao_mwh!J35</f>
        <v>0</v>
      </c>
      <c r="J35" s="2">
        <f>geracao_mwh!K35</f>
        <v>1189988.8700000076</v>
      </c>
      <c r="K35" s="2">
        <f>geracao_mwh!L35</f>
        <v>38273.660000000018</v>
      </c>
      <c r="L35" s="2">
        <f>geracao_mwh!M35</f>
        <v>14165.579999999998</v>
      </c>
      <c r="M35" s="7">
        <f>co2e_mt!H35</f>
        <v>1.54802001900001E-2</v>
      </c>
      <c r="N35" s="7">
        <f>co2e_mt!K35</f>
        <v>0.80509952867060153</v>
      </c>
      <c r="O35" s="7">
        <f>co2e_mt!L35</f>
        <v>0.6075395220300065</v>
      </c>
      <c r="P35" s="7">
        <f>co2e_mt!P35</f>
        <v>4.4048961600000013E-2</v>
      </c>
    </row>
    <row r="36" spans="1:16" x14ac:dyDescent="0.3">
      <c r="A36" s="6" t="s">
        <v>265</v>
      </c>
      <c r="B36" s="11">
        <f>co2e_mt!S36</f>
        <v>1.2721723203100028</v>
      </c>
      <c r="C36" s="2">
        <f>geracao_mwh!D36</f>
        <v>720</v>
      </c>
      <c r="D36" s="2">
        <f>geracao_mwh!E36</f>
        <v>332669.29999999976</v>
      </c>
      <c r="E36" s="2">
        <f>geracao_mwh!F36</f>
        <v>0</v>
      </c>
      <c r="F36" s="2">
        <f>geracao_mwh!G36</f>
        <v>0</v>
      </c>
      <c r="G36" s="2">
        <f>geracao_mwh!H36</f>
        <v>603215.82000000437</v>
      </c>
      <c r="H36" s="2">
        <f>geracao_mwh!I36</f>
        <v>27809019.620000023</v>
      </c>
      <c r="I36" s="2">
        <f>geracao_mwh!J36</f>
        <v>0</v>
      </c>
      <c r="J36" s="2">
        <f>geracao_mwh!K36</f>
        <v>1135550.190000006</v>
      </c>
      <c r="K36" s="2">
        <f>geracao_mwh!L36</f>
        <v>38870.459999999985</v>
      </c>
      <c r="L36" s="2">
        <f>geracao_mwh!M36</f>
        <v>17341.990000000002</v>
      </c>
      <c r="M36" s="7">
        <f>co2e_mt!H36</f>
        <v>1.4799592470000077E-2</v>
      </c>
      <c r="N36" s="7">
        <f>co2e_mt!K36</f>
        <v>0.62616485782000186</v>
      </c>
      <c r="O36" s="7">
        <f>co2e_mt!L36</f>
        <v>0.58398941202000054</v>
      </c>
      <c r="P36" s="7">
        <f>co2e_mt!P36</f>
        <v>4.7218457999999991E-2</v>
      </c>
    </row>
    <row r="37" spans="1:16" x14ac:dyDescent="0.3">
      <c r="A37" s="6" t="s">
        <v>266</v>
      </c>
      <c r="B37" s="11">
        <f>co2e_mt!S37</f>
        <v>1.3017303409899996</v>
      </c>
      <c r="C37" s="2">
        <f>geracao_mwh!D37</f>
        <v>191.67999999999998</v>
      </c>
      <c r="D37" s="2">
        <f>geracao_mwh!E37</f>
        <v>361862.10000000102</v>
      </c>
      <c r="E37" s="2">
        <f>geracao_mwh!F37</f>
        <v>0</v>
      </c>
      <c r="F37" s="2">
        <f>geracao_mwh!G37</f>
        <v>0</v>
      </c>
      <c r="G37" s="2">
        <f>geracao_mwh!H37</f>
        <v>555175.14999999909</v>
      </c>
      <c r="H37" s="2">
        <f>geracao_mwh!I37</f>
        <v>28228199.489999954</v>
      </c>
      <c r="I37" s="2">
        <f>geracao_mwh!J37</f>
        <v>0</v>
      </c>
      <c r="J37" s="2">
        <f>geracao_mwh!K37</f>
        <v>1237623.1800000072</v>
      </c>
      <c r="K37" s="2">
        <f>geracao_mwh!L37</f>
        <v>35295.699999999997</v>
      </c>
      <c r="L37" s="2">
        <f>geracao_mwh!M37</f>
        <v>37085.249999999985</v>
      </c>
      <c r="M37" s="7">
        <f>co2e_mt!H37</f>
        <v>1.6099068700000094E-2</v>
      </c>
      <c r="N37" s="7">
        <f>co2e_mt!K37</f>
        <v>0.63203908500000061</v>
      </c>
      <c r="O37" s="7">
        <f>co2e_mt!L37</f>
        <v>0.59279218928999899</v>
      </c>
      <c r="P37" s="7">
        <f>co2e_mt!P37</f>
        <v>6.0799997999999994E-2</v>
      </c>
    </row>
    <row r="38" spans="1:16" x14ac:dyDescent="0.3">
      <c r="A38" s="6" t="s">
        <v>267</v>
      </c>
      <c r="B38" s="11">
        <f>co2e_mt!S38</f>
        <v>1.3340500621200004</v>
      </c>
      <c r="C38" s="2">
        <f>geracao_mwh!D38</f>
        <v>55.470000000000006</v>
      </c>
      <c r="D38" s="2">
        <f>geracao_mwh!E38</f>
        <v>363601.19999999856</v>
      </c>
      <c r="E38" s="2">
        <f>geracao_mwh!F38</f>
        <v>0</v>
      </c>
      <c r="F38" s="2">
        <f>geracao_mwh!G38</f>
        <v>0</v>
      </c>
      <c r="G38" s="2">
        <f>geracao_mwh!H38</f>
        <v>690795.24000000127</v>
      </c>
      <c r="H38" s="2">
        <f>geracao_mwh!I38</f>
        <v>28591271.680000052</v>
      </c>
      <c r="I38" s="2">
        <f>geracao_mwh!J38</f>
        <v>0</v>
      </c>
      <c r="J38" s="2">
        <f>geracao_mwh!K38</f>
        <v>1171615.9200000034</v>
      </c>
      <c r="K38" s="2">
        <f>geracao_mwh!L38</f>
        <v>22206.799999999977</v>
      </c>
      <c r="L38" s="2">
        <f>geracao_mwh!M38</f>
        <v>64.84</v>
      </c>
      <c r="M38" s="7">
        <f>co2e_mt!H38</f>
        <v>1.5233891400000043E-2</v>
      </c>
      <c r="N38" s="7">
        <f>co2e_mt!K38</f>
        <v>0.69969128783999923</v>
      </c>
      <c r="O38" s="7">
        <f>co2e_mt!L38</f>
        <v>0.60041670528000113</v>
      </c>
      <c r="P38" s="7">
        <f>co2e_mt!P38</f>
        <v>1.8708177599999983E-2</v>
      </c>
    </row>
    <row r="39" spans="1:16" x14ac:dyDescent="0.3">
      <c r="A39" s="6" t="s">
        <v>268</v>
      </c>
      <c r="B39" s="11">
        <f>co2e_mt!S39</f>
        <v>1.2999637969200002</v>
      </c>
      <c r="C39" s="2">
        <f>geracao_mwh!D39</f>
        <v>0</v>
      </c>
      <c r="D39" s="2">
        <f>geracao_mwh!E39</f>
        <v>368948.70000000054</v>
      </c>
      <c r="E39" s="2">
        <f>geracao_mwh!F39</f>
        <v>0</v>
      </c>
      <c r="F39" s="2">
        <f>geracao_mwh!G39</f>
        <v>0</v>
      </c>
      <c r="G39" s="2">
        <f>geracao_mwh!H39</f>
        <v>692801.44999999925</v>
      </c>
      <c r="H39" s="2">
        <f>geracao_mwh!I39</f>
        <v>27070140.959999993</v>
      </c>
      <c r="I39" s="2">
        <f>geracao_mwh!J39</f>
        <v>0</v>
      </c>
      <c r="J39" s="2">
        <f>geracao_mwh!K39</f>
        <v>1066026.7200000023</v>
      </c>
      <c r="K39" s="2">
        <f>geracao_mwh!L39</f>
        <v>0</v>
      </c>
      <c r="L39" s="2">
        <f>geracao_mwh!M39</f>
        <v>13825.399999999996</v>
      </c>
      <c r="M39" s="7">
        <f>co2e_mt!H39</f>
        <v>1.3858347360000028E-2</v>
      </c>
      <c r="N39" s="7">
        <f>co2e_mt!K39</f>
        <v>0.70601915340000021</v>
      </c>
      <c r="O39" s="7">
        <f>co2e_mt!L39</f>
        <v>0.56847296015999993</v>
      </c>
      <c r="P39" s="7">
        <f>co2e_mt!P39</f>
        <v>1.1613335999999997E-2</v>
      </c>
    </row>
    <row r="40" spans="1:16" x14ac:dyDescent="0.3">
      <c r="A40" s="6" t="s">
        <v>269</v>
      </c>
      <c r="B40" s="11">
        <f>co2e_mt!S40</f>
        <v>1.3612162187500076</v>
      </c>
      <c r="C40" s="2">
        <f>geracao_mwh!D40</f>
        <v>57.8</v>
      </c>
      <c r="D40" s="2">
        <f>geracao_mwh!E40</f>
        <v>429683.79999999964</v>
      </c>
      <c r="E40" s="2">
        <f>geracao_mwh!F40</f>
        <v>0</v>
      </c>
      <c r="F40" s="2">
        <f>geracao_mwh!G40</f>
        <v>0</v>
      </c>
      <c r="G40" s="2">
        <f>geracao_mwh!H40</f>
        <v>597972.87000000325</v>
      </c>
      <c r="H40" s="2">
        <f>geracao_mwh!I40</f>
        <v>29006180.700000294</v>
      </c>
      <c r="I40" s="2">
        <f>geracao_mwh!J40</f>
        <v>0</v>
      </c>
      <c r="J40" s="2">
        <f>geracao_mwh!K40</f>
        <v>1179884.9100000111</v>
      </c>
      <c r="K40" s="2">
        <f>geracao_mwh!L40</f>
        <v>470.76000000000005</v>
      </c>
      <c r="L40" s="2">
        <f>geracao_mwh!M40</f>
        <v>18596.640000000014</v>
      </c>
      <c r="M40" s="7">
        <f>co2e_mt!H40</f>
        <v>1.5341509430000145E-2</v>
      </c>
      <c r="N40" s="7">
        <f>co2e_mt!K40</f>
        <v>0.72072829862000121</v>
      </c>
      <c r="O40" s="7">
        <f>co2e_mt!L40</f>
        <v>0.60912979470000628</v>
      </c>
      <c r="P40" s="7">
        <f>co2e_mt!P40</f>
        <v>1.6016616000000015E-2</v>
      </c>
    </row>
    <row r="41" spans="1:16" x14ac:dyDescent="0.3">
      <c r="A41" s="6" t="s">
        <v>270</v>
      </c>
      <c r="B41" s="11">
        <f>co2e_mt!S41</f>
        <v>1.3632459016439968</v>
      </c>
      <c r="C41" s="2">
        <f>geracao_mwh!D41</f>
        <v>120</v>
      </c>
      <c r="D41" s="2">
        <f>geracao_mwh!E41</f>
        <v>434834.19999999949</v>
      </c>
      <c r="E41" s="2">
        <f>geracao_mwh!F41</f>
        <v>0</v>
      </c>
      <c r="F41" s="2">
        <f>geracao_mwh!G41</f>
        <v>0</v>
      </c>
      <c r="G41" s="2">
        <f>geracao_mwh!H41</f>
        <v>669313.65000000095</v>
      </c>
      <c r="H41" s="2">
        <f>geracao_mwh!I41</f>
        <v>28230909.583999846</v>
      </c>
      <c r="I41" s="2">
        <f>geracao_mwh!J41</f>
        <v>0</v>
      </c>
      <c r="J41" s="2">
        <f>geracao_mwh!K41</f>
        <v>734814.76000000199</v>
      </c>
      <c r="K41" s="2">
        <f>geracao_mwh!L41</f>
        <v>0</v>
      </c>
      <c r="L41" s="2">
        <f>geracao_mwh!M41</f>
        <v>336.30999999999995</v>
      </c>
      <c r="M41" s="7">
        <f>co2e_mt!H41</f>
        <v>9.5588318800000262E-3</v>
      </c>
      <c r="N41" s="7">
        <f>co2e_mt!K41</f>
        <v>0.76055546809999997</v>
      </c>
      <c r="O41" s="7">
        <f>co2e_mt!L41</f>
        <v>0.59284910126399681</v>
      </c>
      <c r="P41" s="7">
        <f>co2e_mt!P41</f>
        <v>2.8250039999999996E-4</v>
      </c>
    </row>
    <row r="42" spans="1:16" x14ac:dyDescent="0.3">
      <c r="A42" s="6" t="s">
        <v>271</v>
      </c>
      <c r="B42" s="11">
        <f>co2e_mt!S42</f>
        <v>1.3494021739580091</v>
      </c>
      <c r="C42" s="2">
        <f>geracao_mwh!D42</f>
        <v>0</v>
      </c>
      <c r="D42" s="2">
        <f>geracao_mwh!E42</f>
        <v>436261.80000000022</v>
      </c>
      <c r="E42" s="2">
        <f>geracao_mwh!F42</f>
        <v>0</v>
      </c>
      <c r="F42" s="2">
        <f>geracao_mwh!G42</f>
        <v>0</v>
      </c>
      <c r="G42" s="2">
        <f>geracao_mwh!H42</f>
        <v>627238.74299999909</v>
      </c>
      <c r="H42" s="2">
        <f>geracao_mwh!I42</f>
        <v>28213153.000000454</v>
      </c>
      <c r="I42" s="2">
        <f>geracao_mwh!J42</f>
        <v>0</v>
      </c>
      <c r="J42" s="2">
        <f>geracao_mwh!K42</f>
        <v>982746.62000000558</v>
      </c>
      <c r="K42" s="2">
        <f>geracao_mwh!L42</f>
        <v>3112.1000000000004</v>
      </c>
      <c r="L42" s="2">
        <f>geracao_mwh!M42</f>
        <v>0</v>
      </c>
      <c r="M42" s="7">
        <f>co2e_mt!H42</f>
        <v>1.2775706060000072E-2</v>
      </c>
      <c r="N42" s="7">
        <f>co2e_mt!K42</f>
        <v>0.74153609089799977</v>
      </c>
      <c r="O42" s="7">
        <f>co2e_mt!L42</f>
        <v>0.59247621300000952</v>
      </c>
      <c r="P42" s="7">
        <f>co2e_mt!P42</f>
        <v>2.6141640000000004E-3</v>
      </c>
    </row>
    <row r="43" spans="1:16" x14ac:dyDescent="0.3">
      <c r="A43" s="6" t="s">
        <v>272</v>
      </c>
      <c r="B43" s="11">
        <f>co2e_mt!S43</f>
        <v>1.4315628055089946</v>
      </c>
      <c r="C43" s="2">
        <f>geracao_mwh!D43</f>
        <v>0</v>
      </c>
      <c r="D43" s="2">
        <f>geracao_mwh!E43</f>
        <v>420149.20000000024</v>
      </c>
      <c r="E43" s="2">
        <f>geracao_mwh!F43</f>
        <v>0</v>
      </c>
      <c r="F43" s="2">
        <f>geracao_mwh!G43</f>
        <v>0</v>
      </c>
      <c r="G43" s="2">
        <f>geracao_mwh!H43</f>
        <v>851928.78199999954</v>
      </c>
      <c r="H43" s="2">
        <f>geracao_mwh!I43</f>
        <v>26502197.696999744</v>
      </c>
      <c r="I43" s="2">
        <f>geracao_mwh!J43</f>
        <v>0</v>
      </c>
      <c r="J43" s="2">
        <f>geracao_mwh!K43</f>
        <v>1323469.3400000059</v>
      </c>
      <c r="K43" s="2">
        <f>geracao_mwh!L43</f>
        <v>0</v>
      </c>
      <c r="L43" s="2">
        <f>geracao_mwh!M43</f>
        <v>27624.779999999988</v>
      </c>
      <c r="M43" s="7">
        <f>co2e_mt!H43</f>
        <v>1.7205101420000077E-2</v>
      </c>
      <c r="N43" s="7">
        <f>co2e_mt!K43</f>
        <v>0.83460673725199996</v>
      </c>
      <c r="O43" s="7">
        <f>co2e_mt!L43</f>
        <v>0.55654615163699461</v>
      </c>
      <c r="P43" s="7">
        <f>co2e_mt!P43</f>
        <v>2.3204815199999992E-2</v>
      </c>
    </row>
    <row r="44" spans="1:16" x14ac:dyDescent="0.3">
      <c r="A44" s="6" t="s">
        <v>273</v>
      </c>
      <c r="B44" s="11">
        <f>co2e_mt!S44</f>
        <v>1.4544061815699951</v>
      </c>
      <c r="C44" s="2">
        <f>geracao_mwh!D44</f>
        <v>0</v>
      </c>
      <c r="D44" s="2">
        <f>geracao_mwh!E44</f>
        <v>451579.80000000005</v>
      </c>
      <c r="E44" s="2">
        <f>geracao_mwh!F44</f>
        <v>0</v>
      </c>
      <c r="F44" s="2">
        <f>geracao_mwh!G44</f>
        <v>0</v>
      </c>
      <c r="G44" s="2">
        <f>geracao_mwh!H44</f>
        <v>832490.09999999707</v>
      </c>
      <c r="H44" s="2">
        <f>geracao_mwh!I44</f>
        <v>27434234.979999837</v>
      </c>
      <c r="I44" s="2">
        <f>geracao_mwh!J44</f>
        <v>0</v>
      </c>
      <c r="J44" s="2">
        <f>geracao_mwh!K44</f>
        <v>1375309.0300000007</v>
      </c>
      <c r="K44" s="2">
        <f>geracao_mwh!L44</f>
        <v>2506.8999999999996</v>
      </c>
      <c r="L44" s="2">
        <f>geracao_mwh!M44</f>
        <v>2001.0299999999997</v>
      </c>
      <c r="M44" s="7">
        <f>co2e_mt!H44</f>
        <v>1.7879017390000009E-2</v>
      </c>
      <c r="N44" s="7">
        <f>co2e_mt!K44</f>
        <v>0.85662156839999859</v>
      </c>
      <c r="O44" s="7">
        <f>co2e_mt!L44</f>
        <v>0.57611893457999663</v>
      </c>
      <c r="P44" s="7">
        <f>co2e_mt!P44</f>
        <v>3.7866611999999994E-3</v>
      </c>
    </row>
    <row r="45" spans="1:16" x14ac:dyDescent="0.3">
      <c r="A45" s="6" t="s">
        <v>274</v>
      </c>
      <c r="B45" s="11">
        <f>co2e_mt!S45</f>
        <v>1.4494204882500121</v>
      </c>
      <c r="C45" s="2">
        <f>geracao_mwh!D45</f>
        <v>0</v>
      </c>
      <c r="D45" s="2">
        <f>geracao_mwh!E45</f>
        <v>436668.50000000146</v>
      </c>
      <c r="E45" s="2">
        <f>geracao_mwh!F45</f>
        <v>0</v>
      </c>
      <c r="F45" s="2">
        <f>geracao_mwh!G45</f>
        <v>0</v>
      </c>
      <c r="G45" s="2">
        <f>geracao_mwh!H45</f>
        <v>851913.24000000127</v>
      </c>
      <c r="H45" s="2">
        <f>geracao_mwh!I45</f>
        <v>27770091.340000484</v>
      </c>
      <c r="I45" s="2">
        <f>geracao_mwh!J45</f>
        <v>0</v>
      </c>
      <c r="J45" s="2">
        <f>geracao_mwh!K45</f>
        <v>1088373.8900000036</v>
      </c>
      <c r="K45" s="2">
        <f>geracao_mwh!L45</f>
        <v>0</v>
      </c>
      <c r="L45" s="2">
        <f>geracao_mwh!M45</f>
        <v>1148.46</v>
      </c>
      <c r="M45" s="7">
        <f>co2e_mt!H45</f>
        <v>1.4148860570000046E-2</v>
      </c>
      <c r="N45" s="7">
        <f>co2e_mt!K45</f>
        <v>0.85113500314000201</v>
      </c>
      <c r="O45" s="7">
        <f>co2e_mt!L45</f>
        <v>0.58317191814001013</v>
      </c>
      <c r="P45" s="7">
        <f>co2e_mt!P45</f>
        <v>9.6470639999999999E-4</v>
      </c>
    </row>
    <row r="46" spans="1:16" x14ac:dyDescent="0.3">
      <c r="A46" s="6" t="s">
        <v>275</v>
      </c>
      <c r="B46" s="11">
        <f>co2e_mt!S46</f>
        <v>1.3700939587400087</v>
      </c>
      <c r="C46" s="2">
        <f>geracao_mwh!D46</f>
        <v>0</v>
      </c>
      <c r="D46" s="2">
        <f>geracao_mwh!E46</f>
        <v>439346.64999999997</v>
      </c>
      <c r="E46" s="2">
        <f>geracao_mwh!F46</f>
        <v>0</v>
      </c>
      <c r="F46" s="2">
        <f>geracao_mwh!G46</f>
        <v>0</v>
      </c>
      <c r="G46" s="2">
        <f>geracao_mwh!H46</f>
        <v>654469.21000000043</v>
      </c>
      <c r="H46" s="2">
        <f>geracao_mwh!I46</f>
        <v>28005096.750000406</v>
      </c>
      <c r="I46" s="2">
        <f>geracao_mwh!J46</f>
        <v>0</v>
      </c>
      <c r="J46" s="2">
        <f>geracao_mwh!K46</f>
        <v>977694.36000000103</v>
      </c>
      <c r="K46" s="2">
        <f>geracao_mwh!L46</f>
        <v>2684</v>
      </c>
      <c r="L46" s="2">
        <f>geracao_mwh!M46</f>
        <v>10909.890000000001</v>
      </c>
      <c r="M46" s="7">
        <f>co2e_mt!H46</f>
        <v>1.2710026680000014E-2</v>
      </c>
      <c r="N46" s="7">
        <f>co2e_mt!K46</f>
        <v>0.75785803271000018</v>
      </c>
      <c r="O46" s="7">
        <f>co2e_mt!L46</f>
        <v>0.58810703175000856</v>
      </c>
      <c r="P46" s="7">
        <f>co2e_mt!P46</f>
        <v>1.14188676E-2</v>
      </c>
    </row>
    <row r="47" spans="1:16" x14ac:dyDescent="0.3">
      <c r="A47" s="6" t="s">
        <v>276</v>
      </c>
      <c r="B47" s="11">
        <f>co2e_mt!S47</f>
        <v>1.6228223546200036</v>
      </c>
      <c r="C47" s="2">
        <f>geracao_mwh!D47</f>
        <v>0</v>
      </c>
      <c r="D47" s="2">
        <f>geracao_mwh!E47</f>
        <v>459873.13000000024</v>
      </c>
      <c r="E47" s="2">
        <f>geracao_mwh!F47</f>
        <v>0</v>
      </c>
      <c r="F47" s="2">
        <f>geracao_mwh!G47</f>
        <v>0</v>
      </c>
      <c r="G47" s="2">
        <f>geracao_mwh!H47</f>
        <v>955663.17000000272</v>
      </c>
      <c r="H47" s="2">
        <f>geracao_mwh!I47</f>
        <v>29425695.900000095</v>
      </c>
      <c r="I47" s="2">
        <f>geracao_mwh!J47</f>
        <v>0</v>
      </c>
      <c r="J47" s="2">
        <f>geracao_mwh!K47</f>
        <v>823983.88999999943</v>
      </c>
      <c r="K47" s="2">
        <f>geracao_mwh!L47</f>
        <v>0</v>
      </c>
      <c r="L47" s="2">
        <f>geracao_mwh!M47</f>
        <v>82601.960000000006</v>
      </c>
      <c r="M47" s="7">
        <f>co2e_mt!H47</f>
        <v>1.0711790569999992E-2</v>
      </c>
      <c r="N47" s="7">
        <f>co2e_mt!K47</f>
        <v>0.92478530375000156</v>
      </c>
      <c r="O47" s="7">
        <f>co2e_mt!L47</f>
        <v>0.61793961390000196</v>
      </c>
      <c r="P47" s="7">
        <f>co2e_mt!P47</f>
        <v>6.9385646400000001E-2</v>
      </c>
    </row>
    <row r="48" spans="1:16" x14ac:dyDescent="0.3">
      <c r="A48" s="6" t="s">
        <v>277</v>
      </c>
      <c r="B48" s="11">
        <f>co2e_mt!S48</f>
        <v>1.7121632718063087</v>
      </c>
      <c r="C48" s="2">
        <f>geracao_mwh!D48</f>
        <v>103.69</v>
      </c>
      <c r="D48" s="2">
        <f>geracao_mwh!E48</f>
        <v>509583.66000000125</v>
      </c>
      <c r="E48" s="2">
        <f>geracao_mwh!F48</f>
        <v>0</v>
      </c>
      <c r="F48" s="2">
        <f>geracao_mwh!G48</f>
        <v>0</v>
      </c>
      <c r="G48" s="2">
        <f>geracao_mwh!H48</f>
        <v>1168618.4100000041</v>
      </c>
      <c r="H48" s="2">
        <f>geracao_mwh!I48</f>
        <v>27940502.21000025</v>
      </c>
      <c r="I48" s="2">
        <f>geracao_mwh!J48</f>
        <v>0</v>
      </c>
      <c r="J48" s="2">
        <f>geracao_mwh!K48</f>
        <v>1227371.2150999992</v>
      </c>
      <c r="K48" s="2">
        <f>geracao_mwh!L48</f>
        <v>3527.6999999999994</v>
      </c>
      <c r="L48" s="2">
        <f>geracao_mwh!M48</f>
        <v>33864.820000000007</v>
      </c>
      <c r="M48" s="7">
        <f>co2e_mt!H48</f>
        <v>1.5961217676299991E-2</v>
      </c>
      <c r="N48" s="7">
        <f>co2e_mt!K48</f>
        <v>1.0780417909200033</v>
      </c>
      <c r="O48" s="7">
        <f>co2e_mt!L48</f>
        <v>0.58675054641000524</v>
      </c>
      <c r="P48" s="7">
        <f>co2e_mt!P48</f>
        <v>3.1409716800000008E-2</v>
      </c>
    </row>
    <row r="49" spans="1:16" x14ac:dyDescent="0.3">
      <c r="A49" s="6" t="s">
        <v>278</v>
      </c>
      <c r="B49" s="11">
        <f>co2e_mt!S49</f>
        <v>1.7427135132099978</v>
      </c>
      <c r="C49" s="2">
        <f>geracao_mwh!D49</f>
        <v>272.94</v>
      </c>
      <c r="D49" s="2">
        <f>geracao_mwh!E49</f>
        <v>488509.99000000057</v>
      </c>
      <c r="E49" s="2">
        <f>geracao_mwh!F49</f>
        <v>0</v>
      </c>
      <c r="F49" s="2">
        <f>geracao_mwh!G49</f>
        <v>0</v>
      </c>
      <c r="G49" s="2">
        <f>geracao_mwh!H49</f>
        <v>1235404.690000003</v>
      </c>
      <c r="H49" s="2">
        <f>geracao_mwh!I49</f>
        <v>28596015.119999815</v>
      </c>
      <c r="I49" s="2">
        <f>geracao_mwh!J49</f>
        <v>0</v>
      </c>
      <c r="J49" s="2">
        <f>geracao_mwh!K49</f>
        <v>1385594.3599999868</v>
      </c>
      <c r="K49" s="2">
        <f>geracao_mwh!L49</f>
        <v>20154.579999999991</v>
      </c>
      <c r="L49" s="2">
        <f>geracao_mwh!M49</f>
        <v>21232.440000000006</v>
      </c>
      <c r="M49" s="7">
        <f>co2e_mt!H49</f>
        <v>1.8026919559999827E-2</v>
      </c>
      <c r="N49" s="7">
        <f>co2e_mt!K49</f>
        <v>1.0894051793300019</v>
      </c>
      <c r="O49" s="7">
        <f>co2e_mt!L49</f>
        <v>0.60051631751999612</v>
      </c>
      <c r="P49" s="7">
        <f>co2e_mt!P49</f>
        <v>3.4765096800000006E-2</v>
      </c>
    </row>
    <row r="50" spans="1:16" x14ac:dyDescent="0.3">
      <c r="A50" s="6" t="s">
        <v>279</v>
      </c>
      <c r="B50" s="11">
        <f>co2e_mt!S50</f>
        <v>1.9663162683700008</v>
      </c>
      <c r="C50" s="2">
        <f>geracao_mwh!D50</f>
        <v>0</v>
      </c>
      <c r="D50" s="2">
        <f>geracao_mwh!E50</f>
        <v>517766.9699999998</v>
      </c>
      <c r="E50" s="2">
        <f>geracao_mwh!F50</f>
        <v>0</v>
      </c>
      <c r="F50" s="2">
        <f>geracao_mwh!G50</f>
        <v>0</v>
      </c>
      <c r="G50" s="2">
        <f>geracao_mwh!H50</f>
        <v>1241639.0799999982</v>
      </c>
      <c r="H50" s="2">
        <f>geracao_mwh!I50</f>
        <v>28059208.900000125</v>
      </c>
      <c r="I50" s="2">
        <f>geracao_mwh!J50</f>
        <v>0</v>
      </c>
      <c r="J50" s="2">
        <f>geracao_mwh!K50</f>
        <v>1359756.099999995</v>
      </c>
      <c r="K50" s="2">
        <f>geracao_mwh!L50</f>
        <v>92254.738000000187</v>
      </c>
      <c r="L50" s="2">
        <f>geracao_mwh!M50</f>
        <v>190691.35999999917</v>
      </c>
      <c r="M50" s="7">
        <f>co2e_mt!H50</f>
        <v>1.7676829299999936E-2</v>
      </c>
      <c r="N50" s="7">
        <f>co2e_mt!K50</f>
        <v>1.1217213298499988</v>
      </c>
      <c r="O50" s="7">
        <f>co2e_mt!L50</f>
        <v>0.58924338690000266</v>
      </c>
      <c r="P50" s="7">
        <f>co2e_mt!P50</f>
        <v>0.23767472231999948</v>
      </c>
    </row>
    <row r="51" spans="1:16" x14ac:dyDescent="0.3">
      <c r="A51" s="6" t="s">
        <v>280</v>
      </c>
      <c r="B51" s="11">
        <f>co2e_mt!S51</f>
        <v>1.6202648008300029</v>
      </c>
      <c r="C51" s="2">
        <f>geracao_mwh!D51</f>
        <v>0</v>
      </c>
      <c r="D51" s="2">
        <f>geracao_mwh!E51</f>
        <v>469749.97000000085</v>
      </c>
      <c r="E51" s="2">
        <f>geracao_mwh!F51</f>
        <v>0</v>
      </c>
      <c r="F51" s="2">
        <f>geracao_mwh!G51</f>
        <v>0</v>
      </c>
      <c r="G51" s="2">
        <f>geracao_mwh!H51</f>
        <v>1088165.3500000001</v>
      </c>
      <c r="H51" s="2">
        <f>geracao_mwh!I51</f>
        <v>27148306.240000106</v>
      </c>
      <c r="I51" s="2">
        <f>geracao_mwh!J51</f>
        <v>0</v>
      </c>
      <c r="J51" s="2">
        <f>geracao_mwh!K51</f>
        <v>1138962.44</v>
      </c>
      <c r="K51" s="2">
        <f>geracao_mwh!L51</f>
        <v>4131.2600000000011</v>
      </c>
      <c r="L51" s="2">
        <f>geracao_mwh!M51</f>
        <v>39054.189999999951</v>
      </c>
      <c r="M51" s="7">
        <f>co2e_mt!H51</f>
        <v>1.480651172E-2</v>
      </c>
      <c r="N51" s="7">
        <f>co2e_mt!K51</f>
        <v>0.99906808007000092</v>
      </c>
      <c r="O51" s="7">
        <f>co2e_mt!L51</f>
        <v>0.57011443104000215</v>
      </c>
      <c r="P51" s="7">
        <f>co2e_mt!P51</f>
        <v>3.627577799999996E-2</v>
      </c>
    </row>
    <row r="52" spans="1:16" x14ac:dyDescent="0.3">
      <c r="A52" s="6" t="s">
        <v>281</v>
      </c>
      <c r="B52" s="11">
        <f>co2e_mt!S52</f>
        <v>1.7220442688371929</v>
      </c>
      <c r="C52" s="2">
        <f>geracao_mwh!D52</f>
        <v>0</v>
      </c>
      <c r="D52" s="2">
        <f>geracao_mwh!E52</f>
        <v>446140.94000000181</v>
      </c>
      <c r="E52" s="2">
        <f>geracao_mwh!F52</f>
        <v>0</v>
      </c>
      <c r="F52" s="2">
        <f>geracao_mwh!G52</f>
        <v>0</v>
      </c>
      <c r="G52" s="2">
        <f>geracao_mwh!H52</f>
        <v>1185663.6301999977</v>
      </c>
      <c r="H52" s="2">
        <f>geracao_mwh!I52</f>
        <v>30522118.289999645</v>
      </c>
      <c r="I52" s="2">
        <f>geracao_mwh!J52</f>
        <v>0</v>
      </c>
      <c r="J52" s="2">
        <f>geracao_mwh!K52</f>
        <v>730685.40999999864</v>
      </c>
      <c r="K52" s="2">
        <f>geracao_mwh!L52</f>
        <v>0</v>
      </c>
      <c r="L52" s="2">
        <f>geracao_mwh!M52</f>
        <v>58049.129999999968</v>
      </c>
      <c r="M52" s="7">
        <f>co2e_mt!H52</f>
        <v>9.4989103299999832E-3</v>
      </c>
      <c r="N52" s="7">
        <f>co2e_mt!K52</f>
        <v>1.0228196052172005</v>
      </c>
      <c r="O52" s="7">
        <f>co2e_mt!L52</f>
        <v>0.64096448408999251</v>
      </c>
      <c r="P52" s="7">
        <f>co2e_mt!P52</f>
        <v>4.8761269199999978E-2</v>
      </c>
    </row>
    <row r="53" spans="1:16" x14ac:dyDescent="0.3">
      <c r="A53" s="6" t="s">
        <v>282</v>
      </c>
      <c r="B53" s="11">
        <f>co2e_mt!S53</f>
        <v>1.8119422911599898</v>
      </c>
      <c r="C53" s="2">
        <f>geracao_mwh!D53</f>
        <v>0</v>
      </c>
      <c r="D53" s="2">
        <f>geracao_mwh!E53</f>
        <v>507024.38999999978</v>
      </c>
      <c r="E53" s="2">
        <f>geracao_mwh!F53</f>
        <v>0</v>
      </c>
      <c r="F53" s="2">
        <f>geracao_mwh!G53</f>
        <v>0</v>
      </c>
      <c r="G53" s="2">
        <f>geracao_mwh!H53</f>
        <v>1293682.3399999917</v>
      </c>
      <c r="H53" s="2">
        <f>geracao_mwh!I53</f>
        <v>28928588.449999742</v>
      </c>
      <c r="I53" s="2">
        <f>geracao_mwh!J53</f>
        <v>0</v>
      </c>
      <c r="J53" s="2">
        <f>geracao_mwh!K53</f>
        <v>895125.35999999766</v>
      </c>
      <c r="K53" s="2">
        <f>geracao_mwh!L53</f>
        <v>5086.53</v>
      </c>
      <c r="L53" s="2">
        <f>geracao_mwh!M53</f>
        <v>62228.079999999951</v>
      </c>
      <c r="M53" s="7">
        <f>co2e_mt!H53</f>
        <v>1.163662967999997E-2</v>
      </c>
      <c r="N53" s="7">
        <f>co2e_mt!K53</f>
        <v>1.1362610316299957</v>
      </c>
      <c r="O53" s="7">
        <f>co2e_mt!L53</f>
        <v>0.60750035744999453</v>
      </c>
      <c r="P53" s="7">
        <f>co2e_mt!P53</f>
        <v>5.6544272399999956E-2</v>
      </c>
    </row>
    <row r="54" spans="1:16" x14ac:dyDescent="0.3">
      <c r="A54" s="6" t="s">
        <v>283</v>
      </c>
      <c r="B54" s="11">
        <f>co2e_mt!S54</f>
        <v>1.8089554006100064</v>
      </c>
      <c r="C54" s="2">
        <f>geracao_mwh!D54</f>
        <v>0</v>
      </c>
      <c r="D54" s="2">
        <f>geracao_mwh!E54</f>
        <v>618614.21000000054</v>
      </c>
      <c r="E54" s="2">
        <f>geracao_mwh!F54</f>
        <v>0</v>
      </c>
      <c r="F54" s="2">
        <f>geracao_mwh!G54</f>
        <v>0</v>
      </c>
      <c r="G54" s="2">
        <f>geracao_mwh!H54</f>
        <v>950062.85000000009</v>
      </c>
      <c r="H54" s="2">
        <f>geracao_mwh!I54</f>
        <v>29672393.020000279</v>
      </c>
      <c r="I54" s="2">
        <f>geracao_mwh!J54</f>
        <v>0</v>
      </c>
      <c r="J54" s="2">
        <f>geracao_mwh!K54</f>
        <v>698433.15999999968</v>
      </c>
      <c r="K54" s="2">
        <f>geracao_mwh!L54</f>
        <v>0</v>
      </c>
      <c r="L54" s="2">
        <f>geracao_mwh!M54</f>
        <v>114038.26999999987</v>
      </c>
      <c r="M54" s="7">
        <f>co2e_mt!H54</f>
        <v>9.0796310799999957E-3</v>
      </c>
      <c r="N54" s="7">
        <f>co2e_mt!K54</f>
        <v>1.0809633693100007</v>
      </c>
      <c r="O54" s="7">
        <f>co2e_mt!L54</f>
        <v>0.62312025342000588</v>
      </c>
      <c r="P54" s="7">
        <f>co2e_mt!P54</f>
        <v>9.5792146799999894E-2</v>
      </c>
    </row>
    <row r="55" spans="1:16" x14ac:dyDescent="0.3">
      <c r="A55" s="6" t="s">
        <v>284</v>
      </c>
      <c r="B55" s="11">
        <f>co2e_mt!S55</f>
        <v>1.826048159503999</v>
      </c>
      <c r="C55" s="2">
        <f>geracao_mwh!D55</f>
        <v>77</v>
      </c>
      <c r="D55" s="2">
        <f>geracao_mwh!E55</f>
        <v>653471.78999999829</v>
      </c>
      <c r="E55" s="2">
        <f>geracao_mwh!F55</f>
        <v>0</v>
      </c>
      <c r="F55" s="2">
        <f>geracao_mwh!G55</f>
        <v>0</v>
      </c>
      <c r="G55" s="2">
        <f>geracao_mwh!H55</f>
        <v>1002465.0839999994</v>
      </c>
      <c r="H55" s="2">
        <f>geracao_mwh!I55</f>
        <v>28346473.470000047</v>
      </c>
      <c r="I55" s="2">
        <f>geracao_mwh!J55</f>
        <v>0</v>
      </c>
      <c r="J55" s="2">
        <f>geracao_mwh!K55</f>
        <v>888149.94000000018</v>
      </c>
      <c r="K55" s="2">
        <f>geracao_mwh!L55</f>
        <v>3354.5000000000014</v>
      </c>
      <c r="L55" s="2">
        <f>geracao_mwh!M55</f>
        <v>89382.369999999937</v>
      </c>
      <c r="M55" s="7">
        <f>co2e_mt!H55</f>
        <v>1.1549953220000003E-2</v>
      </c>
      <c r="N55" s="7">
        <f>co2e_mt!K55</f>
        <v>1.141323292613998</v>
      </c>
      <c r="O55" s="7">
        <f>co2e_mt!L55</f>
        <v>0.59527594287000096</v>
      </c>
      <c r="P55" s="7">
        <f>co2e_mt!P55</f>
        <v>7.7898970799999967E-2</v>
      </c>
    </row>
    <row r="56" spans="1:16" x14ac:dyDescent="0.3">
      <c r="A56" s="6" t="s">
        <v>285</v>
      </c>
      <c r="B56" s="11">
        <f>co2e_mt!S56</f>
        <v>1.7112918858127995</v>
      </c>
      <c r="C56" s="2">
        <f>geracao_mwh!D56</f>
        <v>0</v>
      </c>
      <c r="D56" s="2">
        <f>geracao_mwh!E56</f>
        <v>581614.03999999946</v>
      </c>
      <c r="E56" s="2">
        <f>geracao_mwh!F56</f>
        <v>0</v>
      </c>
      <c r="F56" s="2">
        <f>geracao_mwh!G56</f>
        <v>0</v>
      </c>
      <c r="G56" s="2">
        <f>geracao_mwh!H56</f>
        <v>921999.7947999991</v>
      </c>
      <c r="H56" s="2">
        <f>geracao_mwh!I56</f>
        <v>29567497.150000032</v>
      </c>
      <c r="I56" s="2">
        <f>geracao_mwh!J56</f>
        <v>0</v>
      </c>
      <c r="J56" s="2">
        <f>geracao_mwh!K56</f>
        <v>884087.94999999902</v>
      </c>
      <c r="K56" s="2">
        <f>geracao_mwh!L56</f>
        <v>0</v>
      </c>
      <c r="L56" s="2">
        <f>geracao_mwh!M56</f>
        <v>57849.699999999975</v>
      </c>
      <c r="M56" s="7">
        <f>co2e_mt!H56</f>
        <v>1.1493143349999988E-2</v>
      </c>
      <c r="N56" s="7">
        <f>co2e_mt!K56</f>
        <v>1.0302875543127989</v>
      </c>
      <c r="O56" s="7">
        <f>co2e_mt!L56</f>
        <v>0.62091744015000061</v>
      </c>
      <c r="P56" s="7">
        <f>co2e_mt!P56</f>
        <v>4.8593747999999985E-2</v>
      </c>
    </row>
    <row r="57" spans="1:16" x14ac:dyDescent="0.3">
      <c r="A57" s="6" t="s">
        <v>286</v>
      </c>
      <c r="B57" s="11">
        <f>co2e_mt!S57</f>
        <v>1.7972699913310024</v>
      </c>
      <c r="C57" s="2">
        <f>geracao_mwh!D57</f>
        <v>0</v>
      </c>
      <c r="D57" s="2">
        <f>geracao_mwh!E57</f>
        <v>579457.62999999919</v>
      </c>
      <c r="E57" s="2">
        <f>geracao_mwh!F57</f>
        <v>0</v>
      </c>
      <c r="F57" s="2">
        <f>geracao_mwh!G57</f>
        <v>0</v>
      </c>
      <c r="G57" s="2">
        <f>geracao_mwh!H57</f>
        <v>1022405.2199999967</v>
      </c>
      <c r="H57" s="2">
        <f>geracao_mwh!I57</f>
        <v>29863009.761000227</v>
      </c>
      <c r="I57" s="2">
        <f>geracao_mwh!J57</f>
        <v>0</v>
      </c>
      <c r="J57" s="2">
        <f>geracao_mwh!K57</f>
        <v>1049904.2000000014</v>
      </c>
      <c r="K57" s="2">
        <f>geracao_mwh!L57</f>
        <v>460.93000000000006</v>
      </c>
      <c r="L57" s="2">
        <f>geracao_mwh!M57</f>
        <v>94267.650000000081</v>
      </c>
      <c r="M57" s="7">
        <f>co2e_mt!H57</f>
        <v>1.3648754600000017E-2</v>
      </c>
      <c r="N57" s="7">
        <f>co2e_mt!K57</f>
        <v>1.0769260245499974</v>
      </c>
      <c r="O57" s="7">
        <f>co2e_mt!L57</f>
        <v>0.62712320498100471</v>
      </c>
      <c r="P57" s="7">
        <f>co2e_mt!P57</f>
        <v>7.9572007200000058E-2</v>
      </c>
    </row>
    <row r="58" spans="1:16" x14ac:dyDescent="0.3">
      <c r="A58" s="6" t="s">
        <v>287</v>
      </c>
      <c r="B58" s="11">
        <f>co2e_mt!S58</f>
        <v>1.8152171199109943</v>
      </c>
      <c r="C58" s="2">
        <f>geracao_mwh!D58</f>
        <v>0</v>
      </c>
      <c r="D58" s="2">
        <f>geracao_mwh!E58</f>
        <v>409354.80999999936</v>
      </c>
      <c r="E58" s="2">
        <f>geracao_mwh!F58</f>
        <v>0</v>
      </c>
      <c r="F58" s="2">
        <f>geracao_mwh!G58</f>
        <v>0</v>
      </c>
      <c r="G58" s="2">
        <f>geracao_mwh!H58</f>
        <v>1564019.4849999947</v>
      </c>
      <c r="H58" s="2">
        <f>geracao_mwh!I58</f>
        <v>29256472.140999869</v>
      </c>
      <c r="I58" s="2">
        <f>geracao_mwh!J58</f>
        <v>0</v>
      </c>
      <c r="J58" s="2">
        <f>geracao_mwh!K58</f>
        <v>1323075.5100000044</v>
      </c>
      <c r="K58" s="2">
        <f>geracao_mwh!L58</f>
        <v>3979.6000000000008</v>
      </c>
      <c r="L58" s="2">
        <f>geracao_mwh!M58</f>
        <v>12393.719999999987</v>
      </c>
      <c r="M58" s="7">
        <f>co2e_mt!H58</f>
        <v>1.7199981630000059E-2</v>
      </c>
      <c r="N58" s="7">
        <f>co2e_mt!K58</f>
        <v>1.1698776345199968</v>
      </c>
      <c r="O58" s="7">
        <f>co2e_mt!L58</f>
        <v>0.61438591496099726</v>
      </c>
      <c r="P58" s="7">
        <f>co2e_mt!P58</f>
        <v>1.3753588799999989E-2</v>
      </c>
    </row>
    <row r="59" spans="1:16" x14ac:dyDescent="0.3">
      <c r="A59" s="6" t="s">
        <v>288</v>
      </c>
      <c r="B59" s="11">
        <f>co2e_mt!S59</f>
        <v>1.9485982180999886</v>
      </c>
      <c r="C59" s="2">
        <f>geracao_mwh!D59</f>
        <v>0</v>
      </c>
      <c r="D59" s="2">
        <f>geracao_mwh!E59</f>
        <v>517611.5600000007</v>
      </c>
      <c r="E59" s="2">
        <f>geracao_mwh!F59</f>
        <v>0</v>
      </c>
      <c r="F59" s="2">
        <f>geracao_mwh!G59</f>
        <v>0</v>
      </c>
      <c r="G59" s="2">
        <f>geracao_mwh!H59</f>
        <v>1618532.0299999847</v>
      </c>
      <c r="H59" s="2">
        <f>geracao_mwh!I59</f>
        <v>29799539.229999777</v>
      </c>
      <c r="I59" s="2">
        <f>geracao_mwh!J59</f>
        <v>0</v>
      </c>
      <c r="J59" s="2">
        <f>geracao_mwh!K59</f>
        <v>1108488.0099999984</v>
      </c>
      <c r="K59" s="2">
        <f>geracao_mwh!L59</f>
        <v>4359.2999999999993</v>
      </c>
      <c r="L59" s="2">
        <f>geracao_mwh!M59</f>
        <v>0</v>
      </c>
      <c r="M59" s="7">
        <f>co2e_mt!H59</f>
        <v>1.441034412999998E-2</v>
      </c>
      <c r="N59" s="7">
        <f>co2e_mt!K59</f>
        <v>1.3047357381399931</v>
      </c>
      <c r="O59" s="7">
        <f>co2e_mt!L59</f>
        <v>0.62579032382999533</v>
      </c>
      <c r="P59" s="7">
        <f>co2e_mt!P59</f>
        <v>3.6618119999999991E-3</v>
      </c>
    </row>
    <row r="60" spans="1:16" x14ac:dyDescent="0.3">
      <c r="A60" s="6" t="s">
        <v>289</v>
      </c>
      <c r="B60" s="11">
        <f>co2e_mt!S60</f>
        <v>1.7604404938719955</v>
      </c>
      <c r="C60" s="2">
        <f>geracao_mwh!D60</f>
        <v>0</v>
      </c>
      <c r="D60" s="2">
        <f>geracao_mwh!E60</f>
        <v>508772.10999999929</v>
      </c>
      <c r="E60" s="2">
        <f>geracao_mwh!F60</f>
        <v>0</v>
      </c>
      <c r="F60" s="2">
        <f>geracao_mwh!G60</f>
        <v>0</v>
      </c>
      <c r="G60" s="2">
        <f>geracao_mwh!H60</f>
        <v>1264968.8899999969</v>
      </c>
      <c r="H60" s="2">
        <f>geracao_mwh!I60</f>
        <v>29569343.031999882</v>
      </c>
      <c r="I60" s="2">
        <f>geracao_mwh!J60</f>
        <v>0</v>
      </c>
      <c r="J60" s="2">
        <f>geracao_mwh!K60</f>
        <v>1107725.7499999967</v>
      </c>
      <c r="K60" s="2">
        <f>geracao_mwh!L60</f>
        <v>0.1</v>
      </c>
      <c r="L60" s="2">
        <f>geracao_mwh!M60</f>
        <v>1223.8199999999997</v>
      </c>
      <c r="M60" s="7">
        <f>co2e_mt!H60</f>
        <v>1.4400434749999956E-2</v>
      </c>
      <c r="N60" s="7">
        <f>co2e_mt!K60</f>
        <v>1.1240557626499976</v>
      </c>
      <c r="O60" s="7">
        <f>co2e_mt!L60</f>
        <v>0.62095620367199755</v>
      </c>
      <c r="P60" s="7">
        <f>co2e_mt!P60</f>
        <v>1.0280927999999998E-3</v>
      </c>
    </row>
    <row r="61" spans="1:16" x14ac:dyDescent="0.3">
      <c r="A61" s="6" t="s">
        <v>290</v>
      </c>
      <c r="B61" s="11">
        <f>co2e_mt!S61</f>
        <v>1.8047371083999801</v>
      </c>
      <c r="C61" s="2">
        <f>geracao_mwh!D61</f>
        <v>0</v>
      </c>
      <c r="D61" s="2">
        <f>geracao_mwh!E61</f>
        <v>535824.28999999841</v>
      </c>
      <c r="E61" s="2">
        <f>geracao_mwh!F61</f>
        <v>0</v>
      </c>
      <c r="F61" s="2">
        <f>geracao_mwh!G61</f>
        <v>0</v>
      </c>
      <c r="G61" s="2">
        <f>geracao_mwh!H61</f>
        <v>1234628.82</v>
      </c>
      <c r="H61" s="2">
        <f>geracao_mwh!I61</f>
        <v>31200181.589999124</v>
      </c>
      <c r="I61" s="2">
        <f>geracao_mwh!J61</f>
        <v>0</v>
      </c>
      <c r="J61" s="2">
        <f>geracao_mwh!K61</f>
        <v>396553.80000000016</v>
      </c>
      <c r="K61" s="2">
        <f>geracao_mwh!L61</f>
        <v>417.77000000000004</v>
      </c>
      <c r="L61" s="2">
        <f>geracao_mwh!M61</f>
        <v>9092.1999999999971</v>
      </c>
      <c r="M61" s="7">
        <f>co2e_mt!H61</f>
        <v>5.1551994000000019E-3</v>
      </c>
      <c r="N61" s="7">
        <f>co2e_mt!K61</f>
        <v>1.1363897208099984</v>
      </c>
      <c r="O61" s="7">
        <f>co2e_mt!L61</f>
        <v>0.65520381338998157</v>
      </c>
      <c r="P61" s="7">
        <f>co2e_mt!P61</f>
        <v>7.988374799999998E-3</v>
      </c>
    </row>
    <row r="62" spans="1:16" x14ac:dyDescent="0.3">
      <c r="A62" s="6" t="s">
        <v>291</v>
      </c>
      <c r="B62" s="11">
        <f>co2e_mt!S62</f>
        <v>1.8163458207999885</v>
      </c>
      <c r="C62" s="2">
        <f>geracao_mwh!D62</f>
        <v>0</v>
      </c>
      <c r="D62" s="2">
        <f>geracao_mwh!E62</f>
        <v>494770.51000000094</v>
      </c>
      <c r="E62" s="2">
        <f>geracao_mwh!F62</f>
        <v>0</v>
      </c>
      <c r="F62" s="2">
        <f>geracao_mwh!G62</f>
        <v>0</v>
      </c>
      <c r="G62" s="2">
        <f>geracao_mwh!H62</f>
        <v>1229106.3299999996</v>
      </c>
      <c r="H62" s="2">
        <f>geracao_mwh!I62</f>
        <v>31747163.679999411</v>
      </c>
      <c r="I62" s="2">
        <f>geracao_mwh!J62</f>
        <v>0</v>
      </c>
      <c r="J62" s="2">
        <f>geracao_mwh!K62</f>
        <v>364644.10999999946</v>
      </c>
      <c r="K62" s="2">
        <f>geracao_mwh!L62</f>
        <v>139.19999999999999</v>
      </c>
      <c r="L62" s="2">
        <f>geracao_mwh!M62</f>
        <v>62127.529999999992</v>
      </c>
      <c r="M62" s="7">
        <f>co2e_mt!H62</f>
        <v>4.7403734299999931E-3</v>
      </c>
      <c r="N62" s="7">
        <f>co2e_mt!K62</f>
        <v>1.0926109568900007</v>
      </c>
      <c r="O62" s="7">
        <f>co2e_mt!L62</f>
        <v>0.66669043727998767</v>
      </c>
      <c r="P62" s="7">
        <f>co2e_mt!P62</f>
        <v>5.2304053199999992E-2</v>
      </c>
    </row>
    <row r="63" spans="1:16" x14ac:dyDescent="0.3">
      <c r="A63" s="6" t="s">
        <v>292</v>
      </c>
      <c r="B63" s="11">
        <f>co2e_mt!S63</f>
        <v>1.6010386398299918</v>
      </c>
      <c r="C63" s="2">
        <f>geracao_mwh!D63</f>
        <v>0</v>
      </c>
      <c r="D63" s="2">
        <f>geracao_mwh!E63</f>
        <v>499794.01999999967</v>
      </c>
      <c r="E63" s="2">
        <f>geracao_mwh!F63</f>
        <v>0</v>
      </c>
      <c r="F63" s="2">
        <f>geracao_mwh!G63</f>
        <v>0</v>
      </c>
      <c r="G63" s="2">
        <f>geracao_mwh!H63</f>
        <v>850271.8199999975</v>
      </c>
      <c r="H63" s="2">
        <f>geracao_mwh!I63</f>
        <v>29393794.559999697</v>
      </c>
      <c r="I63" s="2">
        <f>geracao_mwh!J63</f>
        <v>0</v>
      </c>
      <c r="J63" s="2">
        <f>geracao_mwh!K63</f>
        <v>359835.41000000009</v>
      </c>
      <c r="K63" s="2">
        <f>geracao_mwh!L63</f>
        <v>0</v>
      </c>
      <c r="L63" s="2">
        <f>geracao_mwh!M63</f>
        <v>78053.780000000013</v>
      </c>
      <c r="M63" s="7">
        <f>co2e_mt!H63</f>
        <v>4.677860330000002E-3</v>
      </c>
      <c r="N63" s="7">
        <f>co2e_mt!K63</f>
        <v>0.91352591853999843</v>
      </c>
      <c r="O63" s="7">
        <f>co2e_mt!L63</f>
        <v>0.61726968575999364</v>
      </c>
      <c r="P63" s="7">
        <f>co2e_mt!P63</f>
        <v>6.556517520000002E-2</v>
      </c>
    </row>
    <row r="64" spans="1:16" x14ac:dyDescent="0.3">
      <c r="A64" s="6" t="s">
        <v>293</v>
      </c>
      <c r="B64" s="11">
        <f>co2e_mt!S64</f>
        <v>2.0748809482399988</v>
      </c>
      <c r="C64" s="2">
        <f>geracao_mwh!D64</f>
        <v>130.80000000000001</v>
      </c>
      <c r="D64" s="2">
        <f>geracao_mwh!E64</f>
        <v>716259.87000000023</v>
      </c>
      <c r="E64" s="2">
        <f>geracao_mwh!F64</f>
        <v>0</v>
      </c>
      <c r="F64" s="2">
        <f>geracao_mwh!G64</f>
        <v>0</v>
      </c>
      <c r="G64" s="2">
        <f>geracao_mwh!H64</f>
        <v>1144112.1999999995</v>
      </c>
      <c r="H64" s="2">
        <f>geracao_mwh!I64</f>
        <v>33283100.289999962</v>
      </c>
      <c r="I64" s="2">
        <f>geracao_mwh!J64</f>
        <v>0</v>
      </c>
      <c r="J64" s="2">
        <f>geracao_mwh!K64</f>
        <v>452.36</v>
      </c>
      <c r="K64" s="2">
        <f>geracao_mwh!L64</f>
        <v>345.96999999999997</v>
      </c>
      <c r="L64" s="2">
        <f>geracao_mwh!M64</f>
        <v>122164.14999999992</v>
      </c>
      <c r="M64" s="7">
        <f>co2e_mt!H64</f>
        <v>1.2682280000000001E-5</v>
      </c>
      <c r="N64" s="7">
        <f>co2e_mt!K64</f>
        <v>1.27301465907</v>
      </c>
      <c r="O64" s="7">
        <f>co2e_mt!L64</f>
        <v>0.69894510608999916</v>
      </c>
      <c r="P64" s="7">
        <f>co2e_mt!P64</f>
        <v>0.10290850079999994</v>
      </c>
    </row>
    <row r="65" spans="1:16" x14ac:dyDescent="0.3">
      <c r="A65" s="6" t="s">
        <v>294</v>
      </c>
      <c r="B65" s="11">
        <f>co2e_mt!S65</f>
        <v>1.8706618613099923</v>
      </c>
      <c r="C65" s="2">
        <f>geracao_mwh!D65</f>
        <v>0</v>
      </c>
      <c r="D65" s="2">
        <f>geracao_mwh!E65</f>
        <v>659465.30999999843</v>
      </c>
      <c r="E65" s="2">
        <f>geracao_mwh!F65</f>
        <v>0</v>
      </c>
      <c r="F65" s="2">
        <f>geracao_mwh!G65</f>
        <v>0</v>
      </c>
      <c r="G65" s="2">
        <f>geracao_mwh!H65</f>
        <v>975225.65000000026</v>
      </c>
      <c r="H65" s="2">
        <f>geracao_mwh!I65</f>
        <v>31113907.809999701</v>
      </c>
      <c r="I65" s="2">
        <f>geracao_mwh!J65</f>
        <v>0</v>
      </c>
      <c r="J65" s="2">
        <f>geracao_mwh!K65</f>
        <v>834262.52999999595</v>
      </c>
      <c r="K65" s="2">
        <f>geracao_mwh!L65</f>
        <v>2002.48</v>
      </c>
      <c r="L65" s="2">
        <f>geracao_mwh!M65</f>
        <v>84116.500000000015</v>
      </c>
      <c r="M65" s="7">
        <f>co2e_mt!H65</f>
        <v>1.0845412889999947E-2</v>
      </c>
      <c r="N65" s="7">
        <f>co2e_mt!K65</f>
        <v>1.1340844412099986</v>
      </c>
      <c r="O65" s="7">
        <f>co2e_mt!L65</f>
        <v>0.65339206400999372</v>
      </c>
      <c r="P65" s="7">
        <f>co2e_mt!P65</f>
        <v>7.233994320000002E-2</v>
      </c>
    </row>
    <row r="66" spans="1:16" x14ac:dyDescent="0.3">
      <c r="A66" s="6" t="s">
        <v>295</v>
      </c>
      <c r="B66" s="11">
        <f>co2e_mt!S66</f>
        <v>1.7282375062899906</v>
      </c>
      <c r="C66" s="2">
        <f>geracao_mwh!D66</f>
        <v>0</v>
      </c>
      <c r="D66" s="2">
        <f>geracao_mwh!E66</f>
        <v>546380.92999999947</v>
      </c>
      <c r="E66" s="2">
        <f>geracao_mwh!F66</f>
        <v>0</v>
      </c>
      <c r="F66" s="2">
        <f>geracao_mwh!G66</f>
        <v>0</v>
      </c>
      <c r="G66" s="2">
        <f>geracao_mwh!H66</f>
        <v>961475.80000000028</v>
      </c>
      <c r="H66" s="2">
        <f>geracao_mwh!I66</f>
        <v>30490403.149999578</v>
      </c>
      <c r="I66" s="2">
        <f>geracao_mwh!J66</f>
        <v>0</v>
      </c>
      <c r="J66" s="2">
        <f>geracao_mwh!K66</f>
        <v>1169653.1700000004</v>
      </c>
      <c r="K66" s="2">
        <f>geracao_mwh!L66</f>
        <v>0</v>
      </c>
      <c r="L66" s="2">
        <f>geracao_mwh!M66</f>
        <v>69677.379999999946</v>
      </c>
      <c r="M66" s="7">
        <f>co2e_mt!H66</f>
        <v>1.5205491210000005E-2</v>
      </c>
      <c r="N66" s="7">
        <f>co2e_mt!K66</f>
        <v>1.0142045497299996</v>
      </c>
      <c r="O66" s="7">
        <f>co2e_mt!L66</f>
        <v>0.64029846614999109</v>
      </c>
      <c r="P66" s="7">
        <f>co2e_mt!P66</f>
        <v>5.8528999199999945E-2</v>
      </c>
    </row>
    <row r="67" spans="1:16" x14ac:dyDescent="0.3">
      <c r="A67" s="6" t="s">
        <v>296</v>
      </c>
      <c r="B67" s="11">
        <f>co2e_mt!S67</f>
        <v>1.5410101779659908</v>
      </c>
      <c r="C67" s="2">
        <f>geracao_mwh!D67</f>
        <v>0</v>
      </c>
      <c r="D67" s="2">
        <f>geracao_mwh!E67</f>
        <v>454537.79000000021</v>
      </c>
      <c r="E67" s="2">
        <f>geracao_mwh!F67</f>
        <v>0</v>
      </c>
      <c r="F67" s="2">
        <f>geracao_mwh!G67</f>
        <v>0</v>
      </c>
      <c r="G67" s="2">
        <f>geracao_mwh!H67</f>
        <v>876301.78599999822</v>
      </c>
      <c r="H67" s="2">
        <f>geracao_mwh!I67</f>
        <v>29708969.249999579</v>
      </c>
      <c r="I67" s="2">
        <f>geracao_mwh!J67</f>
        <v>0</v>
      </c>
      <c r="J67" s="2">
        <f>geracao_mwh!K67</f>
        <v>1221831.410000006</v>
      </c>
      <c r="K67" s="2">
        <f>geracao_mwh!L67</f>
        <v>3044.1000000000008</v>
      </c>
      <c r="L67" s="2">
        <f>geracao_mwh!M67</f>
        <v>21197.589999999993</v>
      </c>
      <c r="M67" s="7">
        <f>co2e_mt!H67</f>
        <v>1.5883808330000079E-2</v>
      </c>
      <c r="N67" s="7">
        <f>co2e_mt!K67</f>
        <v>0.88087499578599937</v>
      </c>
      <c r="O67" s="7">
        <f>co2e_mt!L67</f>
        <v>0.62388835424999123</v>
      </c>
      <c r="P67" s="7">
        <f>co2e_mt!P67</f>
        <v>2.0363019599999994E-2</v>
      </c>
    </row>
    <row r="68" spans="1:16" x14ac:dyDescent="0.3">
      <c r="A68" s="6" t="s">
        <v>297</v>
      </c>
      <c r="B68" s="11">
        <f>co2e_mt!S68</f>
        <v>1.7097533639999971</v>
      </c>
      <c r="C68" s="2">
        <f>geracao_mwh!D68</f>
        <v>0</v>
      </c>
      <c r="D68" s="2">
        <f>geracao_mwh!E68</f>
        <v>514579.3399999984</v>
      </c>
      <c r="E68" s="2">
        <f>geracao_mwh!F68</f>
        <v>0</v>
      </c>
      <c r="F68" s="2">
        <f>geracao_mwh!G68</f>
        <v>0</v>
      </c>
      <c r="G68" s="2">
        <f>geracao_mwh!H68</f>
        <v>927003.429999999</v>
      </c>
      <c r="H68" s="2">
        <f>geracao_mwh!I68</f>
        <v>29978420.709999964</v>
      </c>
      <c r="I68" s="2">
        <f>geracao_mwh!J68</f>
        <v>0</v>
      </c>
      <c r="J68" s="2">
        <f>geracao_mwh!K68</f>
        <v>1039589.6899999987</v>
      </c>
      <c r="K68" s="2">
        <f>geracao_mwh!L68</f>
        <v>285.2</v>
      </c>
      <c r="L68" s="2">
        <f>geracao_mwh!M68</f>
        <v>120041.32000000004</v>
      </c>
      <c r="M68" s="7">
        <f>co2e_mt!H68</f>
        <v>1.3514665969999983E-2</v>
      </c>
      <c r="N68" s="7">
        <f>co2e_mt!K68</f>
        <v>0.96561758631999783</v>
      </c>
      <c r="O68" s="7">
        <f>co2e_mt!L68</f>
        <v>0.62954683490999919</v>
      </c>
      <c r="P68" s="7">
        <f>co2e_mt!P68</f>
        <v>0.10107427680000003</v>
      </c>
    </row>
    <row r="69" spans="1:16" x14ac:dyDescent="0.3">
      <c r="A69" s="6" t="s">
        <v>298</v>
      </c>
      <c r="B69" s="11">
        <f>co2e_mt!S69</f>
        <v>1.8006667548849964</v>
      </c>
      <c r="C69" s="2">
        <f>geracao_mwh!D69</f>
        <v>0</v>
      </c>
      <c r="D69" s="2">
        <f>geracao_mwh!E69</f>
        <v>518656.73000000254</v>
      </c>
      <c r="E69" s="2">
        <f>geracao_mwh!F69</f>
        <v>0</v>
      </c>
      <c r="F69" s="2">
        <f>geracao_mwh!G69</f>
        <v>0</v>
      </c>
      <c r="G69" s="2">
        <f>geracao_mwh!H69</f>
        <v>1061770.3699999959</v>
      </c>
      <c r="H69" s="2">
        <f>geracao_mwh!I69</f>
        <v>30964859.574999806</v>
      </c>
      <c r="I69" s="2">
        <f>geracao_mwh!J69</f>
        <v>0</v>
      </c>
      <c r="J69" s="2">
        <f>geracao_mwh!K69</f>
        <v>1188561.419999996</v>
      </c>
      <c r="K69" s="2">
        <f>geracao_mwh!L69</f>
        <v>472.44999999999993</v>
      </c>
      <c r="L69" s="2">
        <f>geracao_mwh!M69</f>
        <v>118286.61999999994</v>
      </c>
      <c r="M69" s="7">
        <f>co2e_mt!H69</f>
        <v>1.5451298459999947E-2</v>
      </c>
      <c r="N69" s="7">
        <f>co2e_mt!K69</f>
        <v>1.0351957865500006</v>
      </c>
      <c r="O69" s="7">
        <f>co2e_mt!L69</f>
        <v>0.65026205107499602</v>
      </c>
      <c r="P69" s="7">
        <f>co2e_mt!P69</f>
        <v>9.9757618799999948E-2</v>
      </c>
    </row>
    <row r="70" spans="1:16" x14ac:dyDescent="0.3">
      <c r="A70" s="6" t="s">
        <v>299</v>
      </c>
      <c r="B70" s="11">
        <f>co2e_mt!S70</f>
        <v>1.6272579018420068</v>
      </c>
      <c r="C70" s="2">
        <f>geracao_mwh!D70</f>
        <v>0</v>
      </c>
      <c r="D70" s="2">
        <f>geracao_mwh!E70</f>
        <v>410132.72999999928</v>
      </c>
      <c r="E70" s="2">
        <f>geracao_mwh!F70</f>
        <v>0</v>
      </c>
      <c r="F70" s="2">
        <f>geracao_mwh!G70</f>
        <v>0</v>
      </c>
      <c r="G70" s="2">
        <f>geracao_mwh!H70</f>
        <v>1017968.1870000014</v>
      </c>
      <c r="H70" s="2">
        <f>geracao_mwh!I70</f>
        <v>29940047.150000323</v>
      </c>
      <c r="I70" s="2">
        <f>geracao_mwh!J70</f>
        <v>0</v>
      </c>
      <c r="J70" s="2">
        <f>geracao_mwh!K70</f>
        <v>1208019.3600000059</v>
      </c>
      <c r="K70" s="2">
        <f>geracao_mwh!L70</f>
        <v>2711.8999999999996</v>
      </c>
      <c r="L70" s="2">
        <f>geracao_mwh!M70</f>
        <v>89594.359999999986</v>
      </c>
      <c r="M70" s="7">
        <f>co2e_mt!H70</f>
        <v>1.5704251680000079E-2</v>
      </c>
      <c r="N70" s="7">
        <f>co2e_mt!K70</f>
        <v>0.90527540161199993</v>
      </c>
      <c r="O70" s="7">
        <f>co2e_mt!L70</f>
        <v>0.62874099015000684</v>
      </c>
      <c r="P70" s="7">
        <f>co2e_mt!P70</f>
        <v>7.7537258399999989E-2</v>
      </c>
    </row>
    <row r="71" spans="1:16" x14ac:dyDescent="0.3">
      <c r="A71" s="6" t="s">
        <v>300</v>
      </c>
      <c r="B71" s="11">
        <f>co2e_mt!S71</f>
        <v>1.7605569191460022</v>
      </c>
      <c r="C71" s="2">
        <f>geracao_mwh!D71</f>
        <v>0</v>
      </c>
      <c r="D71" s="2">
        <f>geracao_mwh!E71</f>
        <v>344990.31600000098</v>
      </c>
      <c r="E71" s="2">
        <f>geracao_mwh!F71</f>
        <v>0</v>
      </c>
      <c r="F71" s="2">
        <f>geracao_mwh!G71</f>
        <v>0</v>
      </c>
      <c r="G71" s="2">
        <f>geracao_mwh!H71</f>
        <v>1428501.8019999962</v>
      </c>
      <c r="H71" s="2">
        <f>geracao_mwh!I71</f>
        <v>31474686.218000151</v>
      </c>
      <c r="I71" s="2">
        <f>geracao_mwh!J71</f>
        <v>0</v>
      </c>
      <c r="J71" s="2">
        <f>geracao_mwh!K71</f>
        <v>1171517.2799999972</v>
      </c>
      <c r="K71" s="2">
        <f>geracao_mwh!L71</f>
        <v>4914.3070000000016</v>
      </c>
      <c r="L71" s="2">
        <f>geracao_mwh!M71</f>
        <v>48385.218999999997</v>
      </c>
      <c r="M71" s="7">
        <f>co2e_mt!H71</f>
        <v>1.5229724639999961E-2</v>
      </c>
      <c r="N71" s="7">
        <f>co2e_mt!K71</f>
        <v>1.0395871820879992</v>
      </c>
      <c r="O71" s="7">
        <f>co2e_mt!L71</f>
        <v>0.66096841057800315</v>
      </c>
      <c r="P71" s="7">
        <f>co2e_mt!P71</f>
        <v>4.4771601840000001E-2</v>
      </c>
    </row>
    <row r="72" spans="1:16" x14ac:dyDescent="0.3">
      <c r="A72" s="6" t="s">
        <v>301</v>
      </c>
      <c r="B72" s="11">
        <f>co2e_mt!S72</f>
        <v>1.8682155476910038</v>
      </c>
      <c r="C72" s="2">
        <f>geracao_mwh!D72</f>
        <v>0</v>
      </c>
      <c r="D72" s="2">
        <f>geracao_mwh!E72</f>
        <v>468622.13499999902</v>
      </c>
      <c r="E72" s="2">
        <f>geracao_mwh!F72</f>
        <v>0</v>
      </c>
      <c r="F72" s="2">
        <f>geracao_mwh!G72</f>
        <v>0</v>
      </c>
      <c r="G72" s="2">
        <f>geracao_mwh!H72</f>
        <v>1487678.5090000061</v>
      </c>
      <c r="H72" s="2">
        <f>geracao_mwh!I72</f>
        <v>30237723.472000085</v>
      </c>
      <c r="I72" s="2">
        <f>geracao_mwh!J72</f>
        <v>0</v>
      </c>
      <c r="J72" s="2">
        <f>geracao_mwh!K72</f>
        <v>965350.27000000107</v>
      </c>
      <c r="K72" s="2">
        <f>geracao_mwh!L72</f>
        <v>2418.2489999999998</v>
      </c>
      <c r="L72" s="2">
        <f>geracao_mwh!M72</f>
        <v>31595.19000000001</v>
      </c>
      <c r="M72" s="7">
        <f>co2e_mt!H72</f>
        <v>1.2549553510000014E-2</v>
      </c>
      <c r="N72" s="7">
        <f>co2e_mt!K72</f>
        <v>1.1921025125090021</v>
      </c>
      <c r="O72" s="7">
        <f>co2e_mt!L72</f>
        <v>0.63499219291200171</v>
      </c>
      <c r="P72" s="7">
        <f>co2e_mt!P72</f>
        <v>2.8571288760000008E-2</v>
      </c>
    </row>
    <row r="73" spans="1:16" x14ac:dyDescent="0.3">
      <c r="A73" s="6" t="s">
        <v>302</v>
      </c>
      <c r="B73" s="11">
        <f>co2e_mt!S73</f>
        <v>1.904541730875994</v>
      </c>
      <c r="C73" s="2">
        <f>geracao_mwh!D73</f>
        <v>0</v>
      </c>
      <c r="D73" s="2">
        <f>geracao_mwh!E73</f>
        <v>478431.26999999804</v>
      </c>
      <c r="E73" s="2">
        <f>geracao_mwh!F73</f>
        <v>0</v>
      </c>
      <c r="F73" s="2">
        <f>geracao_mwh!G73</f>
        <v>0</v>
      </c>
      <c r="G73" s="2">
        <f>geracao_mwh!H73</f>
        <v>1375660.8159999971</v>
      </c>
      <c r="H73" s="2">
        <f>geracao_mwh!I73</f>
        <v>31936265.389999863</v>
      </c>
      <c r="I73" s="2">
        <f>geracao_mwh!J73</f>
        <v>0</v>
      </c>
      <c r="J73" s="2">
        <f>geracao_mwh!K73</f>
        <v>331174.48000000109</v>
      </c>
      <c r="K73" s="2">
        <f>geracao_mwh!L73</f>
        <v>5131.6100000000024</v>
      </c>
      <c r="L73" s="2">
        <f>geracao_mwh!M73</f>
        <v>92599.380000000019</v>
      </c>
      <c r="M73" s="7">
        <f>co2e_mt!H73</f>
        <v>4.3052682400000139E-3</v>
      </c>
      <c r="N73" s="7">
        <f>co2e_mt!K73</f>
        <v>1.1474808578459967</v>
      </c>
      <c r="O73" s="7">
        <f>co2e_mt!L73</f>
        <v>0.67066157318999708</v>
      </c>
      <c r="P73" s="7">
        <f>co2e_mt!P73</f>
        <v>8.209403160000002E-2</v>
      </c>
    </row>
    <row r="74" spans="1:16" x14ac:dyDescent="0.3">
      <c r="A74" s="6" t="s">
        <v>303</v>
      </c>
      <c r="B74" s="11">
        <f>co2e_mt!S74</f>
        <v>1.8831414830599951</v>
      </c>
      <c r="C74" s="2">
        <f>geracao_mwh!D74</f>
        <v>0</v>
      </c>
      <c r="D74" s="2">
        <f>geracao_mwh!E74</f>
        <v>483901.07000000018</v>
      </c>
      <c r="E74" s="2">
        <f>geracao_mwh!F74</f>
        <v>0</v>
      </c>
      <c r="F74" s="2">
        <f>geracao_mwh!G74</f>
        <v>0</v>
      </c>
      <c r="G74" s="2">
        <f>geracao_mwh!H74</f>
        <v>1281593.8100000019</v>
      </c>
      <c r="H74" s="2">
        <f>geracao_mwh!I74</f>
        <v>33354777.689999722</v>
      </c>
      <c r="I74" s="2">
        <f>geracao_mwh!J74</f>
        <v>0</v>
      </c>
      <c r="J74" s="2">
        <f>geracao_mwh!K74</f>
        <v>325638.2799999995</v>
      </c>
      <c r="K74" s="2">
        <f>geracao_mwh!L74</f>
        <v>0.24000000000000007</v>
      </c>
      <c r="L74" s="2">
        <f>geracao_mwh!M74</f>
        <v>84783.439999999973</v>
      </c>
      <c r="M74" s="7">
        <f>co2e_mt!H74</f>
        <v>4.2332976399999936E-3</v>
      </c>
      <c r="N74" s="7">
        <f>co2e_mt!K74</f>
        <v>1.1072395627300011</v>
      </c>
      <c r="O74" s="7">
        <f>co2e_mt!L74</f>
        <v>0.70045033148999414</v>
      </c>
      <c r="P74" s="7">
        <f>co2e_mt!P74</f>
        <v>7.1218291199999964E-2</v>
      </c>
    </row>
    <row r="75" spans="1:16" x14ac:dyDescent="0.3">
      <c r="A75" s="6" t="s">
        <v>304</v>
      </c>
      <c r="B75" s="11">
        <f>co2e_mt!S75</f>
        <v>1.7878639909879994</v>
      </c>
      <c r="C75" s="2">
        <f>geracao_mwh!D75</f>
        <v>0</v>
      </c>
      <c r="D75" s="2">
        <f>geracao_mwh!E75</f>
        <v>479185.9399999993</v>
      </c>
      <c r="E75" s="2">
        <f>geracao_mwh!F75</f>
        <v>0</v>
      </c>
      <c r="F75" s="2">
        <f>geracao_mwh!G75</f>
        <v>0</v>
      </c>
      <c r="G75" s="2">
        <f>geracao_mwh!H75</f>
        <v>1244840.1679999968</v>
      </c>
      <c r="H75" s="2">
        <f>geracao_mwh!I75</f>
        <v>30051735.220000088</v>
      </c>
      <c r="I75" s="2">
        <f>geracao_mwh!J75</f>
        <v>0</v>
      </c>
      <c r="J75" s="2">
        <f>geracao_mwh!K75</f>
        <v>883118.25999999559</v>
      </c>
      <c r="K75" s="2">
        <f>geracao_mwh!L75</f>
        <v>0</v>
      </c>
      <c r="L75" s="2">
        <f>geracao_mwh!M75</f>
        <v>72189.959999999977</v>
      </c>
      <c r="M75" s="7">
        <f>co2e_mt!H75</f>
        <v>1.1480537379999942E-2</v>
      </c>
      <c r="N75" s="7">
        <f>co2e_mt!K75</f>
        <v>1.0846574475879978</v>
      </c>
      <c r="O75" s="7">
        <f>co2e_mt!L75</f>
        <v>0.63108643962000188</v>
      </c>
      <c r="P75" s="7">
        <f>co2e_mt!P75</f>
        <v>6.0639566399999976E-2</v>
      </c>
    </row>
    <row r="76" spans="1:16" x14ac:dyDescent="0.3">
      <c r="A76" s="6" t="s">
        <v>305</v>
      </c>
      <c r="B76" s="11">
        <f>co2e_mt!S76</f>
        <v>1.9780336086199986</v>
      </c>
      <c r="C76" s="2">
        <f>geracao_mwh!D76</f>
        <v>0</v>
      </c>
      <c r="D76" s="2">
        <f>geracao_mwh!E76</f>
        <v>599644.97000000242</v>
      </c>
      <c r="E76" s="2">
        <f>geracao_mwh!F76</f>
        <v>9.7099999999999991</v>
      </c>
      <c r="F76" s="2">
        <f>geracao_mwh!G76</f>
        <v>0</v>
      </c>
      <c r="G76" s="2">
        <f>geracao_mwh!H76</f>
        <v>1169053.0299999986</v>
      </c>
      <c r="H76" s="2">
        <f>geracao_mwh!I76</f>
        <v>33953958.509999856</v>
      </c>
      <c r="I76" s="2">
        <f>geracao_mwh!J76</f>
        <v>0</v>
      </c>
      <c r="J76" s="2">
        <f>geracao_mwh!K76</f>
        <v>1275505.609999991</v>
      </c>
      <c r="K76" s="2">
        <f>geracao_mwh!L76</f>
        <v>0</v>
      </c>
      <c r="L76" s="2">
        <f>geracao_mwh!M76</f>
        <v>95255.23</v>
      </c>
      <c r="M76" s="7">
        <f>co2e_mt!H76</f>
        <v>1.6581699159999883E-2</v>
      </c>
      <c r="N76" s="7">
        <f>co2e_mt!K76</f>
        <v>1.1684043875500016</v>
      </c>
      <c r="O76" s="7">
        <f>co2e_mt!L76</f>
        <v>0.71303312870999691</v>
      </c>
      <c r="P76" s="7">
        <f>co2e_mt!P76</f>
        <v>8.0014393200000006E-2</v>
      </c>
    </row>
    <row r="77" spans="1:16" x14ac:dyDescent="0.3">
      <c r="A77" s="6" t="s">
        <v>306</v>
      </c>
      <c r="B77" s="11">
        <f>co2e_mt!S77</f>
        <v>1.5821545594399946</v>
      </c>
      <c r="C77" s="2">
        <f>geracao_mwh!D77</f>
        <v>0</v>
      </c>
      <c r="D77" s="2">
        <f>geracao_mwh!E77</f>
        <v>553906.2399999979</v>
      </c>
      <c r="E77" s="2">
        <f>geracao_mwh!F77</f>
        <v>344.18000000000012</v>
      </c>
      <c r="F77" s="2">
        <f>geracao_mwh!G77</f>
        <v>0</v>
      </c>
      <c r="G77" s="2">
        <f>geracao_mwh!H77</f>
        <v>606262.00999999966</v>
      </c>
      <c r="H77" s="2">
        <f>geracao_mwh!I77</f>
        <v>31438196.709999863</v>
      </c>
      <c r="I77" s="2">
        <f>geracao_mwh!J77</f>
        <v>0</v>
      </c>
      <c r="J77" s="2">
        <f>geracao_mwh!K77</f>
        <v>1179237.1299999934</v>
      </c>
      <c r="K77" s="2">
        <f>geracao_mwh!L77</f>
        <v>3532.6299999999992</v>
      </c>
      <c r="L77" s="2">
        <f>geracao_mwh!M77</f>
        <v>64936.880000000048</v>
      </c>
      <c r="M77" s="7">
        <f>co2e_mt!H77</f>
        <v>1.5334557029999911E-2</v>
      </c>
      <c r="N77" s="7">
        <f>co2e_mt!K77</f>
        <v>0.84910348309999772</v>
      </c>
      <c r="O77" s="7">
        <f>co2e_mt!L77</f>
        <v>0.66020213090999702</v>
      </c>
      <c r="P77" s="7">
        <f>co2e_mt!P77</f>
        <v>5.751438840000004E-2</v>
      </c>
    </row>
    <row r="78" spans="1:16" x14ac:dyDescent="0.3">
      <c r="A78" s="6" t="s">
        <v>307</v>
      </c>
      <c r="B78" s="11">
        <f>co2e_mt!S78</f>
        <v>1.7547248603947969</v>
      </c>
      <c r="C78" s="2">
        <f>geracao_mwh!D78</f>
        <v>0</v>
      </c>
      <c r="D78" s="2">
        <f>geracao_mwh!E78</f>
        <v>624464.67000000109</v>
      </c>
      <c r="E78" s="2">
        <f>geracao_mwh!F78</f>
        <v>1724.6695999999995</v>
      </c>
      <c r="F78" s="2">
        <f>geracao_mwh!G78</f>
        <v>0</v>
      </c>
      <c r="G78" s="2">
        <f>geracao_mwh!H78</f>
        <v>799381.43000000122</v>
      </c>
      <c r="H78" s="2">
        <f>geracao_mwh!I78</f>
        <v>31604886.879999772</v>
      </c>
      <c r="I78" s="2">
        <f>geracao_mwh!J78</f>
        <v>0</v>
      </c>
      <c r="J78" s="2">
        <f>geracao_mwh!K78</f>
        <v>1130644.9199999976</v>
      </c>
      <c r="K78" s="2">
        <f>geracao_mwh!L78</f>
        <v>3532.19</v>
      </c>
      <c r="L78" s="2">
        <f>geracao_mwh!M78</f>
        <v>71126.050000000148</v>
      </c>
      <c r="M78" s="7">
        <f>co2e_mt!H78</f>
        <v>1.4720804664799969E-2</v>
      </c>
      <c r="N78" s="7">
        <f>co2e_mt!K78</f>
        <v>1.0135885096500017</v>
      </c>
      <c r="O78" s="7">
        <f>co2e_mt!L78</f>
        <v>0.66370262447999528</v>
      </c>
      <c r="P78" s="7">
        <f>co2e_mt!P78</f>
        <v>6.2712921600000124E-2</v>
      </c>
    </row>
    <row r="79" spans="1:16" x14ac:dyDescent="0.3">
      <c r="A79" s="6" t="s">
        <v>308</v>
      </c>
      <c r="B79" s="11">
        <f>co2e_mt!S79</f>
        <v>1.6747729263899853</v>
      </c>
      <c r="C79" s="2">
        <f>geracao_mwh!D79</f>
        <v>0</v>
      </c>
      <c r="D79" s="2">
        <f>geracao_mwh!E79</f>
        <v>596842.21999999881</v>
      </c>
      <c r="E79" s="2">
        <f>geracao_mwh!F79</f>
        <v>8398.59</v>
      </c>
      <c r="F79" s="2">
        <f>geracao_mwh!G79</f>
        <v>0</v>
      </c>
      <c r="G79" s="2">
        <f>geracao_mwh!H79</f>
        <v>720251.61999999906</v>
      </c>
      <c r="H79" s="2">
        <f>geracao_mwh!I79</f>
        <v>30742586.549999371</v>
      </c>
      <c r="I79" s="2">
        <f>geracao_mwh!J79</f>
        <v>0</v>
      </c>
      <c r="J79" s="2">
        <f>geracao_mwh!K79</f>
        <v>1005747.1100000012</v>
      </c>
      <c r="K79" s="2">
        <f>geracao_mwh!L79</f>
        <v>11546.920000000004</v>
      </c>
      <c r="L79" s="2">
        <f>geracao_mwh!M79</f>
        <v>70016.609999999957</v>
      </c>
      <c r="M79" s="7">
        <f>co2e_mt!H79</f>
        <v>1.3183894100000015E-2</v>
      </c>
      <c r="N79" s="7">
        <f>co2e_mt!K79</f>
        <v>0.9474813495399983</v>
      </c>
      <c r="O79" s="7">
        <f>co2e_mt!L79</f>
        <v>0.64559431754998686</v>
      </c>
      <c r="P79" s="7">
        <f>co2e_mt!P79</f>
        <v>6.8513365199999968E-2</v>
      </c>
    </row>
    <row r="80" spans="1:16" x14ac:dyDescent="0.3">
      <c r="A80" s="6" t="s">
        <v>309</v>
      </c>
      <c r="B80" s="11">
        <f>co2e_mt!S80</f>
        <v>1.8798118679400004</v>
      </c>
      <c r="C80" s="2">
        <f>geracao_mwh!D80</f>
        <v>0</v>
      </c>
      <c r="D80" s="2">
        <f>geracao_mwh!E80</f>
        <v>656076.9799999994</v>
      </c>
      <c r="E80" s="2">
        <f>geracao_mwh!F80</f>
        <v>17966.63</v>
      </c>
      <c r="F80" s="2">
        <f>geracao_mwh!G80</f>
        <v>0</v>
      </c>
      <c r="G80" s="2">
        <f>geracao_mwh!H80</f>
        <v>959792.93999999855</v>
      </c>
      <c r="H80" s="2">
        <f>geracao_mwh!I80</f>
        <v>31273776.080000088</v>
      </c>
      <c r="I80" s="2">
        <f>geracao_mwh!J80</f>
        <v>0</v>
      </c>
      <c r="J80" s="2">
        <f>geracao_mwh!K80</f>
        <v>1322473.6500000018</v>
      </c>
      <c r="K80" s="2">
        <f>geracao_mwh!L80</f>
        <v>26867.039999999997</v>
      </c>
      <c r="L80" s="2">
        <f>geracao_mwh!M80</f>
        <v>71281.080000000031</v>
      </c>
      <c r="M80" s="7">
        <f>co2e_mt!H80</f>
        <v>1.7425723640000022E-2</v>
      </c>
      <c r="N80" s="7">
        <f>co2e_mt!K80</f>
        <v>1.1231924258199988</v>
      </c>
      <c r="O80" s="7">
        <f>co2e_mt!L80</f>
        <v>0.65674929768000179</v>
      </c>
      <c r="P80" s="7">
        <f>co2e_mt!P80</f>
        <v>8.2444420800000015E-2</v>
      </c>
    </row>
    <row r="81" spans="1:16" x14ac:dyDescent="0.3">
      <c r="A81" s="6" t="s">
        <v>310</v>
      </c>
      <c r="B81" s="11">
        <f>co2e_mt!S81</f>
        <v>1.8957008208200008</v>
      </c>
      <c r="C81" s="2">
        <f>geracao_mwh!D81</f>
        <v>0</v>
      </c>
      <c r="D81" s="2">
        <f>geracao_mwh!E81</f>
        <v>631189.3100000011</v>
      </c>
      <c r="E81" s="2">
        <f>geracao_mwh!F81</f>
        <v>27841</v>
      </c>
      <c r="F81" s="2">
        <f>geracao_mwh!G81</f>
        <v>0</v>
      </c>
      <c r="G81" s="2">
        <f>geracao_mwh!H81</f>
        <v>1011677.8599999959</v>
      </c>
      <c r="H81" s="2">
        <f>geracao_mwh!I81</f>
        <v>32385394.770000085</v>
      </c>
      <c r="I81" s="2">
        <f>geracao_mwh!J81</f>
        <v>0</v>
      </c>
      <c r="J81" s="2">
        <f>geracao_mwh!K81</f>
        <v>1328743.2599999986</v>
      </c>
      <c r="K81" s="2">
        <f>geracao_mwh!L81</f>
        <v>46200.94000000001</v>
      </c>
      <c r="L81" s="2">
        <f>geracao_mwh!M81</f>
        <v>42460.960000000021</v>
      </c>
      <c r="M81" s="7">
        <f>co2e_mt!H81</f>
        <v>1.763559537999998E-2</v>
      </c>
      <c r="N81" s="7">
        <f>co2e_mt!K81</f>
        <v>1.1234959392699992</v>
      </c>
      <c r="O81" s="7">
        <f>co2e_mt!L81</f>
        <v>0.68009329017000175</v>
      </c>
      <c r="P81" s="7">
        <f>co2e_mt!P81</f>
        <v>7.4475996000000017E-2</v>
      </c>
    </row>
    <row r="82" spans="1:16" x14ac:dyDescent="0.3">
      <c r="A82" s="6" t="s">
        <v>311</v>
      </c>
      <c r="B82" s="11">
        <f>co2e_mt!S82</f>
        <v>1.9578882614739974</v>
      </c>
      <c r="C82" s="2">
        <f>geracao_mwh!D82</f>
        <v>2175.5800000000004</v>
      </c>
      <c r="D82" s="2">
        <f>geracao_mwh!E82</f>
        <v>650691.33000000101</v>
      </c>
      <c r="E82" s="2">
        <f>geracao_mwh!F82</f>
        <v>36606.150000000038</v>
      </c>
      <c r="F82" s="2">
        <f>geracao_mwh!G82</f>
        <v>0</v>
      </c>
      <c r="G82" s="2">
        <f>geracao_mwh!H82</f>
        <v>1279807.6740000015</v>
      </c>
      <c r="H82" s="2">
        <f>geracao_mwh!I82</f>
        <v>30504688.339999802</v>
      </c>
      <c r="I82" s="2">
        <f>geracao_mwh!J82</f>
        <v>0</v>
      </c>
      <c r="J82" s="2">
        <f>geracao_mwh!K82</f>
        <v>1324166.0099999979</v>
      </c>
      <c r="K82" s="2">
        <f>geracao_mwh!L82</f>
        <v>17318.28</v>
      </c>
      <c r="L82" s="2">
        <f>geracao_mwh!M82</f>
        <v>13822.300000000001</v>
      </c>
      <c r="M82" s="7">
        <f>co2e_mt!H82</f>
        <v>1.7803168239999972E-2</v>
      </c>
      <c r="N82" s="7">
        <f>co2e_mt!K82</f>
        <v>1.2733285508940018</v>
      </c>
      <c r="O82" s="7">
        <f>co2e_mt!L82</f>
        <v>0.6405984551399958</v>
      </c>
      <c r="P82" s="7">
        <f>co2e_mt!P82</f>
        <v>2.6158087200000003E-2</v>
      </c>
    </row>
    <row r="83" spans="1:16" x14ac:dyDescent="0.3">
      <c r="A83" s="6" t="s">
        <v>312</v>
      </c>
      <c r="B83" s="11">
        <f>co2e_mt!S83</f>
        <v>1.9907881346919851</v>
      </c>
      <c r="C83" s="2">
        <f>geracao_mwh!D83</f>
        <v>8285.9099999999962</v>
      </c>
      <c r="D83" s="2">
        <f>geracao_mwh!E83</f>
        <v>608271.54000000155</v>
      </c>
      <c r="E83" s="2">
        <f>geracao_mwh!F83</f>
        <v>51408.250000000087</v>
      </c>
      <c r="F83" s="2">
        <f>geracao_mwh!G83</f>
        <v>0</v>
      </c>
      <c r="G83" s="2">
        <f>geracao_mwh!H83</f>
        <v>1415954.221999994</v>
      </c>
      <c r="H83" s="2">
        <f>geracao_mwh!I83</f>
        <v>31966125.079999339</v>
      </c>
      <c r="I83" s="2">
        <f>geracao_mwh!J83</f>
        <v>0</v>
      </c>
      <c r="J83" s="2">
        <f>geracao_mwh!K83</f>
        <v>1361974.7700000061</v>
      </c>
      <c r="K83" s="2">
        <f>geracao_mwh!L83</f>
        <v>0</v>
      </c>
      <c r="L83" s="2">
        <f>geracao_mwh!M83</f>
        <v>4358.4500000000007</v>
      </c>
      <c r="M83" s="7">
        <f>co2e_mt!H83</f>
        <v>1.8804846580000076E-2</v>
      </c>
      <c r="N83" s="7">
        <f>co2e_mt!K83</f>
        <v>1.2970335634319987</v>
      </c>
      <c r="O83" s="7">
        <f>co2e_mt!L83</f>
        <v>0.67128862667998612</v>
      </c>
      <c r="P83" s="7">
        <f>co2e_mt!P83</f>
        <v>3.6610980000000011E-3</v>
      </c>
    </row>
    <row r="84" spans="1:16" x14ac:dyDescent="0.3">
      <c r="A84" s="6" t="s">
        <v>313</v>
      </c>
      <c r="B84" s="11">
        <f>co2e_mt!S84</f>
        <v>1.5916441958199958</v>
      </c>
      <c r="C84" s="2">
        <f>geracao_mwh!D84</f>
        <v>7726.1099999999842</v>
      </c>
      <c r="D84" s="2">
        <f>geracao_mwh!E84</f>
        <v>440502.83000000048</v>
      </c>
      <c r="E84" s="2">
        <f>geracao_mwh!F84</f>
        <v>47501.310000000019</v>
      </c>
      <c r="F84" s="2">
        <f>geracao_mwh!G84</f>
        <v>0</v>
      </c>
      <c r="G84" s="2">
        <f>geracao_mwh!H84</f>
        <v>949029.14999999828</v>
      </c>
      <c r="H84" s="2">
        <f>geracao_mwh!I84</f>
        <v>32007462.869999807</v>
      </c>
      <c r="I84" s="2">
        <f>geracao_mwh!J84</f>
        <v>0</v>
      </c>
      <c r="J84" s="2">
        <f>geracao_mwh!K84</f>
        <v>1253592.390000002</v>
      </c>
      <c r="K84" s="2">
        <f>geracao_mwh!L84</f>
        <v>0</v>
      </c>
      <c r="L84" s="2">
        <f>geracao_mwh!M84</f>
        <v>0</v>
      </c>
      <c r="M84" s="7">
        <f>co2e_mt!H84</f>
        <v>1.7315975820000024E-2</v>
      </c>
      <c r="N84" s="7">
        <f>co2e_mt!K84</f>
        <v>0.90217149972999966</v>
      </c>
      <c r="O84" s="7">
        <f>co2e_mt!L84</f>
        <v>0.67215672026999596</v>
      </c>
      <c r="P84" s="7">
        <f>co2e_mt!P84</f>
        <v>0</v>
      </c>
    </row>
    <row r="85" spans="1:16" x14ac:dyDescent="0.3">
      <c r="A85" s="6" t="s">
        <v>314</v>
      </c>
      <c r="B85" s="11">
        <f>co2e_mt!S85</f>
        <v>1.6934420019399903</v>
      </c>
      <c r="C85" s="2">
        <f>geracao_mwh!D85</f>
        <v>6037.7800000000043</v>
      </c>
      <c r="D85" s="2">
        <f>geracao_mwh!E85</f>
        <v>361239.7099999988</v>
      </c>
      <c r="E85" s="2">
        <f>geracao_mwh!F85</f>
        <v>45701.360000000052</v>
      </c>
      <c r="F85" s="2">
        <f>geracao_mwh!G85</f>
        <v>0</v>
      </c>
      <c r="G85" s="2">
        <f>geracao_mwh!H85</f>
        <v>1279293.4400000018</v>
      </c>
      <c r="H85" s="2">
        <f>geracao_mwh!I85</f>
        <v>32927799.239999544</v>
      </c>
      <c r="I85" s="2">
        <f>geracao_mwh!J85</f>
        <v>0</v>
      </c>
      <c r="J85" s="2">
        <f>geracao_mwh!K85</f>
        <v>1361838.8700000104</v>
      </c>
      <c r="K85" s="2">
        <f>geracao_mwh!L85</f>
        <v>10.319999999999999</v>
      </c>
      <c r="L85" s="2">
        <f>geracao_mwh!M85</f>
        <v>0</v>
      </c>
      <c r="M85" s="7">
        <f>co2e_mt!H85</f>
        <v>1.8611987550000132E-2</v>
      </c>
      <c r="N85" s="7">
        <f>co2e_mt!K85</f>
        <v>0.98333756154999974</v>
      </c>
      <c r="O85" s="7">
        <f>co2e_mt!L85</f>
        <v>0.69148378403999033</v>
      </c>
      <c r="P85" s="7">
        <f>co2e_mt!P85</f>
        <v>8.6687999999999974E-6</v>
      </c>
    </row>
    <row r="86" spans="1:16" x14ac:dyDescent="0.3">
      <c r="A86" s="6" t="s">
        <v>315</v>
      </c>
      <c r="B86" s="11">
        <f>co2e_mt!S86</f>
        <v>1.5352385251099987</v>
      </c>
      <c r="C86" s="2">
        <f>geracao_mwh!D86</f>
        <v>8374.8700000000026</v>
      </c>
      <c r="D86" s="2">
        <f>geracao_mwh!E86</f>
        <v>427950.11999999953</v>
      </c>
      <c r="E86" s="2">
        <f>geracao_mwh!F86</f>
        <v>44518.779999999962</v>
      </c>
      <c r="F86" s="2">
        <f>geracao_mwh!G86</f>
        <v>0</v>
      </c>
      <c r="G86" s="2">
        <f>geracao_mwh!H86</f>
        <v>764288.7099999974</v>
      </c>
      <c r="H86" s="2">
        <f>geracao_mwh!I86</f>
        <v>34351601.710000031</v>
      </c>
      <c r="I86" s="2">
        <f>geracao_mwh!J86</f>
        <v>0</v>
      </c>
      <c r="J86" s="2">
        <f>geracao_mwh!K86</f>
        <v>1001405.2799999956</v>
      </c>
      <c r="K86" s="2">
        <f>geracao_mwh!L86</f>
        <v>0</v>
      </c>
      <c r="L86" s="2">
        <f>geracao_mwh!M86</f>
        <v>0</v>
      </c>
      <c r="M86" s="7">
        <f>co2e_mt!H86</f>
        <v>1.4032506019999943E-2</v>
      </c>
      <c r="N86" s="7">
        <f>co2e_mt!K86</f>
        <v>0.79982238317999821</v>
      </c>
      <c r="O86" s="7">
        <f>co2e_mt!L86</f>
        <v>0.72138363591000065</v>
      </c>
      <c r="P86" s="7">
        <f>co2e_mt!P86</f>
        <v>0</v>
      </c>
    </row>
    <row r="87" spans="1:16" x14ac:dyDescent="0.3">
      <c r="A87" s="6" t="s">
        <v>316</v>
      </c>
      <c r="B87" s="11">
        <f>co2e_mt!S87</f>
        <v>1.2854295910399922</v>
      </c>
      <c r="C87" s="2">
        <f>geracao_mwh!D87</f>
        <v>7038.3900000000049</v>
      </c>
      <c r="D87" s="2">
        <f>geracao_mwh!E87</f>
        <v>321092.86000000022</v>
      </c>
      <c r="E87" s="2">
        <f>geracao_mwh!F87</f>
        <v>36306.070000000014</v>
      </c>
      <c r="F87" s="2">
        <f>geracao_mwh!G87</f>
        <v>0</v>
      </c>
      <c r="G87" s="2">
        <f>geracao_mwh!H87</f>
        <v>503756.00999999914</v>
      </c>
      <c r="H87" s="2">
        <f>geracao_mwh!I87</f>
        <v>31907345.02999964</v>
      </c>
      <c r="I87" s="2">
        <f>geracao_mwh!J87</f>
        <v>0</v>
      </c>
      <c r="J87" s="2">
        <f>geracao_mwh!K87</f>
        <v>725695.69999999867</v>
      </c>
      <c r="K87" s="2">
        <f>geracao_mwh!L87</f>
        <v>0</v>
      </c>
      <c r="L87" s="2">
        <f>geracao_mwh!M87</f>
        <v>46266.60999999995</v>
      </c>
      <c r="M87" s="7">
        <f>co2e_mt!H87</f>
        <v>1.0272019289999983E-2</v>
      </c>
      <c r="N87" s="7">
        <f>co2e_mt!K87</f>
        <v>0.56623937371999988</v>
      </c>
      <c r="O87" s="7">
        <f>co2e_mt!L87</f>
        <v>0.67005424562999238</v>
      </c>
      <c r="P87" s="7">
        <f>co2e_mt!P87</f>
        <v>3.8863952399999957E-2</v>
      </c>
    </row>
    <row r="88" spans="1:16" x14ac:dyDescent="0.3">
      <c r="A88" s="6" t="s">
        <v>317</v>
      </c>
      <c r="B88" s="11">
        <f>co2e_mt!S88</f>
        <v>1.5215902559359946</v>
      </c>
      <c r="C88" s="2">
        <f>geracao_mwh!D88</f>
        <v>6857.5799999999908</v>
      </c>
      <c r="D88" s="2">
        <f>geracao_mwh!E88</f>
        <v>403210.9000000013</v>
      </c>
      <c r="E88" s="2">
        <f>geracao_mwh!F88</f>
        <v>28729.609999999939</v>
      </c>
      <c r="F88" s="2">
        <f>geracao_mwh!G88</f>
        <v>0</v>
      </c>
      <c r="G88" s="2">
        <f>geracao_mwh!H88</f>
        <v>567549.01000000024</v>
      </c>
      <c r="H88" s="2">
        <f>geracao_mwh!I88</f>
        <v>36912042.495999672</v>
      </c>
      <c r="I88" s="2">
        <f>geracao_mwh!J88</f>
        <v>0</v>
      </c>
      <c r="J88" s="2">
        <f>geracao_mwh!K88</f>
        <v>689057.59000000299</v>
      </c>
      <c r="K88" s="2">
        <f>geracao_mwh!L88</f>
        <v>0</v>
      </c>
      <c r="L88" s="2">
        <f>geracao_mwh!M88</f>
        <v>68222.150000000023</v>
      </c>
      <c r="M88" s="7">
        <f>co2e_mt!H88</f>
        <v>9.6878277600000364E-3</v>
      </c>
      <c r="N88" s="7">
        <f>co2e_mt!K88</f>
        <v>0.67944292976000142</v>
      </c>
      <c r="O88" s="7">
        <f>co2e_mt!L88</f>
        <v>0.77515289241599317</v>
      </c>
      <c r="P88" s="7">
        <f>co2e_mt!P88</f>
        <v>5.7306606000000024E-2</v>
      </c>
    </row>
    <row r="89" spans="1:16" x14ac:dyDescent="0.3">
      <c r="A89" s="6" t="s">
        <v>318</v>
      </c>
      <c r="B89" s="11">
        <f>co2e_mt!S89</f>
        <v>1.4189971108199912</v>
      </c>
      <c r="C89" s="2">
        <f>geracao_mwh!D89</f>
        <v>3757.1299999999997</v>
      </c>
      <c r="D89" s="2">
        <f>geracao_mwh!E89</f>
        <v>349987.95999999956</v>
      </c>
      <c r="E89" s="2">
        <f>geracao_mwh!F89</f>
        <v>37405.239999999962</v>
      </c>
      <c r="F89" s="2">
        <f>geracao_mwh!G89</f>
        <v>0</v>
      </c>
      <c r="G89" s="2">
        <f>geracao_mwh!H89</f>
        <v>624916.58000000147</v>
      </c>
      <c r="H89" s="2">
        <f>geracao_mwh!I89</f>
        <v>34440193.389999576</v>
      </c>
      <c r="I89" s="2">
        <f>geracao_mwh!J89</f>
        <v>0</v>
      </c>
      <c r="J89" s="2">
        <f>geracao_mwh!K89</f>
        <v>579877.27000000037</v>
      </c>
      <c r="K89" s="2">
        <f>geracao_mwh!L89</f>
        <v>0</v>
      </c>
      <c r="L89" s="2">
        <f>geracao_mwh!M89</f>
        <v>39863.81</v>
      </c>
      <c r="M89" s="7">
        <f>co2e_mt!H89</f>
        <v>8.2200433900000043E-3</v>
      </c>
      <c r="N89" s="7">
        <f>co2e_mt!K89</f>
        <v>0.65404740584000021</v>
      </c>
      <c r="O89" s="7">
        <f>co2e_mt!L89</f>
        <v>0.72324406118999096</v>
      </c>
      <c r="P89" s="7">
        <f>co2e_mt!P89</f>
        <v>3.3485600400000003E-2</v>
      </c>
    </row>
    <row r="90" spans="1:16" x14ac:dyDescent="0.3">
      <c r="A90" s="6" t="s">
        <v>319</v>
      </c>
      <c r="B90" s="11">
        <f>co2e_mt!S90</f>
        <v>1.2332476365599963</v>
      </c>
      <c r="C90" s="2">
        <f>geracao_mwh!D90</f>
        <v>2421.2500000000005</v>
      </c>
      <c r="D90" s="2">
        <f>geracao_mwh!E90</f>
        <v>308438.07999999949</v>
      </c>
      <c r="E90" s="2">
        <f>geracao_mwh!F90</f>
        <v>39726.350000000042</v>
      </c>
      <c r="F90" s="2">
        <f>geracao_mwh!G90</f>
        <v>0</v>
      </c>
      <c r="G90" s="2">
        <f>geracao_mwh!H90</f>
        <v>366697.58000000101</v>
      </c>
      <c r="H90" s="2">
        <f>geracao_mwh!I90</f>
        <v>34320089.64999982</v>
      </c>
      <c r="I90" s="2">
        <f>geracao_mwh!J90</f>
        <v>0</v>
      </c>
      <c r="J90" s="2">
        <f>geracao_mwh!K90</f>
        <v>1077619.6000000064</v>
      </c>
      <c r="K90" s="2">
        <f>geracao_mwh!L90</f>
        <v>8607.4099999999962</v>
      </c>
      <c r="L90" s="2">
        <f>geracao_mwh!M90</f>
        <v>4384.03</v>
      </c>
      <c r="M90" s="7">
        <f>co2e_mt!H90</f>
        <v>1.4651402350000084E-2</v>
      </c>
      <c r="N90" s="7">
        <f>co2e_mt!K90</f>
        <v>0.48696154195999997</v>
      </c>
      <c r="O90" s="7">
        <f>co2e_mt!L90</f>
        <v>0.72072188264999626</v>
      </c>
      <c r="P90" s="7">
        <f>co2e_mt!P90</f>
        <v>1.0912809599999997E-2</v>
      </c>
    </row>
    <row r="91" spans="1:16" x14ac:dyDescent="0.3">
      <c r="A91" s="6" t="s">
        <v>320</v>
      </c>
      <c r="B91" s="11">
        <f>co2e_mt!S91</f>
        <v>1.5226625241149996</v>
      </c>
      <c r="C91" s="2">
        <f>geracao_mwh!D91</f>
        <v>40.120000000000005</v>
      </c>
      <c r="D91" s="2">
        <f>geracao_mwh!E91</f>
        <v>587746.47499999811</v>
      </c>
      <c r="E91" s="2">
        <f>geracao_mwh!F91</f>
        <v>39830.250000000226</v>
      </c>
      <c r="F91" s="2">
        <f>geracao_mwh!G91</f>
        <v>0</v>
      </c>
      <c r="G91" s="2">
        <f>geracao_mwh!H91</f>
        <v>434385.72000000172</v>
      </c>
      <c r="H91" s="2">
        <f>geracao_mwh!I91</f>
        <v>32728498.230000034</v>
      </c>
      <c r="I91" s="2">
        <f>geracao_mwh!J91</f>
        <v>0</v>
      </c>
      <c r="J91" s="2">
        <f>geracao_mwh!K91</f>
        <v>977234.79999999993</v>
      </c>
      <c r="K91" s="2">
        <f>geracao_mwh!L91</f>
        <v>27017.200000000023</v>
      </c>
      <c r="L91" s="2">
        <f>geracao_mwh!M91</f>
        <v>0</v>
      </c>
      <c r="M91" s="7">
        <f>co2e_mt!H91</f>
        <v>1.3223931890000002E-2</v>
      </c>
      <c r="N91" s="7">
        <f>co2e_mt!K91</f>
        <v>0.79944568139499883</v>
      </c>
      <c r="O91" s="7">
        <f>co2e_mt!L91</f>
        <v>0.68729846283000073</v>
      </c>
      <c r="P91" s="7">
        <f>co2e_mt!P91</f>
        <v>2.269444800000002E-2</v>
      </c>
    </row>
    <row r="92" spans="1:16" x14ac:dyDescent="0.3">
      <c r="A92" s="6" t="s">
        <v>321</v>
      </c>
      <c r="B92" s="11">
        <f>co2e_mt!S92</f>
        <v>1.790793273341007</v>
      </c>
      <c r="C92" s="2">
        <f>geracao_mwh!D92</f>
        <v>0</v>
      </c>
      <c r="D92" s="2">
        <f>geracao_mwh!E92</f>
        <v>644515.52099999937</v>
      </c>
      <c r="E92" s="2">
        <f>geracao_mwh!F92</f>
        <v>45050.000000000029</v>
      </c>
      <c r="F92" s="2">
        <f>geracao_mwh!G92</f>
        <v>0</v>
      </c>
      <c r="G92" s="2">
        <f>geracao_mwh!H92</f>
        <v>812434.81999999727</v>
      </c>
      <c r="H92" s="2">
        <f>geracao_mwh!I92</f>
        <v>33723919.280000426</v>
      </c>
      <c r="I92" s="2">
        <f>geracao_mwh!J92</f>
        <v>0</v>
      </c>
      <c r="J92" s="2">
        <f>geracao_mwh!K92</f>
        <v>993271.73999999929</v>
      </c>
      <c r="K92" s="2">
        <f>geracao_mwh!L92</f>
        <v>34630.270000000011</v>
      </c>
      <c r="L92" s="2">
        <f>geracao_mwh!M92</f>
        <v>0</v>
      </c>
      <c r="M92" s="7">
        <f>co2e_mt!H92</f>
        <v>1.349818261999999E-2</v>
      </c>
      <c r="N92" s="7">
        <f>co2e_mt!K92</f>
        <v>1.0400033590409981</v>
      </c>
      <c r="O92" s="7">
        <f>co2e_mt!L92</f>
        <v>0.70820230488000901</v>
      </c>
      <c r="P92" s="7">
        <f>co2e_mt!P92</f>
        <v>2.9089426800000012E-2</v>
      </c>
    </row>
    <row r="93" spans="1:16" x14ac:dyDescent="0.3">
      <c r="A93" s="6" t="s">
        <v>322</v>
      </c>
      <c r="B93" s="11">
        <f>co2e_mt!S93</f>
        <v>1.8262577036839991</v>
      </c>
      <c r="C93" s="2">
        <f>geracao_mwh!D93</f>
        <v>1994.2800000000002</v>
      </c>
      <c r="D93" s="2">
        <f>geracao_mwh!E93</f>
        <v>649231.24999999814</v>
      </c>
      <c r="E93" s="2">
        <f>geracao_mwh!F93</f>
        <v>65264.610000000052</v>
      </c>
      <c r="F93" s="2">
        <f>geracao_mwh!G93</f>
        <v>0</v>
      </c>
      <c r="G93" s="2">
        <f>geracao_mwh!H93</f>
        <v>823034.44000000425</v>
      </c>
      <c r="H93" s="2">
        <f>geracao_mwh!I93</f>
        <v>34162861.48399996</v>
      </c>
      <c r="I93" s="2">
        <f>geracao_mwh!J93</f>
        <v>0</v>
      </c>
      <c r="J93" s="2">
        <f>geracao_mwh!K93</f>
        <v>1321225.1799999939</v>
      </c>
      <c r="K93" s="2">
        <f>geracao_mwh!L93</f>
        <v>48404.98</v>
      </c>
      <c r="L93" s="2">
        <f>geracao_mwh!M93</f>
        <v>207.30999999999997</v>
      </c>
      <c r="M93" s="7">
        <f>co2e_mt!H93</f>
        <v>1.8128069829999923E-2</v>
      </c>
      <c r="N93" s="7">
        <f>co2e_mt!K93</f>
        <v>1.04987521909</v>
      </c>
      <c r="O93" s="7">
        <f>co2e_mt!L93</f>
        <v>0.71742009116399919</v>
      </c>
      <c r="P93" s="7">
        <f>co2e_mt!P93</f>
        <v>4.08343236E-2</v>
      </c>
    </row>
    <row r="94" spans="1:16" x14ac:dyDescent="0.3">
      <c r="A94" s="6" t="s">
        <v>323</v>
      </c>
      <c r="B94" s="11">
        <f>co2e_mt!S94</f>
        <v>1.8980261221279984</v>
      </c>
      <c r="C94" s="2">
        <f>geracao_mwh!D94</f>
        <v>288</v>
      </c>
      <c r="D94" s="2">
        <f>geracao_mwh!E94</f>
        <v>585150.17000000272</v>
      </c>
      <c r="E94" s="2">
        <f>geracao_mwh!F94</f>
        <v>54311.039999999964</v>
      </c>
      <c r="F94" s="2">
        <f>geracao_mwh!G94</f>
        <v>0</v>
      </c>
      <c r="G94" s="2">
        <f>geracao_mwh!H94</f>
        <v>1172865.4900000037</v>
      </c>
      <c r="H94" s="2">
        <f>geracao_mwh!I94</f>
        <v>32581487.727999706</v>
      </c>
      <c r="I94" s="2">
        <f>geracao_mwh!J94</f>
        <v>0</v>
      </c>
      <c r="J94" s="2">
        <f>geracao_mwh!K94</f>
        <v>1205486.770000007</v>
      </c>
      <c r="K94" s="2">
        <f>geracao_mwh!L94</f>
        <v>49612.599999999955</v>
      </c>
      <c r="L94" s="2">
        <f>geracao_mwh!M94</f>
        <v>0</v>
      </c>
      <c r="M94" s="7">
        <f>co2e_mt!H94</f>
        <v>1.6392347530000087E-2</v>
      </c>
      <c r="N94" s="7">
        <f>co2e_mt!K94</f>
        <v>1.1557479483100046</v>
      </c>
      <c r="O94" s="7">
        <f>co2e_mt!L94</f>
        <v>0.68421124228799379</v>
      </c>
      <c r="P94" s="7">
        <f>co2e_mt!P94</f>
        <v>4.1674583999999959E-2</v>
      </c>
    </row>
    <row r="95" spans="1:16" x14ac:dyDescent="0.3">
      <c r="A95" s="6" t="s">
        <v>324</v>
      </c>
      <c r="B95" s="11">
        <f>co2e_mt!S95</f>
        <v>2.0282716233100246</v>
      </c>
      <c r="C95" s="2">
        <f>geracao_mwh!D95</f>
        <v>903.61</v>
      </c>
      <c r="D95" s="2">
        <f>geracao_mwh!E95</f>
        <v>659906.55000000412</v>
      </c>
      <c r="E95" s="2">
        <f>geracao_mwh!F95</f>
        <v>67437.929999999949</v>
      </c>
      <c r="F95" s="2">
        <f>geracao_mwh!G95</f>
        <v>0</v>
      </c>
      <c r="G95" s="2">
        <f>geracao_mwh!H95</f>
        <v>1253011.3300000043</v>
      </c>
      <c r="H95" s="2">
        <f>geracao_mwh!I95</f>
        <v>34546571.970000871</v>
      </c>
      <c r="I95" s="2">
        <f>geracao_mwh!J95</f>
        <v>0</v>
      </c>
      <c r="J95" s="2">
        <f>geracao_mwh!K95</f>
        <v>1217637.000000004</v>
      </c>
      <c r="K95" s="2">
        <f>geracao_mwh!L95</f>
        <v>19655.580000000005</v>
      </c>
      <c r="L95" s="2">
        <f>geracao_mwh!M95</f>
        <v>0</v>
      </c>
      <c r="M95" s="7">
        <f>co2e_mt!H95</f>
        <v>1.6752961810000053E-2</v>
      </c>
      <c r="N95" s="7">
        <f>co2e_mt!K95</f>
        <v>1.2695299629300063</v>
      </c>
      <c r="O95" s="7">
        <f>co2e_mt!L95</f>
        <v>0.72547801137001833</v>
      </c>
      <c r="P95" s="7">
        <f>co2e_mt!P95</f>
        <v>1.6510687200000002E-2</v>
      </c>
    </row>
    <row r="96" spans="1:16" x14ac:dyDescent="0.3">
      <c r="A96" s="6" t="s">
        <v>325</v>
      </c>
      <c r="B96" s="11">
        <f>co2e_mt!S96</f>
        <v>2.0438464495900179</v>
      </c>
      <c r="C96" s="2">
        <f>geracao_mwh!D96</f>
        <v>8503</v>
      </c>
      <c r="D96" s="2">
        <f>geracao_mwh!E96</f>
        <v>610936.18999999936</v>
      </c>
      <c r="E96" s="2">
        <f>geracao_mwh!F96</f>
        <v>48960.179999999891</v>
      </c>
      <c r="F96" s="2">
        <f>geracao_mwh!G96</f>
        <v>0</v>
      </c>
      <c r="G96" s="2">
        <f>geracao_mwh!H96</f>
        <v>1485155.8600000145</v>
      </c>
      <c r="H96" s="2">
        <f>geracao_mwh!I96</f>
        <v>32681926.180000547</v>
      </c>
      <c r="I96" s="2">
        <f>geracao_mwh!J96</f>
        <v>0</v>
      </c>
      <c r="J96" s="2">
        <f>geracao_mwh!K96</f>
        <v>1295784.4399999969</v>
      </c>
      <c r="K96" s="2">
        <f>geracao_mwh!L96</f>
        <v>7463.44</v>
      </c>
      <c r="L96" s="2">
        <f>geracao_mwh!M96</f>
        <v>0</v>
      </c>
      <c r="M96" s="7">
        <f>co2e_mt!H96</f>
        <v>1.7923836059999958E-2</v>
      </c>
      <c r="N96" s="7">
        <f>co2e_mt!K96</f>
        <v>1.3333328741500066</v>
      </c>
      <c r="O96" s="7">
        <f>co2e_mt!L96</f>
        <v>0.6863204497800115</v>
      </c>
      <c r="P96" s="7">
        <f>co2e_mt!P96</f>
        <v>6.2692896000000001E-3</v>
      </c>
    </row>
    <row r="97" spans="1:16" x14ac:dyDescent="0.3">
      <c r="A97" s="6" t="s">
        <v>326</v>
      </c>
      <c r="B97" s="11">
        <f>co2e_mt!S97</f>
        <v>2.2849882795100052</v>
      </c>
      <c r="C97" s="2">
        <f>geracao_mwh!D97</f>
        <v>10810.31</v>
      </c>
      <c r="D97" s="2">
        <f>geracao_mwh!E97</f>
        <v>654618.33000000042</v>
      </c>
      <c r="E97" s="2">
        <f>geracao_mwh!F97</f>
        <v>51373.380000000041</v>
      </c>
      <c r="F97" s="2">
        <f>geracao_mwh!G97</f>
        <v>0</v>
      </c>
      <c r="G97" s="2">
        <f>geracao_mwh!H97</f>
        <v>1723337.150000005</v>
      </c>
      <c r="H97" s="2">
        <f>geracao_mwh!I97</f>
        <v>33552735.710000116</v>
      </c>
      <c r="I97" s="2">
        <f>geracao_mwh!J97</f>
        <v>0</v>
      </c>
      <c r="J97" s="2">
        <f>geracao_mwh!K97</f>
        <v>1264459.4699999986</v>
      </c>
      <c r="K97" s="2">
        <f>geracao_mwh!L97</f>
        <v>45235.809999999961</v>
      </c>
      <c r="L97" s="2">
        <f>geracao_mwh!M97</f>
        <v>37976.169999999831</v>
      </c>
      <c r="M97" s="7">
        <f>co2e_mt!H97</f>
        <v>1.7667963169999981E-2</v>
      </c>
      <c r="N97" s="7">
        <f>co2e_mt!K97</f>
        <v>1.492814803230003</v>
      </c>
      <c r="O97" s="7">
        <f>co2e_mt!L97</f>
        <v>0.70460744991000246</v>
      </c>
      <c r="P97" s="7">
        <f>co2e_mt!P97</f>
        <v>6.9898063199999833E-2</v>
      </c>
    </row>
    <row r="98" spans="1:16" x14ac:dyDescent="0.3">
      <c r="A98" s="6" t="s">
        <v>17</v>
      </c>
      <c r="B98" s="11">
        <f>co2e_mt!S98</f>
        <v>2.7463562702100015</v>
      </c>
      <c r="C98" s="2">
        <f>geracao_mwh!D98</f>
        <v>31759.200000000012</v>
      </c>
      <c r="D98" s="2">
        <f>geracao_mwh!E98</f>
        <v>645431.97000000079</v>
      </c>
      <c r="E98" s="2">
        <f>geracao_mwh!F98</f>
        <v>54325.809999999947</v>
      </c>
      <c r="F98" s="2">
        <f>geracao_mwh!G98</f>
        <v>0</v>
      </c>
      <c r="G98" s="2">
        <f>geracao_mwh!H98</f>
        <v>2181651.7600000007</v>
      </c>
      <c r="H98" s="2">
        <f>geracao_mwh!I98</f>
        <v>32987955.48000003</v>
      </c>
      <c r="I98" s="2">
        <f>geracao_mwh!J98</f>
        <v>0</v>
      </c>
      <c r="J98" s="2">
        <f>geracao_mwh!K98</f>
        <v>1302544.7899999991</v>
      </c>
      <c r="K98" s="2">
        <f>geracao_mwh!L98</f>
        <v>214080.28999999983</v>
      </c>
      <c r="L98" s="2">
        <f>geracao_mwh!M98</f>
        <v>176346.2000000001</v>
      </c>
      <c r="M98" s="7">
        <f>co2e_mt!H98</f>
        <v>1.9290796199999988E-2</v>
      </c>
      <c r="N98" s="7">
        <f>co2e_mt!K98</f>
        <v>1.7063601573300011</v>
      </c>
      <c r="O98" s="7">
        <f>co2e_mt!L98</f>
        <v>0.69274706508000061</v>
      </c>
      <c r="P98" s="7">
        <f>co2e_mt!P98</f>
        <v>0.32795825159999992</v>
      </c>
    </row>
    <row r="99" spans="1:16" x14ac:dyDescent="0.3">
      <c r="A99" s="6" t="s">
        <v>18</v>
      </c>
      <c r="B99" s="11">
        <f>co2e_mt!S99</f>
        <v>2.8615998535299987</v>
      </c>
      <c r="C99" s="2">
        <f>geracao_mwh!D99</f>
        <v>34414.349999999984</v>
      </c>
      <c r="D99" s="2">
        <f>geracao_mwh!E99</f>
        <v>641016.16000000061</v>
      </c>
      <c r="E99" s="2">
        <f>geracao_mwh!F99</f>
        <v>42467.55999999999</v>
      </c>
      <c r="F99" s="2">
        <f>geracao_mwh!G99</f>
        <v>0</v>
      </c>
      <c r="G99" s="2">
        <f>geracao_mwh!H99</f>
        <v>2487654.0000000033</v>
      </c>
      <c r="H99" s="2">
        <f>geracao_mwh!I99</f>
        <v>30861493.019999813</v>
      </c>
      <c r="I99" s="2">
        <f>geracao_mwh!J99</f>
        <v>0</v>
      </c>
      <c r="J99" s="2">
        <f>geracao_mwh!K99</f>
        <v>1120252.3900000018</v>
      </c>
      <c r="K99" s="2">
        <f>geracao_mwh!L99</f>
        <v>170548.1999999999</v>
      </c>
      <c r="L99" s="2">
        <f>geracao_mwh!M99</f>
        <v>241292.9599999997</v>
      </c>
      <c r="M99" s="7">
        <f>co2e_mt!H99</f>
        <v>1.6904905550000019E-2</v>
      </c>
      <c r="N99" s="7">
        <f>co2e_mt!K99</f>
        <v>1.8506570201600021</v>
      </c>
      <c r="O99" s="7">
        <f>co2e_mt!L99</f>
        <v>0.64809135341999613</v>
      </c>
      <c r="P99" s="7">
        <f>co2e_mt!P99</f>
        <v>0.34594657439999965</v>
      </c>
    </row>
    <row r="100" spans="1:16" x14ac:dyDescent="0.3">
      <c r="A100" s="6" t="s">
        <v>19</v>
      </c>
      <c r="B100" s="11">
        <f>co2e_mt!S100</f>
        <v>2.8416105180999889</v>
      </c>
      <c r="C100" s="2">
        <f>geracao_mwh!D100</f>
        <v>30798.340000000018</v>
      </c>
      <c r="D100" s="2">
        <f>geracao_mwh!E100</f>
        <v>583934.9500000017</v>
      </c>
      <c r="E100" s="2">
        <f>geracao_mwh!F100</f>
        <v>29243.05</v>
      </c>
      <c r="F100" s="2">
        <f>geracao_mwh!G100</f>
        <v>0</v>
      </c>
      <c r="G100" s="2">
        <f>geracao_mwh!H100</f>
        <v>2504647.0999999917</v>
      </c>
      <c r="H100" s="2">
        <f>geracao_mwh!I100</f>
        <v>33832900.629999608</v>
      </c>
      <c r="I100" s="2">
        <f>geracao_mwh!J100</f>
        <v>0</v>
      </c>
      <c r="J100" s="2">
        <f>geracao_mwh!K100</f>
        <v>998586.02999999886</v>
      </c>
      <c r="K100" s="2">
        <f>geracao_mwh!L100</f>
        <v>134569.47999999949</v>
      </c>
      <c r="L100" s="2">
        <f>geracao_mwh!M100</f>
        <v>239691.15999999986</v>
      </c>
      <c r="M100" s="7">
        <f>co2e_mt!H100</f>
        <v>1.4963291719999985E-2</v>
      </c>
      <c r="N100" s="7">
        <f>co2e_mt!K100</f>
        <v>1.8017773755499977</v>
      </c>
      <c r="O100" s="7">
        <f>co2e_mt!L100</f>
        <v>0.71049091322999169</v>
      </c>
      <c r="P100" s="7">
        <f>co2e_mt!P100</f>
        <v>0.31437893759999946</v>
      </c>
    </row>
    <row r="101" spans="1:16" x14ac:dyDescent="0.3">
      <c r="A101" s="6" t="s">
        <v>20</v>
      </c>
      <c r="B101" s="11">
        <f>co2e_mt!S101</f>
        <v>2.2858964333799752</v>
      </c>
      <c r="C101" s="2">
        <f>geracao_mwh!D101</f>
        <v>11016.589999999995</v>
      </c>
      <c r="D101" s="2">
        <f>geracao_mwh!E101</f>
        <v>386566.72000000143</v>
      </c>
      <c r="E101" s="2">
        <f>geracao_mwh!F101</f>
        <v>22582.05999999999</v>
      </c>
      <c r="F101" s="2">
        <f>geracao_mwh!G101</f>
        <v>0</v>
      </c>
      <c r="G101" s="2">
        <f>geracao_mwh!H101</f>
        <v>2106315.0499999719</v>
      </c>
      <c r="H101" s="2">
        <f>geracao_mwh!I101</f>
        <v>33205545.95999942</v>
      </c>
      <c r="I101" s="2">
        <f>geracao_mwh!J101</f>
        <v>0</v>
      </c>
      <c r="J101" s="2">
        <f>geracao_mwh!K101</f>
        <v>1089751.5800000033</v>
      </c>
      <c r="K101" s="2">
        <f>geracao_mwh!L101</f>
        <v>56643.520000000019</v>
      </c>
      <c r="L101" s="2">
        <f>geracao_mwh!M101</f>
        <v>137314.05999999968</v>
      </c>
      <c r="M101" s="7">
        <f>co2e_mt!H101</f>
        <v>1.5033200000000043E-2</v>
      </c>
      <c r="N101" s="7">
        <f>co2e_mt!K101</f>
        <v>1.4106224010199877</v>
      </c>
      <c r="O101" s="7">
        <f>co2e_mt!L101</f>
        <v>0.6973164651599878</v>
      </c>
      <c r="P101" s="7">
        <f>co2e_mt!P101</f>
        <v>0.16292436719999973</v>
      </c>
    </row>
    <row r="102" spans="1:16" x14ac:dyDescent="0.3">
      <c r="A102" s="6" t="s">
        <v>21</v>
      </c>
      <c r="B102" s="11">
        <f>co2e_mt!S102</f>
        <v>2.3084112771999892</v>
      </c>
      <c r="C102" s="2">
        <f>geracao_mwh!D102</f>
        <v>4553.3800000000037</v>
      </c>
      <c r="D102" s="2">
        <f>geracao_mwh!E102</f>
        <v>502003.40000000008</v>
      </c>
      <c r="E102" s="2">
        <f>geracao_mwh!F102</f>
        <v>41149.650000000038</v>
      </c>
      <c r="F102" s="2">
        <f>geracao_mwh!G102</f>
        <v>0</v>
      </c>
      <c r="G102" s="2">
        <f>geracao_mwh!H102</f>
        <v>1834536.6399999857</v>
      </c>
      <c r="H102" s="2">
        <f>geracao_mwh!I102</f>
        <v>33842876.449999794</v>
      </c>
      <c r="I102" s="2">
        <f>geracao_mwh!J102</f>
        <v>0</v>
      </c>
      <c r="J102" s="2">
        <f>geracao_mwh!K102</f>
        <v>737162.89999999956</v>
      </c>
      <c r="K102" s="2">
        <f>geracao_mwh!L102</f>
        <v>133174.75999999995</v>
      </c>
      <c r="L102" s="2">
        <f>geracao_mwh!M102</f>
        <v>96903.600000000384</v>
      </c>
      <c r="M102" s="7">
        <f>co2e_mt!H102</f>
        <v>1.0354838909999995E-2</v>
      </c>
      <c r="N102" s="7">
        <f>co2e_mt!K102</f>
        <v>1.394090210439993</v>
      </c>
      <c r="O102" s="7">
        <f>co2e_mt!L102</f>
        <v>0.71070040544999569</v>
      </c>
      <c r="P102" s="7">
        <f>co2e_mt!P102</f>
        <v>0.19326582240000029</v>
      </c>
    </row>
    <row r="103" spans="1:16" x14ac:dyDescent="0.3">
      <c r="A103" s="6" t="s">
        <v>22</v>
      </c>
      <c r="B103" s="11">
        <f>co2e_mt!S103</f>
        <v>2.5354911178099888</v>
      </c>
      <c r="C103" s="2">
        <f>geracao_mwh!D103</f>
        <v>5508.6499999999978</v>
      </c>
      <c r="D103" s="2">
        <f>geracao_mwh!E103</f>
        <v>628141.97000000114</v>
      </c>
      <c r="E103" s="2">
        <f>geracao_mwh!F103</f>
        <v>41807.439999999813</v>
      </c>
      <c r="F103" s="2">
        <f>geracao_mwh!G103</f>
        <v>0</v>
      </c>
      <c r="G103" s="2">
        <f>geracao_mwh!H103</f>
        <v>1846141.93</v>
      </c>
      <c r="H103" s="2">
        <f>geracao_mwh!I103</f>
        <v>33278735.889999367</v>
      </c>
      <c r="I103" s="2">
        <f>geracao_mwh!J103</f>
        <v>0</v>
      </c>
      <c r="J103" s="2">
        <f>geracao_mwh!K103</f>
        <v>567459.85000000044</v>
      </c>
      <c r="K103" s="2">
        <f>geracao_mwh!L103</f>
        <v>189500.76000000056</v>
      </c>
      <c r="L103" s="2">
        <f>geracao_mwh!M103</f>
        <v>170541.6800000002</v>
      </c>
      <c r="M103" s="7">
        <f>co2e_mt!H103</f>
        <v>8.2069245700000029E-3</v>
      </c>
      <c r="N103" s="7">
        <f>co2e_mt!K103</f>
        <v>1.5259950899500012</v>
      </c>
      <c r="O103" s="7">
        <f>co2e_mt!L103</f>
        <v>0.69885345368998675</v>
      </c>
      <c r="P103" s="7">
        <f>co2e_mt!P103</f>
        <v>0.30243564960000069</v>
      </c>
    </row>
    <row r="104" spans="1:16" x14ac:dyDescent="0.3">
      <c r="A104" s="6" t="s">
        <v>23</v>
      </c>
      <c r="B104" s="11">
        <f>co2e_mt!S104</f>
        <v>2.2271279625399929</v>
      </c>
      <c r="C104" s="2">
        <f>geracao_mwh!D104</f>
        <v>6457.630000000001</v>
      </c>
      <c r="D104" s="2">
        <f>geracao_mwh!E104</f>
        <v>563867.75000000081</v>
      </c>
      <c r="E104" s="2">
        <f>geracao_mwh!F104</f>
        <v>37323.839999999989</v>
      </c>
      <c r="F104" s="2">
        <f>geracao_mwh!G104</f>
        <v>0</v>
      </c>
      <c r="G104" s="2">
        <f>geracao_mwh!H104</f>
        <v>1847248.5299999989</v>
      </c>
      <c r="H104" s="2">
        <f>geracao_mwh!I104</f>
        <v>33237568.059999656</v>
      </c>
      <c r="I104" s="2">
        <f>geracao_mwh!J104</f>
        <v>0</v>
      </c>
      <c r="J104" s="2">
        <f>geracao_mwh!K104</f>
        <v>1385656.1899999958</v>
      </c>
      <c r="K104" s="2">
        <f>geracao_mwh!L104</f>
        <v>45880.98</v>
      </c>
      <c r="L104" s="2">
        <f>geracao_mwh!M104</f>
        <v>11392.939999999999</v>
      </c>
      <c r="M104" s="7">
        <f>co2e_mt!H104</f>
        <v>1.8834537149999941E-2</v>
      </c>
      <c r="N104" s="7">
        <f>co2e_mt!K104</f>
        <v>1.4621944033300003</v>
      </c>
      <c r="O104" s="7">
        <f>co2e_mt!L104</f>
        <v>0.69798892925999279</v>
      </c>
      <c r="P104" s="7">
        <f>co2e_mt!P104</f>
        <v>4.8110092800000004E-2</v>
      </c>
    </row>
    <row r="105" spans="1:16" x14ac:dyDescent="0.3">
      <c r="A105" s="6" t="s">
        <v>24</v>
      </c>
      <c r="B105" s="11">
        <f>co2e_mt!S105</f>
        <v>2.2622788488200012</v>
      </c>
      <c r="C105" s="2">
        <f>geracao_mwh!D105</f>
        <v>5389.11</v>
      </c>
      <c r="D105" s="2">
        <f>geracao_mwh!E105</f>
        <v>521623.19999999937</v>
      </c>
      <c r="E105" s="2">
        <f>geracao_mwh!F105</f>
        <v>52033.459999999977</v>
      </c>
      <c r="F105" s="2">
        <f>geracao_mwh!G105</f>
        <v>0</v>
      </c>
      <c r="G105" s="2">
        <f>geracao_mwh!H105</f>
        <v>2027149.1199999994</v>
      </c>
      <c r="H105" s="2">
        <f>geracao_mwh!I105</f>
        <v>34105702.89000009</v>
      </c>
      <c r="I105" s="2">
        <f>geracao_mwh!J105</f>
        <v>0</v>
      </c>
      <c r="J105" s="2">
        <f>geracao_mwh!K105</f>
        <v>1368363.870000002</v>
      </c>
      <c r="K105" s="2">
        <f>geracao_mwh!L105</f>
        <v>23756.19</v>
      </c>
      <c r="L105" s="2">
        <f>geracao_mwh!M105</f>
        <v>22.849999999999991</v>
      </c>
      <c r="M105" s="7">
        <f>co2e_mt!H105</f>
        <v>1.8745399010000021E-2</v>
      </c>
      <c r="N105" s="7">
        <f>co2e_mt!K105</f>
        <v>1.5073392955199991</v>
      </c>
      <c r="O105" s="7">
        <f>co2e_mt!L105</f>
        <v>0.71621976069000193</v>
      </c>
      <c r="P105" s="7">
        <f>co2e_mt!P105</f>
        <v>1.9974393600000001E-2</v>
      </c>
    </row>
    <row r="106" spans="1:16" x14ac:dyDescent="0.3">
      <c r="A106" s="6" t="s">
        <v>25</v>
      </c>
      <c r="B106" s="11">
        <f>co2e_mt!S106</f>
        <v>2.1107279086100079</v>
      </c>
      <c r="C106" s="2">
        <f>geracao_mwh!D106</f>
        <v>1439.36</v>
      </c>
      <c r="D106" s="2">
        <f>geracao_mwh!E106</f>
        <v>452321.01000000164</v>
      </c>
      <c r="E106" s="2">
        <f>geracao_mwh!F106</f>
        <v>62245.760000000031</v>
      </c>
      <c r="F106" s="2">
        <f>geracao_mwh!G106</f>
        <v>0</v>
      </c>
      <c r="G106" s="2">
        <f>geracao_mwh!H106</f>
        <v>1949019.5100000103</v>
      </c>
      <c r="H106" s="2">
        <f>geracao_mwh!I106</f>
        <v>32954154.820000064</v>
      </c>
      <c r="I106" s="2">
        <f>geracao_mwh!J106</f>
        <v>0</v>
      </c>
      <c r="J106" s="2">
        <f>geracao_mwh!K106</f>
        <v>1344826.839999998</v>
      </c>
      <c r="K106" s="2">
        <f>geracao_mwh!L106</f>
        <v>388</v>
      </c>
      <c r="L106" s="2">
        <f>geracao_mwh!M106</f>
        <v>1.35</v>
      </c>
      <c r="M106" s="7">
        <f>co2e_mt!H106</f>
        <v>1.8366790519999978E-2</v>
      </c>
      <c r="N106" s="7">
        <f>co2e_mt!K106</f>
        <v>1.3999968128700067</v>
      </c>
      <c r="O106" s="7">
        <f>co2e_mt!L106</f>
        <v>0.69203725122000137</v>
      </c>
      <c r="P106" s="7">
        <f>co2e_mt!P106</f>
        <v>3.2705400000000002E-4</v>
      </c>
    </row>
    <row r="107" spans="1:16" x14ac:dyDescent="0.3">
      <c r="A107" s="6" t="s">
        <v>26</v>
      </c>
      <c r="B107" s="11">
        <f>co2e_mt!S107</f>
        <v>2.3678785452300071</v>
      </c>
      <c r="C107" s="2">
        <f>geracao_mwh!D107</f>
        <v>7423.7300000000005</v>
      </c>
      <c r="D107" s="2">
        <f>geracao_mwh!E107</f>
        <v>555448.01000000071</v>
      </c>
      <c r="E107" s="2">
        <f>geracao_mwh!F107</f>
        <v>58394.029999999926</v>
      </c>
      <c r="F107" s="2">
        <f>geracao_mwh!G107</f>
        <v>0</v>
      </c>
      <c r="G107" s="2">
        <f>geracao_mwh!H107</f>
        <v>2145808.4700000016</v>
      </c>
      <c r="H107" s="2">
        <f>geracao_mwh!I107</f>
        <v>34893852.310000263</v>
      </c>
      <c r="I107" s="2">
        <f>geracao_mwh!J107</f>
        <v>0</v>
      </c>
      <c r="J107" s="2">
        <f>geracao_mwh!K107</f>
        <v>1363588.1799999995</v>
      </c>
      <c r="K107" s="2">
        <f>geracao_mwh!L107</f>
        <v>2466.1600000000008</v>
      </c>
      <c r="L107" s="2">
        <f>geracao_mwh!M107</f>
        <v>18211.780000000002</v>
      </c>
      <c r="M107" s="7">
        <f>co2e_mt!H107</f>
        <v>1.8871802689999991E-2</v>
      </c>
      <c r="N107" s="7">
        <f>co2e_mt!K107</f>
        <v>1.5988663744300018</v>
      </c>
      <c r="O107" s="7">
        <f>co2e_mt!L107</f>
        <v>0.73277089851000554</v>
      </c>
      <c r="P107" s="7">
        <f>co2e_mt!P107</f>
        <v>1.7369469600000003E-2</v>
      </c>
    </row>
    <row r="108" spans="1:16" x14ac:dyDescent="0.3">
      <c r="A108" s="6" t="s">
        <v>27</v>
      </c>
      <c r="B108" s="11">
        <f>co2e_mt!S108</f>
        <v>1.8684378051000059</v>
      </c>
      <c r="C108" s="2">
        <f>geracao_mwh!D108</f>
        <v>15519.560000000001</v>
      </c>
      <c r="D108" s="2">
        <f>geracao_mwh!E108</f>
        <v>288844.95999999874</v>
      </c>
      <c r="E108" s="2">
        <f>geracao_mwh!F108</f>
        <v>64053.170000000006</v>
      </c>
      <c r="F108" s="2">
        <f>geracao_mwh!G108</f>
        <v>0</v>
      </c>
      <c r="G108" s="2">
        <f>geracao_mwh!H108</f>
        <v>1784464.970000016</v>
      </c>
      <c r="H108" s="2">
        <f>geracao_mwh!I108</f>
        <v>32992075.869999982</v>
      </c>
      <c r="I108" s="2">
        <f>geracao_mwh!J108</f>
        <v>0</v>
      </c>
      <c r="J108" s="2">
        <f>geracao_mwh!K108</f>
        <v>1315626.2399999988</v>
      </c>
      <c r="K108" s="2">
        <f>geracao_mwh!L108</f>
        <v>204.74999999999997</v>
      </c>
      <c r="L108" s="2">
        <f>geracao_mwh!M108</f>
        <v>363.79999999999995</v>
      </c>
      <c r="M108" s="7">
        <f>co2e_mt!H108</f>
        <v>1.8742849449999984E-2</v>
      </c>
      <c r="N108" s="7">
        <f>co2e_mt!K108</f>
        <v>1.1563837803800066</v>
      </c>
      <c r="O108" s="7">
        <f>co2e_mt!L108</f>
        <v>0.6928335932699996</v>
      </c>
      <c r="P108" s="7">
        <f>co2e_mt!P108</f>
        <v>4.7758199999999989E-4</v>
      </c>
    </row>
    <row r="109" spans="1:16" x14ac:dyDescent="0.3">
      <c r="A109" s="6" t="s">
        <v>28</v>
      </c>
      <c r="B109" s="11">
        <f>co2e_mt!S109</f>
        <v>2.2399595564300014</v>
      </c>
      <c r="C109" s="2">
        <f>geracao_mwh!D109</f>
        <v>23818.290000000008</v>
      </c>
      <c r="D109" s="2">
        <f>geracao_mwh!E109</f>
        <v>499138.24000000104</v>
      </c>
      <c r="E109" s="2">
        <f>geracao_mwh!F109</f>
        <v>51097.260000000009</v>
      </c>
      <c r="F109" s="2">
        <f>geracao_mwh!G109</f>
        <v>0</v>
      </c>
      <c r="G109" s="2">
        <f>geracao_mwh!H109</f>
        <v>2160873.1600000099</v>
      </c>
      <c r="H109" s="2">
        <f>geracao_mwh!I109</f>
        <v>31474213.689999811</v>
      </c>
      <c r="I109" s="2">
        <f>geracao_mwh!J109</f>
        <v>0</v>
      </c>
      <c r="J109" s="2">
        <f>geracao_mwh!K109</f>
        <v>1386998.7599999986</v>
      </c>
      <c r="K109" s="2">
        <f>geracao_mwh!L109</f>
        <v>4273.3500000000022</v>
      </c>
      <c r="L109" s="2">
        <f>geracao_mwh!M109</f>
        <v>6733.2400000000034</v>
      </c>
      <c r="M109" s="7">
        <f>co2e_mt!H109</f>
        <v>1.9933799339999982E-2</v>
      </c>
      <c r="N109" s="7">
        <f>co2e_mt!K109</f>
        <v>1.5498217340000058</v>
      </c>
      <c r="O109" s="7">
        <f>co2e_mt!L109</f>
        <v>0.66095848748999608</v>
      </c>
      <c r="P109" s="7">
        <f>co2e_mt!P109</f>
        <v>9.2455356000000037E-3</v>
      </c>
    </row>
    <row r="110" spans="1:16" x14ac:dyDescent="0.3">
      <c r="A110" s="6" t="s">
        <v>29</v>
      </c>
      <c r="B110" s="11">
        <f>co2e_mt!S110</f>
        <v>1.622587649627198</v>
      </c>
      <c r="C110" s="2">
        <f>geracao_mwh!D110</f>
        <v>17911.331100000021</v>
      </c>
      <c r="D110" s="2">
        <f>geracao_mwh!E110</f>
        <v>421928.48000000045</v>
      </c>
      <c r="E110" s="2">
        <f>geracao_mwh!F110</f>
        <v>43644.749999999949</v>
      </c>
      <c r="F110" s="2">
        <f>geracao_mwh!G110</f>
        <v>0</v>
      </c>
      <c r="G110" s="2">
        <f>geracao_mwh!H110</f>
        <v>983710.26000000408</v>
      </c>
      <c r="H110" s="2">
        <f>geracao_mwh!I110</f>
        <v>33432357.429999784</v>
      </c>
      <c r="I110" s="2">
        <f>geracao_mwh!J110</f>
        <v>0</v>
      </c>
      <c r="J110" s="2">
        <f>geracao_mwh!K110</f>
        <v>1267458.6300000004</v>
      </c>
      <c r="K110" s="2">
        <f>geracao_mwh!L110</f>
        <v>2335.9800000000005</v>
      </c>
      <c r="L110" s="2">
        <f>geracao_mwh!M110</f>
        <v>162.61000000000001</v>
      </c>
      <c r="M110" s="7">
        <f>co2e_mt!H110</f>
        <v>1.7975733157200004E-2</v>
      </c>
      <c r="N110" s="7">
        <f>co2e_mt!K110</f>
        <v>0.9004335948400024</v>
      </c>
      <c r="O110" s="7">
        <f>co2e_mt!L110</f>
        <v>0.70207950602999547</v>
      </c>
      <c r="P110" s="7">
        <f>co2e_mt!P110</f>
        <v>2.0988156000000006E-3</v>
      </c>
    </row>
    <row r="111" spans="1:16" x14ac:dyDescent="0.3">
      <c r="A111" s="6" t="s">
        <v>30</v>
      </c>
      <c r="B111" s="11">
        <f>co2e_mt!S111</f>
        <v>1.4476116272099759</v>
      </c>
      <c r="C111" s="2">
        <f>geracao_mwh!D111</f>
        <v>24172.379999999994</v>
      </c>
      <c r="D111" s="2">
        <f>geracao_mwh!E111</f>
        <v>401110.15999999846</v>
      </c>
      <c r="E111" s="2">
        <f>geracao_mwh!F111</f>
        <v>32474.709999999966</v>
      </c>
      <c r="F111" s="2">
        <f>geracao_mwh!G111</f>
        <v>0</v>
      </c>
      <c r="G111" s="2">
        <f>geracao_mwh!H111</f>
        <v>644335.21000000252</v>
      </c>
      <c r="H111" s="2">
        <f>geracao_mwh!I111</f>
        <v>32326080.119998861</v>
      </c>
      <c r="I111" s="2">
        <f>geracao_mwh!J111</f>
        <v>0</v>
      </c>
      <c r="J111" s="2">
        <f>geracao_mwh!K111</f>
        <v>904638.76000000013</v>
      </c>
      <c r="K111" s="2">
        <f>geracao_mwh!L111</f>
        <v>874.9799999999999</v>
      </c>
      <c r="L111" s="2">
        <f>geracao_mwh!M111</f>
        <v>47537.310000000114</v>
      </c>
      <c r="M111" s="7">
        <f>co2e_mt!H111</f>
        <v>1.3439438870000001E-2</v>
      </c>
      <c r="N111" s="7">
        <f>co2e_mt!K111</f>
        <v>0.71465818221999977</v>
      </c>
      <c r="O111" s="7">
        <f>co2e_mt!L111</f>
        <v>0.67884768251997607</v>
      </c>
      <c r="P111" s="7">
        <f>co2e_mt!P111</f>
        <v>4.0666323600000089E-2</v>
      </c>
    </row>
    <row r="112" spans="1:16" x14ac:dyDescent="0.3">
      <c r="A112" s="6" t="s">
        <v>31</v>
      </c>
      <c r="B112" s="11">
        <f>co2e_mt!S112</f>
        <v>1.7865579345300058</v>
      </c>
      <c r="C112" s="2">
        <f>geracao_mwh!D112</f>
        <v>29111.26999999999</v>
      </c>
      <c r="D112" s="2">
        <f>geracao_mwh!E112</f>
        <v>451287.2100000002</v>
      </c>
      <c r="E112" s="2">
        <f>geracao_mwh!F112</f>
        <v>40396.570000000043</v>
      </c>
      <c r="F112" s="2">
        <f>geracao_mwh!G112</f>
        <v>0</v>
      </c>
      <c r="G112" s="2">
        <f>geracao_mwh!H112</f>
        <v>1005748.7600000001</v>
      </c>
      <c r="H112" s="2">
        <f>geracao_mwh!I112</f>
        <v>36725603.310000271</v>
      </c>
      <c r="I112" s="2">
        <f>geracao_mwh!J112</f>
        <v>0</v>
      </c>
      <c r="J112" s="2">
        <f>geracao_mwh!K112</f>
        <v>998014.20000000077</v>
      </c>
      <c r="K112" s="2">
        <f>geracao_mwh!L112</f>
        <v>157.79000000000002</v>
      </c>
      <c r="L112" s="2">
        <f>geracao_mwh!M112</f>
        <v>71002.62</v>
      </c>
      <c r="M112" s="7">
        <f>co2e_mt!H112</f>
        <v>1.5013126050000009E-2</v>
      </c>
      <c r="N112" s="7">
        <f>co2e_mt!K112</f>
        <v>0.94053239457000026</v>
      </c>
      <c r="O112" s="7">
        <f>co2e_mt!L112</f>
        <v>0.77123766951000561</v>
      </c>
      <c r="P112" s="7">
        <f>co2e_mt!P112</f>
        <v>5.9774744400000003E-2</v>
      </c>
    </row>
    <row r="113" spans="1:16" x14ac:dyDescent="0.3">
      <c r="A113" s="6" t="s">
        <v>32</v>
      </c>
      <c r="B113" s="11">
        <f>co2e_mt!S113</f>
        <v>1.452413469640004</v>
      </c>
      <c r="C113" s="2">
        <f>geracao_mwh!D113</f>
        <v>19049.670000000013</v>
      </c>
      <c r="D113" s="2">
        <f>geracao_mwh!E113</f>
        <v>442229.51999999938</v>
      </c>
      <c r="E113" s="2">
        <f>geracao_mwh!F113</f>
        <v>24205.349999999955</v>
      </c>
      <c r="F113" s="2">
        <f>geracao_mwh!G113</f>
        <v>0</v>
      </c>
      <c r="G113" s="2">
        <f>geracao_mwh!H113</f>
        <v>516811.32999999856</v>
      </c>
      <c r="H113" s="2">
        <f>geracao_mwh!I113</f>
        <v>33722809.090000257</v>
      </c>
      <c r="I113" s="2">
        <f>geracao_mwh!J113</f>
        <v>0</v>
      </c>
      <c r="J113" s="2">
        <f>geracao_mwh!K113</f>
        <v>951061.41999999958</v>
      </c>
      <c r="K113" s="2">
        <f>geracao_mwh!L113</f>
        <v>133.89000000000001</v>
      </c>
      <c r="L113" s="2">
        <f>geracao_mwh!M113</f>
        <v>43584.409999999989</v>
      </c>
      <c r="M113" s="7">
        <f>co2e_mt!H113</f>
        <v>1.3669050849999993E-2</v>
      </c>
      <c r="N113" s="7">
        <f>co2e_mt!K113</f>
        <v>0.6938420558999987</v>
      </c>
      <c r="O113" s="7">
        <f>co2e_mt!L113</f>
        <v>0.70817899089000536</v>
      </c>
      <c r="P113" s="7">
        <f>co2e_mt!P113</f>
        <v>3.672337199999999E-2</v>
      </c>
    </row>
    <row r="114" spans="1:16" x14ac:dyDescent="0.3">
      <c r="A114" s="6" t="s">
        <v>33</v>
      </c>
      <c r="B114" s="11">
        <f>co2e_mt!S114</f>
        <v>2.0932509906300072</v>
      </c>
      <c r="C114" s="2">
        <f>geracao_mwh!D114</f>
        <v>55028.530000000137</v>
      </c>
      <c r="D114" s="2">
        <f>geracao_mwh!E114</f>
        <v>535309.50000000081</v>
      </c>
      <c r="E114" s="2">
        <f>geracao_mwh!F114</f>
        <v>29978.219999999954</v>
      </c>
      <c r="F114" s="2">
        <f>geracao_mwh!G114</f>
        <v>0</v>
      </c>
      <c r="G114" s="2">
        <f>geracao_mwh!H114</f>
        <v>1567934.0600000115</v>
      </c>
      <c r="H114" s="2">
        <f>geracao_mwh!I114</f>
        <v>32879186.580000017</v>
      </c>
      <c r="I114" s="2">
        <f>geracao_mwh!J114</f>
        <v>0</v>
      </c>
      <c r="J114" s="2">
        <f>geracao_mwh!K114</f>
        <v>1004705.0899999953</v>
      </c>
      <c r="K114" s="2">
        <f>geracao_mwh!L114</f>
        <v>0</v>
      </c>
      <c r="L114" s="2">
        <f>geracao_mwh!M114</f>
        <v>105493.98000000013</v>
      </c>
      <c r="M114" s="7">
        <f>co2e_mt!H114</f>
        <v>1.6312366589999946E-2</v>
      </c>
      <c r="N114" s="7">
        <f>co2e_mt!K114</f>
        <v>1.2978607626600065</v>
      </c>
      <c r="O114" s="7">
        <f>co2e_mt!L114</f>
        <v>0.69046291818000038</v>
      </c>
      <c r="P114" s="7">
        <f>co2e_mt!P114</f>
        <v>8.8614943200000101E-2</v>
      </c>
    </row>
    <row r="115" spans="1:16" x14ac:dyDescent="0.3">
      <c r="A115" s="6" t="s">
        <v>34</v>
      </c>
      <c r="B115" s="11">
        <f>co2e_mt!S115</f>
        <v>1.9139670496439891</v>
      </c>
      <c r="C115" s="2">
        <f>geracao_mwh!D115</f>
        <v>36288.89</v>
      </c>
      <c r="D115" s="2">
        <f>geracao_mwh!E115</f>
        <v>542429.19999999891</v>
      </c>
      <c r="E115" s="2">
        <f>geracao_mwh!F115</f>
        <v>42675.228000000097</v>
      </c>
      <c r="F115" s="2">
        <f>geracao_mwh!G115</f>
        <v>0</v>
      </c>
      <c r="G115" s="2">
        <f>geracao_mwh!H115</f>
        <v>1318958.5000000002</v>
      </c>
      <c r="H115" s="2">
        <f>geracao_mwh!I115</f>
        <v>31430618.319999542</v>
      </c>
      <c r="I115" s="2">
        <f>geracao_mwh!J115</f>
        <v>0</v>
      </c>
      <c r="J115" s="2">
        <f>geracao_mwh!K115</f>
        <v>1260697.7599999972</v>
      </c>
      <c r="K115" s="2">
        <f>geracao_mwh!L115</f>
        <v>35.309999999999995</v>
      </c>
      <c r="L115" s="2">
        <f>geracao_mwh!M115</f>
        <v>60807.230000000054</v>
      </c>
      <c r="M115" s="7">
        <f>co2e_mt!H115</f>
        <v>1.8830871123999962E-2</v>
      </c>
      <c r="N115" s="7">
        <f>co2e_mt!K115</f>
        <v>1.1839854601999988</v>
      </c>
      <c r="O115" s="7">
        <f>co2e_mt!L115</f>
        <v>0.66004298471999034</v>
      </c>
      <c r="P115" s="7">
        <f>co2e_mt!P115</f>
        <v>5.1107733600000045E-2</v>
      </c>
    </row>
    <row r="116" spans="1:16" x14ac:dyDescent="0.3">
      <c r="A116" s="6" t="s">
        <v>35</v>
      </c>
      <c r="B116" s="11">
        <f>co2e_mt!S116</f>
        <v>1.5481068613699955</v>
      </c>
      <c r="C116" s="2">
        <f>geracao_mwh!D116</f>
        <v>13174.259999999998</v>
      </c>
      <c r="D116" s="2">
        <f>geracao_mwh!E116</f>
        <v>502205.5199999999</v>
      </c>
      <c r="E116" s="2">
        <f>geracao_mwh!F116</f>
        <v>40100.240000000013</v>
      </c>
      <c r="F116" s="2">
        <f>geracao_mwh!G116</f>
        <v>0</v>
      </c>
      <c r="G116" s="2">
        <f>geracao_mwh!H116</f>
        <v>638195.25999999885</v>
      </c>
      <c r="H116" s="2">
        <f>geracao_mwh!I116</f>
        <v>34111836.429999828</v>
      </c>
      <c r="I116" s="2">
        <f>geracao_mwh!J116</f>
        <v>0</v>
      </c>
      <c r="J116" s="2">
        <f>geracao_mwh!K116</f>
        <v>1344722.94</v>
      </c>
      <c r="K116" s="2">
        <f>geracao_mwh!L116</f>
        <v>134.33999999999997</v>
      </c>
      <c r="L116" s="2">
        <f>geracao_mwh!M116</f>
        <v>103.64999999999998</v>
      </c>
      <c r="M116" s="7">
        <f>co2e_mt!H116</f>
        <v>1.8687762859999998E-2</v>
      </c>
      <c r="N116" s="7">
        <f>co2e_mt!K116</f>
        <v>0.81287062187999926</v>
      </c>
      <c r="O116" s="7">
        <f>co2e_mt!L116</f>
        <v>0.71634856502999633</v>
      </c>
      <c r="P116" s="7">
        <f>co2e_mt!P116</f>
        <v>1.9991159999999992E-4</v>
      </c>
    </row>
    <row r="117" spans="1:16" x14ac:dyDescent="0.3">
      <c r="A117" s="6" t="s">
        <v>36</v>
      </c>
      <c r="B117" s="11">
        <f>co2e_mt!S117</f>
        <v>1.3709145113899937</v>
      </c>
      <c r="C117" s="2">
        <f>geracao_mwh!D117</f>
        <v>34772.779999999941</v>
      </c>
      <c r="D117" s="2">
        <f>geracao_mwh!E117</f>
        <v>435953.09999999905</v>
      </c>
      <c r="E117" s="2">
        <f>geracao_mwh!F117</f>
        <v>58161.55999999999</v>
      </c>
      <c r="F117" s="2">
        <f>geracao_mwh!G117</f>
        <v>0</v>
      </c>
      <c r="G117" s="2">
        <f>geracao_mwh!H117</f>
        <v>363179.67000000138</v>
      </c>
      <c r="H117" s="2">
        <f>geracao_mwh!I117</f>
        <v>35524833.989999719</v>
      </c>
      <c r="I117" s="2">
        <f>geracao_mwh!J117</f>
        <v>0</v>
      </c>
      <c r="J117" s="2">
        <f>geracao_mwh!K117</f>
        <v>484728.28000000049</v>
      </c>
      <c r="K117" s="2">
        <f>geracao_mwh!L117</f>
        <v>81.61</v>
      </c>
      <c r="L117" s="2">
        <f>geracao_mwh!M117</f>
        <v>3648</v>
      </c>
      <c r="M117" s="7">
        <f>co2e_mt!H117</f>
        <v>8.8657524800000026E-3</v>
      </c>
      <c r="N117" s="7">
        <f>co2e_mt!K117</f>
        <v>0.61289437271999969</v>
      </c>
      <c r="O117" s="7">
        <f>co2e_mt!L117</f>
        <v>0.74602151378999404</v>
      </c>
      <c r="P117" s="7">
        <f>co2e_mt!P117</f>
        <v>3.1328724000000002E-3</v>
      </c>
    </row>
    <row r="118" spans="1:16" x14ac:dyDescent="0.3">
      <c r="A118" s="6" t="s">
        <v>37</v>
      </c>
      <c r="B118" s="11">
        <f>co2e_mt!S118</f>
        <v>1.2344195529095985</v>
      </c>
      <c r="C118" s="2">
        <f>geracao_mwh!D118</f>
        <v>29441.754800000013</v>
      </c>
      <c r="D118" s="2">
        <f>geracao_mwh!E118</f>
        <v>305750.7400000011</v>
      </c>
      <c r="E118" s="2">
        <f>geracao_mwh!F118</f>
        <v>87092.339999999938</v>
      </c>
      <c r="F118" s="2">
        <f>geracao_mwh!G118</f>
        <v>0</v>
      </c>
      <c r="G118" s="2">
        <f>geracao_mwh!H118</f>
        <v>367314.37000000122</v>
      </c>
      <c r="H118" s="2">
        <f>geracao_mwh!I118</f>
        <v>34820546.769999862</v>
      </c>
      <c r="I118" s="2">
        <f>geracao_mwh!J118</f>
        <v>0</v>
      </c>
      <c r="J118" s="2">
        <f>geracao_mwh!K118</f>
        <v>1161986.8700000006</v>
      </c>
      <c r="K118" s="2">
        <f>geracao_mwh!L118</f>
        <v>310.07</v>
      </c>
      <c r="L118" s="2">
        <f>geracao_mwh!M118</f>
        <v>699.21000000000015</v>
      </c>
      <c r="M118" s="7">
        <f>co2e_mt!H118</f>
        <v>1.7769000979600005E-2</v>
      </c>
      <c r="N118" s="7">
        <f>co2e_mt!K118</f>
        <v>0.48457127456000165</v>
      </c>
      <c r="O118" s="7">
        <f>co2e_mt!L118</f>
        <v>0.73123148216999712</v>
      </c>
      <c r="P118" s="7">
        <f>co2e_mt!P118</f>
        <v>8.477952E-4</v>
      </c>
    </row>
    <row r="119" spans="1:16" x14ac:dyDescent="0.3">
      <c r="A119" s="6" t="s">
        <v>38</v>
      </c>
      <c r="B119" s="11">
        <f>co2e_mt!S119</f>
        <v>1.4047751889500095</v>
      </c>
      <c r="C119" s="2">
        <f>geracao_mwh!D119</f>
        <v>26872.239999999998</v>
      </c>
      <c r="D119" s="2">
        <f>geracao_mwh!E119</f>
        <v>390673.51000000065</v>
      </c>
      <c r="E119" s="2">
        <f>geracao_mwh!F119</f>
        <v>103028.54999999987</v>
      </c>
      <c r="F119" s="2">
        <f>geracao_mwh!G119</f>
        <v>0</v>
      </c>
      <c r="G119" s="2">
        <f>geracao_mwh!H119</f>
        <v>348301.82999999885</v>
      </c>
      <c r="H119" s="2">
        <f>geracao_mwh!I119</f>
        <v>36141215.810000442</v>
      </c>
      <c r="I119" s="2">
        <f>geracao_mwh!J119</f>
        <v>0</v>
      </c>
      <c r="J119" s="2">
        <f>geracao_mwh!K119</f>
        <v>1070233.9400000002</v>
      </c>
      <c r="K119" s="2">
        <f>geracao_mwh!L119</f>
        <v>1387.7899999999997</v>
      </c>
      <c r="L119" s="2">
        <f>geracao_mwh!M119</f>
        <v>80541.99000000002</v>
      </c>
      <c r="M119" s="7">
        <f>co2e_mt!H119</f>
        <v>1.664976885E-2</v>
      </c>
      <c r="N119" s="7">
        <f>co2e_mt!K119</f>
        <v>0.56033887289000006</v>
      </c>
      <c r="O119" s="7">
        <f>co2e_mt!L119</f>
        <v>0.75896553201000927</v>
      </c>
      <c r="P119" s="7">
        <f>co2e_mt!P119</f>
        <v>6.8821015200000016E-2</v>
      </c>
    </row>
    <row r="120" spans="1:16" x14ac:dyDescent="0.3">
      <c r="A120" s="6" t="s">
        <v>39</v>
      </c>
      <c r="B120" s="11">
        <f>co2e_mt!S120</f>
        <v>1.4187625320099899</v>
      </c>
      <c r="C120" s="2">
        <f>geracao_mwh!D120</f>
        <v>26032.810000000041</v>
      </c>
      <c r="D120" s="2">
        <f>geracao_mwh!E120</f>
        <v>379872.27999999927</v>
      </c>
      <c r="E120" s="2">
        <f>geracao_mwh!F120</f>
        <v>108681.96000000017</v>
      </c>
      <c r="F120" s="2">
        <f>geracao_mwh!G120</f>
        <v>0</v>
      </c>
      <c r="G120" s="2">
        <f>geracao_mwh!H120</f>
        <v>220961.47000000012</v>
      </c>
      <c r="H120" s="2">
        <f>geracao_mwh!I120</f>
        <v>36617350.209999561</v>
      </c>
      <c r="I120" s="2">
        <f>geracao_mwh!J120</f>
        <v>0</v>
      </c>
      <c r="J120" s="2">
        <f>geracao_mwh!K120</f>
        <v>1177014.0999999982</v>
      </c>
      <c r="K120" s="2">
        <f>geracao_mwh!L120</f>
        <v>3772.5199999999995</v>
      </c>
      <c r="L120" s="2">
        <f>geracao_mwh!M120</f>
        <v>167764.38000000003</v>
      </c>
      <c r="M120" s="7">
        <f>co2e_mt!H120</f>
        <v>1.8067754899999983E-2</v>
      </c>
      <c r="N120" s="7">
        <f>co2e_mt!K120</f>
        <v>0.48763942669999932</v>
      </c>
      <c r="O120" s="7">
        <f>co2e_mt!L120</f>
        <v>0.76896435440999067</v>
      </c>
      <c r="P120" s="7">
        <f>co2e_mt!P120</f>
        <v>0.14409099600000003</v>
      </c>
    </row>
    <row r="121" spans="1:16" x14ac:dyDescent="0.3">
      <c r="A121" s="6" t="s">
        <v>40</v>
      </c>
      <c r="B121" s="11">
        <f>co2e_mt!S121</f>
        <v>1.4205162973699912</v>
      </c>
      <c r="C121" s="2">
        <f>geracao_mwh!D121</f>
        <v>16658.940000000046</v>
      </c>
      <c r="D121" s="2">
        <f>geracao_mwh!E121</f>
        <v>384027.02000000176</v>
      </c>
      <c r="E121" s="2">
        <f>geracao_mwh!F121</f>
        <v>99912.510000000446</v>
      </c>
      <c r="F121" s="2">
        <f>geracao_mwh!G121</f>
        <v>0</v>
      </c>
      <c r="G121" s="2">
        <f>geracao_mwh!H121</f>
        <v>264628.47000000032</v>
      </c>
      <c r="H121" s="2">
        <f>geracao_mwh!I121</f>
        <v>36772385.929999486</v>
      </c>
      <c r="I121" s="2">
        <f>geracao_mwh!J121</f>
        <v>0</v>
      </c>
      <c r="J121" s="2">
        <f>geracao_mwh!K121</f>
        <v>1332747.1299999955</v>
      </c>
      <c r="K121" s="2">
        <f>geracao_mwh!L121</f>
        <v>1704.9600000000003</v>
      </c>
      <c r="L121" s="2">
        <f>geracao_mwh!M121</f>
        <v>136134.1699999999</v>
      </c>
      <c r="M121" s="7">
        <f>co2e_mt!H121</f>
        <v>1.9490840199999949E-2</v>
      </c>
      <c r="N121" s="7">
        <f>co2e_mt!K121</f>
        <v>0.51302048344000195</v>
      </c>
      <c r="O121" s="7">
        <f>co2e_mt!L121</f>
        <v>0.77222010452998924</v>
      </c>
      <c r="P121" s="7">
        <f>co2e_mt!P121</f>
        <v>0.11578486919999993</v>
      </c>
    </row>
    <row r="122" spans="1:16" x14ac:dyDescent="0.3">
      <c r="A122" s="6" t="s">
        <v>77</v>
      </c>
      <c r="B122" s="11">
        <f>co2e_mt!S122</f>
        <v>1.4569753442614144</v>
      </c>
      <c r="C122" s="2">
        <f>geracao_mwh!D122</f>
        <v>11160</v>
      </c>
      <c r="D122" s="2">
        <f>geracao_mwh!E122</f>
        <v>387943.55999999889</v>
      </c>
      <c r="E122" s="2">
        <f>geracao_mwh!F122</f>
        <v>82524.62</v>
      </c>
      <c r="F122" s="2">
        <f>geracao_mwh!G122</f>
        <v>0</v>
      </c>
      <c r="G122" s="2">
        <f>geracao_mwh!H122</f>
        <v>322803.37000000064</v>
      </c>
      <c r="H122" s="2">
        <f>geracao_mwh!I122</f>
        <v>37584687.719400726</v>
      </c>
      <c r="I122" s="2">
        <f>geracao_mwh!J122</f>
        <v>0</v>
      </c>
      <c r="J122" s="2">
        <f>geracao_mwh!K122</f>
        <v>1463646.0500000028</v>
      </c>
      <c r="K122" s="2">
        <f>geracao_mwh!L122</f>
        <v>5039.3395999999993</v>
      </c>
      <c r="L122" s="2">
        <f>geracao_mwh!M122</f>
        <v>116154.01999999987</v>
      </c>
      <c r="M122" s="7">
        <f>co2e_mt!H122</f>
        <v>2.0680538710000036E-2</v>
      </c>
      <c r="N122" s="7">
        <f>co2e_mt!K122</f>
        <v>0.54521394137999912</v>
      </c>
      <c r="O122" s="7">
        <f>co2e_mt!L122</f>
        <v>0.78927844210741527</v>
      </c>
      <c r="P122" s="7">
        <f>co2e_mt!P122</f>
        <v>0.10180242206399989</v>
      </c>
    </row>
    <row r="123" spans="1:16" x14ac:dyDescent="0.3">
      <c r="A123" s="6" t="s">
        <v>79</v>
      </c>
      <c r="B123" s="11">
        <f>co2e_mt!S123</f>
        <v>1.5517145978399749</v>
      </c>
      <c r="C123" s="2">
        <f>geracao_mwh!D123</f>
        <v>21020.780000000006</v>
      </c>
      <c r="D123" s="2">
        <f>geracao_mwh!E123</f>
        <v>400599.09999999969</v>
      </c>
      <c r="E123" s="2">
        <f>geracao_mwh!F123</f>
        <v>109803.99000000008</v>
      </c>
      <c r="F123" s="2">
        <f>geracao_mwh!G123</f>
        <v>0</v>
      </c>
      <c r="G123" s="2">
        <f>geracao_mwh!H123</f>
        <v>602000.08999999845</v>
      </c>
      <c r="H123" s="2">
        <f>geracao_mwh!I123</f>
        <v>35377034.589998864</v>
      </c>
      <c r="I123" s="2">
        <f>geracao_mwh!J123</f>
        <v>0</v>
      </c>
      <c r="J123" s="2">
        <f>geracao_mwh!K123</f>
        <v>1280139.8600000041</v>
      </c>
      <c r="K123" s="2">
        <f>geracao_mwh!L123</f>
        <v>7784.8099999999995</v>
      </c>
      <c r="L123" s="2">
        <f>geracao_mwh!M123</f>
        <v>106575.63999999996</v>
      </c>
      <c r="M123" s="7">
        <f>co2e_mt!H123</f>
        <v>1.9162350610000052E-2</v>
      </c>
      <c r="N123" s="7">
        <f>co2e_mt!K123</f>
        <v>0.69357174283999901</v>
      </c>
      <c r="O123" s="7">
        <f>co2e_mt!L123</f>
        <v>0.74291772638997611</v>
      </c>
      <c r="P123" s="7">
        <f>co2e_mt!P123</f>
        <v>9.606277799999996E-2</v>
      </c>
    </row>
    <row r="124" spans="1:16" x14ac:dyDescent="0.3">
      <c r="A124" s="6" t="s">
        <v>81</v>
      </c>
      <c r="B124" s="11">
        <f>co2e_mt!S124</f>
        <v>1.7021454227999664</v>
      </c>
      <c r="C124" s="2">
        <f>geracao_mwh!D124</f>
        <v>22561.710000000017</v>
      </c>
      <c r="D124" s="2">
        <f>geracao_mwh!E124</f>
        <v>455956.67000000039</v>
      </c>
      <c r="E124" s="2">
        <f>geracao_mwh!F124</f>
        <v>108672.80000000013</v>
      </c>
      <c r="F124" s="2">
        <f>geracao_mwh!G124</f>
        <v>0</v>
      </c>
      <c r="G124" s="2">
        <f>geracao_mwh!H124</f>
        <v>544734.13000000094</v>
      </c>
      <c r="H124" s="2">
        <f>geracao_mwh!I124</f>
        <v>39298854.389998354</v>
      </c>
      <c r="I124" s="2">
        <f>geracao_mwh!J124</f>
        <v>0</v>
      </c>
      <c r="J124" s="2">
        <f>geracao_mwh!K124</f>
        <v>1465528.079999998</v>
      </c>
      <c r="K124" s="2">
        <f>geracao_mwh!L124</f>
        <v>1673.9599999999996</v>
      </c>
      <c r="L124" s="2">
        <f>geracao_mwh!M124</f>
        <v>157943</v>
      </c>
      <c r="M124" s="7">
        <f>co2e_mt!H124</f>
        <v>2.163782035999998E-2</v>
      </c>
      <c r="N124" s="7">
        <f>co2e_mt!K124</f>
        <v>0.72115341385000087</v>
      </c>
      <c r="O124" s="7">
        <f>co2e_mt!L124</f>
        <v>0.82527594218996536</v>
      </c>
      <c r="P124" s="7">
        <f>co2e_mt!P124</f>
        <v>0.13407824640000002</v>
      </c>
    </row>
    <row r="125" spans="1:16" x14ac:dyDescent="0.3">
      <c r="A125" s="6" t="s">
        <v>83</v>
      </c>
      <c r="B125" s="11">
        <f>co2e_mt!S125</f>
        <v>1.5834948294169842</v>
      </c>
      <c r="C125" s="2">
        <f>geracao_mwh!D125</f>
        <v>17250.139999999996</v>
      </c>
      <c r="D125" s="2">
        <f>geracao_mwh!E125</f>
        <v>391815.0299999998</v>
      </c>
      <c r="E125" s="2">
        <f>geracao_mwh!F125</f>
        <v>66455.359000000055</v>
      </c>
      <c r="F125" s="2">
        <f>geracao_mwh!G125</f>
        <v>0</v>
      </c>
      <c r="G125" s="2">
        <f>geracao_mwh!H125</f>
        <v>578698.75000000093</v>
      </c>
      <c r="H125" s="2">
        <f>geracao_mwh!I125</f>
        <v>36035007.009999223</v>
      </c>
      <c r="I125" s="2">
        <f>geracao_mwh!J125</f>
        <v>0</v>
      </c>
      <c r="J125" s="2">
        <f>geracao_mwh!K125</f>
        <v>1130291.21</v>
      </c>
      <c r="K125" s="2">
        <f>geracao_mwh!L125</f>
        <v>745.9599999999997</v>
      </c>
      <c r="L125" s="2">
        <f>geracao_mwh!M125</f>
        <v>162171.3400000002</v>
      </c>
      <c r="M125" s="7">
        <f>co2e_mt!H125</f>
        <v>1.6454712677000001E-2</v>
      </c>
      <c r="N125" s="7">
        <f>co2e_mt!K125</f>
        <v>0.67345443753000023</v>
      </c>
      <c r="O125" s="7">
        <f>co2e_mt!L125</f>
        <v>0.75673514720998369</v>
      </c>
      <c r="P125" s="7">
        <f>co2e_mt!P125</f>
        <v>0.13685053200000016</v>
      </c>
    </row>
    <row r="126" spans="1:16" x14ac:dyDescent="0.3">
      <c r="A126" s="6" t="s">
        <v>85</v>
      </c>
      <c r="B126" s="11">
        <f>co2e_mt!S126</f>
        <v>1.9778854132354082</v>
      </c>
      <c r="C126" s="2">
        <f>geracao_mwh!D126</f>
        <v>38341.849999999904</v>
      </c>
      <c r="D126" s="2">
        <f>geracao_mwh!E126</f>
        <v>462783.94999999937</v>
      </c>
      <c r="E126" s="2">
        <f>geracao_mwh!F126</f>
        <v>88025.365799999912</v>
      </c>
      <c r="F126" s="2">
        <f>geracao_mwh!G126</f>
        <v>0</v>
      </c>
      <c r="G126" s="2">
        <f>geracao_mwh!H126</f>
        <v>1227903.6300000045</v>
      </c>
      <c r="H126" s="2">
        <f>geracao_mwh!I126</f>
        <v>35750474.970000319</v>
      </c>
      <c r="I126" s="2">
        <f>geracao_mwh!J126</f>
        <v>0</v>
      </c>
      <c r="J126" s="2">
        <f>geracao_mwh!K126</f>
        <v>1278265.659999999</v>
      </c>
      <c r="K126" s="2">
        <f>geracao_mwh!L126</f>
        <v>249.31</v>
      </c>
      <c r="L126" s="2">
        <f>geracao_mwh!M126</f>
        <v>175181.61999999988</v>
      </c>
      <c r="M126" s="7">
        <f>co2e_mt!H126</f>
        <v>1.9755559535399984E-2</v>
      </c>
      <c r="N126" s="7">
        <f>co2e_mt!K126</f>
        <v>1.0600078981300016</v>
      </c>
      <c r="O126" s="7">
        <f>co2e_mt!L126</f>
        <v>0.75075997437000674</v>
      </c>
      <c r="P126" s="7">
        <f>co2e_mt!P126</f>
        <v>0.14736198119999991</v>
      </c>
    </row>
    <row r="127" spans="1:16" x14ac:dyDescent="0.3">
      <c r="A127" s="6" t="s">
        <v>87</v>
      </c>
      <c r="B127" s="11">
        <f>co2e_mt!S127</f>
        <v>2.4777251713999875</v>
      </c>
      <c r="C127" s="2">
        <f>geracao_mwh!D127</f>
        <v>37973.929999999964</v>
      </c>
      <c r="D127" s="2">
        <f>geracao_mwh!E127</f>
        <v>510358.16999999981</v>
      </c>
      <c r="E127" s="2">
        <f>geracao_mwh!F127</f>
        <v>108748.19999999978</v>
      </c>
      <c r="F127" s="2">
        <f>geracao_mwh!G127</f>
        <v>0</v>
      </c>
      <c r="G127" s="2">
        <f>geracao_mwh!H127</f>
        <v>2115284.019999994</v>
      </c>
      <c r="H127" s="2">
        <f>geracao_mwh!I127</f>
        <v>33116030.529999565</v>
      </c>
      <c r="I127" s="2">
        <f>geracao_mwh!J127</f>
        <v>0</v>
      </c>
      <c r="J127" s="2">
        <f>geracao_mwh!K127</f>
        <v>1425438.539999991</v>
      </c>
      <c r="K127" s="2">
        <f>geracao_mwh!L127</f>
        <v>4362.5299999999988</v>
      </c>
      <c r="L127" s="2">
        <f>geracao_mwh!M127</f>
        <v>259295.67999999988</v>
      </c>
      <c r="M127" s="7">
        <f>co2e_mt!H127</f>
        <v>2.1919071979999875E-2</v>
      </c>
      <c r="N127" s="7">
        <f>co2e_mt!K127</f>
        <v>1.538896561889997</v>
      </c>
      <c r="O127" s="7">
        <f>co2e_mt!L127</f>
        <v>0.69543664112999082</v>
      </c>
      <c r="P127" s="7">
        <f>co2e_mt!P127</f>
        <v>0.2214728963999999</v>
      </c>
    </row>
    <row r="128" spans="1:16" x14ac:dyDescent="0.3">
      <c r="A128" s="6" t="s">
        <v>89</v>
      </c>
      <c r="B128" s="11">
        <f>co2e_mt!S128</f>
        <v>2.4142070375699816</v>
      </c>
      <c r="C128" s="2">
        <f>geracao_mwh!D128</f>
        <v>50492.43999999985</v>
      </c>
      <c r="D128" s="2">
        <f>geracao_mwh!E128</f>
        <v>425992.13000000053</v>
      </c>
      <c r="E128" s="2">
        <f>geracao_mwh!F128</f>
        <v>108483.10000000005</v>
      </c>
      <c r="F128" s="2">
        <f>geracao_mwh!G128</f>
        <v>0</v>
      </c>
      <c r="G128" s="2">
        <f>geracao_mwh!H128</f>
        <v>2055305.2399999956</v>
      </c>
      <c r="H128" s="2">
        <f>geracao_mwh!I128</f>
        <v>35346343.999999195</v>
      </c>
      <c r="I128" s="2">
        <f>geracao_mwh!J128</f>
        <v>0</v>
      </c>
      <c r="J128" s="2">
        <f>geracao_mwh!K128</f>
        <v>1226063.9400000058</v>
      </c>
      <c r="K128" s="2">
        <f>geracao_mwh!L128</f>
        <v>181.39000000000001</v>
      </c>
      <c r="L128" s="2">
        <f>geracao_mwh!M128</f>
        <v>269655.06999999995</v>
      </c>
      <c r="M128" s="7">
        <f>co2e_mt!H128</f>
        <v>1.9974718400000067E-2</v>
      </c>
      <c r="N128" s="7">
        <f>co2e_mt!K128</f>
        <v>1.4252964687699983</v>
      </c>
      <c r="O128" s="7">
        <f>co2e_mt!L128</f>
        <v>0.74227322399998319</v>
      </c>
      <c r="P128" s="7">
        <f>co2e_mt!P128</f>
        <v>0.22666262639999996</v>
      </c>
    </row>
    <row r="129" spans="1:16" x14ac:dyDescent="0.3">
      <c r="A129" s="6" t="s">
        <v>90</v>
      </c>
      <c r="B129" s="11">
        <f>co2e_mt!S129</f>
        <v>3.3094606778109785</v>
      </c>
      <c r="C129" s="2">
        <f>geracao_mwh!D129</f>
        <v>60175.949999999888</v>
      </c>
      <c r="D129" s="2">
        <f>geracao_mwh!E129</f>
        <v>590899.01000000013</v>
      </c>
      <c r="E129" s="2">
        <f>geracao_mwh!F129</f>
        <v>156266.83699999892</v>
      </c>
      <c r="F129" s="2">
        <f>geracao_mwh!G129</f>
        <v>0</v>
      </c>
      <c r="G129" s="2">
        <f>geracao_mwh!H129</f>
        <v>3371345.2299999595</v>
      </c>
      <c r="H129" s="2">
        <f>geracao_mwh!I129</f>
        <v>33901026.399999917</v>
      </c>
      <c r="I129" s="2">
        <f>geracao_mwh!J129</f>
        <v>0</v>
      </c>
      <c r="J129" s="2">
        <f>geracao_mwh!K129</f>
        <v>1073882.9800000011</v>
      </c>
      <c r="K129" s="2">
        <f>geracao_mwh!L129</f>
        <v>51484.900000000031</v>
      </c>
      <c r="L129" s="2">
        <f>geracao_mwh!M129</f>
        <v>363341.69000000029</v>
      </c>
      <c r="M129" s="7">
        <f>co2e_mt!H129</f>
        <v>1.9121097020999997E-2</v>
      </c>
      <c r="N129" s="7">
        <f>co2e_mt!K129</f>
        <v>2.2299636907899805</v>
      </c>
      <c r="O129" s="7">
        <f>co2e_mt!L129</f>
        <v>0.71192155439999827</v>
      </c>
      <c r="P129" s="7">
        <f>co2e_mt!P129</f>
        <v>0.34845433560000028</v>
      </c>
    </row>
    <row r="130" spans="1:16" x14ac:dyDescent="0.3">
      <c r="A130" s="6" t="s">
        <v>91</v>
      </c>
      <c r="B130" s="11">
        <f>co2e_mt!S130</f>
        <v>3.637468790599991</v>
      </c>
      <c r="C130" s="2">
        <f>geracao_mwh!D130</f>
        <v>60489.219999999841</v>
      </c>
      <c r="D130" s="2">
        <f>geracao_mwh!E130</f>
        <v>607055.51000000222</v>
      </c>
      <c r="E130" s="2">
        <f>geracao_mwh!F130</f>
        <v>193164.55000000037</v>
      </c>
      <c r="F130" s="2">
        <f>geracao_mwh!G130</f>
        <v>0</v>
      </c>
      <c r="G130" s="2">
        <f>geracao_mwh!H130</f>
        <v>3954349.29</v>
      </c>
      <c r="H130" s="2">
        <f>geracao_mwh!I130</f>
        <v>32438092.699999437</v>
      </c>
      <c r="I130" s="2">
        <f>geracao_mwh!J130</f>
        <v>0</v>
      </c>
      <c r="J130" s="2">
        <f>geracao_mwh!K130</f>
        <v>1333663.8199999961</v>
      </c>
      <c r="K130" s="2">
        <f>geracao_mwh!L130</f>
        <v>76068.400000000009</v>
      </c>
      <c r="L130" s="2">
        <f>geracao_mwh!M130</f>
        <v>404643.88000000047</v>
      </c>
      <c r="M130" s="7">
        <f>co2e_mt!H130</f>
        <v>2.2994208249999946E-2</v>
      </c>
      <c r="N130" s="7">
        <f>co2e_mt!K130</f>
        <v>2.5294763204500024</v>
      </c>
      <c r="O130" s="7">
        <f>co2e_mt!L130</f>
        <v>0.68119994669998818</v>
      </c>
      <c r="P130" s="7">
        <f>co2e_mt!P130</f>
        <v>0.40379831520000042</v>
      </c>
    </row>
    <row r="131" spans="1:16" x14ac:dyDescent="0.3">
      <c r="A131" s="6" t="s">
        <v>92</v>
      </c>
      <c r="B131" s="11">
        <f>co2e_mt!S131</f>
        <v>3.3145490885100108</v>
      </c>
      <c r="C131" s="2">
        <f>geracao_mwh!D131</f>
        <v>57554.349999999955</v>
      </c>
      <c r="D131" s="2">
        <f>geracao_mwh!E131</f>
        <v>576257.06000000087</v>
      </c>
      <c r="E131" s="2">
        <f>geracao_mwh!F131</f>
        <v>142161.14999999912</v>
      </c>
      <c r="F131" s="2">
        <f>geracao_mwh!G131</f>
        <v>0</v>
      </c>
      <c r="G131" s="2">
        <f>geracao_mwh!H131</f>
        <v>3558019.8000000007</v>
      </c>
      <c r="H131" s="2">
        <f>geracao_mwh!I131</f>
        <v>33984712.770000443</v>
      </c>
      <c r="I131" s="2">
        <f>geracao_mwh!J131</f>
        <v>0</v>
      </c>
      <c r="J131" s="2">
        <f>geracao_mwh!K131</f>
        <v>1121977.2099999979</v>
      </c>
      <c r="K131" s="2">
        <f>geracao_mwh!L131</f>
        <v>8173.52</v>
      </c>
      <c r="L131" s="2">
        <f>geracao_mwh!M131</f>
        <v>319698.57000000012</v>
      </c>
      <c r="M131" s="7">
        <f>co2e_mt!H131</f>
        <v>1.9426624879999958E-2</v>
      </c>
      <c r="N131" s="7">
        <f>co2e_mt!K131</f>
        <v>2.3060309398600012</v>
      </c>
      <c r="O131" s="7">
        <f>co2e_mt!L131</f>
        <v>0.71367896817000931</v>
      </c>
      <c r="P131" s="7">
        <f>co2e_mt!P131</f>
        <v>0.27541255560000011</v>
      </c>
    </row>
    <row r="132" spans="1:16" x14ac:dyDescent="0.3">
      <c r="A132" s="6" t="s">
        <v>93</v>
      </c>
      <c r="B132" s="11">
        <f>co2e_mt!S132</f>
        <v>3.4791574434899961</v>
      </c>
      <c r="C132" s="2">
        <f>geracao_mwh!D132</f>
        <v>58777.679999999906</v>
      </c>
      <c r="D132" s="2">
        <f>geracao_mwh!E132</f>
        <v>650432.64999999863</v>
      </c>
      <c r="E132" s="2">
        <f>geracao_mwh!F132</f>
        <v>157932.04999999894</v>
      </c>
      <c r="F132" s="2">
        <f>geracao_mwh!G132</f>
        <v>0</v>
      </c>
      <c r="G132" s="2">
        <f>geracao_mwh!H132</f>
        <v>3638321.9699999969</v>
      </c>
      <c r="H132" s="2">
        <f>geracao_mwh!I132</f>
        <v>33563671.169999965</v>
      </c>
      <c r="I132" s="2">
        <f>geracao_mwh!J132</f>
        <v>0</v>
      </c>
      <c r="J132" s="2">
        <f>geracao_mwh!K132</f>
        <v>433863.07999999961</v>
      </c>
      <c r="K132" s="2">
        <f>geracao_mwh!L132</f>
        <v>12808.359999999995</v>
      </c>
      <c r="L132" s="2">
        <f>geracao_mwh!M132</f>
        <v>397028.56000000006</v>
      </c>
      <c r="M132" s="7">
        <f>co2e_mt!H132</f>
        <v>1.0749776049999975E-2</v>
      </c>
      <c r="N132" s="7">
        <f>co2e_mt!K132</f>
        <v>2.4193075600699969</v>
      </c>
      <c r="O132" s="7">
        <f>co2e_mt!L132</f>
        <v>0.70483709456999932</v>
      </c>
      <c r="P132" s="7">
        <f>co2e_mt!P132</f>
        <v>0.34426301280000005</v>
      </c>
    </row>
    <row r="133" spans="1:16" x14ac:dyDescent="0.3">
      <c r="A133" s="6" t="s">
        <v>94</v>
      </c>
      <c r="B133" s="11">
        <f>co2e_mt!S133</f>
        <v>2.7124357654099964</v>
      </c>
      <c r="C133" s="2">
        <f>geracao_mwh!D133</f>
        <v>25334.189999999995</v>
      </c>
      <c r="D133" s="2">
        <f>geracao_mwh!E133</f>
        <v>575277.5299999998</v>
      </c>
      <c r="E133" s="2">
        <f>geracao_mwh!F133</f>
        <v>125133.09000000007</v>
      </c>
      <c r="F133" s="2">
        <f>geracao_mwh!G133</f>
        <v>0</v>
      </c>
      <c r="G133" s="2">
        <f>geracao_mwh!H133</f>
        <v>2296536.8499999926</v>
      </c>
      <c r="H133" s="2">
        <f>geracao_mwh!I133</f>
        <v>36397097.050000012</v>
      </c>
      <c r="I133" s="2">
        <f>geracao_mwh!J133</f>
        <v>0</v>
      </c>
      <c r="J133" s="2">
        <f>geracao_mwh!K133</f>
        <v>1290395.56</v>
      </c>
      <c r="K133" s="2">
        <f>geracao_mwh!L133</f>
        <v>5634.909999999998</v>
      </c>
      <c r="L133" s="2">
        <f>geracao_mwh!M133</f>
        <v>275802.90000000002</v>
      </c>
      <c r="M133" s="7">
        <f>co2e_mt!H133</f>
        <v>1.971925033E-2</v>
      </c>
      <c r="N133" s="7">
        <f>co2e_mt!K133</f>
        <v>1.6919697166299963</v>
      </c>
      <c r="O133" s="7">
        <f>co2e_mt!L133</f>
        <v>0.76433903805000036</v>
      </c>
      <c r="P133" s="7">
        <f>co2e_mt!P133</f>
        <v>0.2364077604</v>
      </c>
    </row>
    <row r="134" spans="1:16" x14ac:dyDescent="0.3">
      <c r="A134" s="6" t="s">
        <v>95</v>
      </c>
      <c r="B134" s="11">
        <f>co2e_mt!S134</f>
        <v>1.7973350027600123</v>
      </c>
      <c r="C134" s="2">
        <f>geracao_mwh!D134</f>
        <v>7983.2500000000018</v>
      </c>
      <c r="D134" s="2">
        <f>geracao_mwh!E134</f>
        <v>385517.44000000012</v>
      </c>
      <c r="E134" s="2">
        <f>geracao_mwh!F134</f>
        <v>70895.299999999595</v>
      </c>
      <c r="F134" s="2">
        <f>geracao_mwh!G134</f>
        <v>0</v>
      </c>
      <c r="G134" s="2">
        <f>geracao_mwh!H134</f>
        <v>873069.48000000103</v>
      </c>
      <c r="H134" s="2">
        <f>geracao_mwh!I134</f>
        <v>38783246.190000556</v>
      </c>
      <c r="I134" s="2">
        <f>geracao_mwh!J134</f>
        <v>0</v>
      </c>
      <c r="J134" s="2">
        <f>geracao_mwh!K134</f>
        <v>1378456.3500000006</v>
      </c>
      <c r="K134" s="2">
        <f>geracao_mwh!L134</f>
        <v>421.28</v>
      </c>
      <c r="L134" s="2">
        <f>geracao_mwh!M134</f>
        <v>182216.11000000002</v>
      </c>
      <c r="M134" s="7">
        <f>co2e_mt!H134</f>
        <v>1.9256700450000001E-2</v>
      </c>
      <c r="N134" s="7">
        <f>co2e_mt!K134</f>
        <v>0.81021472472000067</v>
      </c>
      <c r="O134" s="7">
        <f>co2e_mt!L134</f>
        <v>0.81444816999001168</v>
      </c>
      <c r="P134" s="7">
        <f>co2e_mt!P134</f>
        <v>0.15341540760000003</v>
      </c>
    </row>
    <row r="135" spans="1:16" x14ac:dyDescent="0.3">
      <c r="A135" s="6" t="s">
        <v>96</v>
      </c>
      <c r="B135" s="11">
        <f>co2e_mt!S135</f>
        <v>1.7741533100223927</v>
      </c>
      <c r="C135" s="2">
        <f>geracao_mwh!D135</f>
        <v>12265.881200000018</v>
      </c>
      <c r="D135" s="2">
        <f>geracao_mwh!E135</f>
        <v>470221.16000000254</v>
      </c>
      <c r="E135" s="2">
        <f>geracao_mwh!F135</f>
        <v>63545.299999999843</v>
      </c>
      <c r="F135" s="2">
        <f>geracao_mwh!G135</f>
        <v>0</v>
      </c>
      <c r="G135" s="2">
        <f>geracao_mwh!H135</f>
        <v>837778.65000000282</v>
      </c>
      <c r="H135" s="2">
        <f>geracao_mwh!I135</f>
        <v>36668906.519999474</v>
      </c>
      <c r="I135" s="2">
        <f>geracao_mwh!J135</f>
        <v>0</v>
      </c>
      <c r="J135" s="2">
        <f>geracao_mwh!K135</f>
        <v>1195676.839999998</v>
      </c>
      <c r="K135" s="2">
        <f>geracao_mwh!L135</f>
        <v>29.38</v>
      </c>
      <c r="L135" s="2">
        <f>geracao_mwh!M135</f>
        <v>130026.27999999993</v>
      </c>
      <c r="M135" s="7">
        <f>co2e_mt!H135</f>
        <v>1.7007713642399974E-2</v>
      </c>
      <c r="N135" s="7">
        <f>co2e_mt!K135</f>
        <v>0.87785180506000393</v>
      </c>
      <c r="O135" s="7">
        <f>co2e_mt!L135</f>
        <v>0.77004703691998888</v>
      </c>
      <c r="P135" s="7">
        <f>co2e_mt!P135</f>
        <v>0.10924675439999994</v>
      </c>
    </row>
    <row r="136" spans="1:16" x14ac:dyDescent="0.3">
      <c r="A136" s="6" t="s">
        <v>97</v>
      </c>
      <c r="B136" s="11">
        <f>co2e_mt!S136</f>
        <v>1.6170374211029872</v>
      </c>
      <c r="C136" s="2">
        <f>geracao_mwh!D136</f>
        <v>10184.64</v>
      </c>
      <c r="D136" s="2">
        <f>geracao_mwh!E136</f>
        <v>270662.68999999913</v>
      </c>
      <c r="E136" s="2">
        <f>geracao_mwh!F136</f>
        <v>75603.97999999988</v>
      </c>
      <c r="F136" s="2">
        <f>geracao_mwh!G136</f>
        <v>0</v>
      </c>
      <c r="G136" s="2">
        <f>geracao_mwh!H136</f>
        <v>789987.15999999165</v>
      </c>
      <c r="H136" s="2">
        <f>geracao_mwh!I136</f>
        <v>39243077.592999607</v>
      </c>
      <c r="I136" s="2">
        <f>geracao_mwh!J136</f>
        <v>0</v>
      </c>
      <c r="J136" s="2">
        <f>geracao_mwh!K136</f>
        <v>1373145.0600000038</v>
      </c>
      <c r="K136" s="2">
        <f>geracao_mwh!L136</f>
        <v>11759.480000000023</v>
      </c>
      <c r="L136" s="2">
        <f>geracao_mwh!M136</f>
        <v>129552.8300000001</v>
      </c>
      <c r="M136" s="7">
        <f>co2e_mt!H136</f>
        <v>1.936333880000005E-2</v>
      </c>
      <c r="N136" s="7">
        <f>co2e_mt!K136</f>
        <v>0.65486711244999518</v>
      </c>
      <c r="O136" s="7">
        <f>co2e_mt!L136</f>
        <v>0.82410462945299179</v>
      </c>
      <c r="P136" s="7">
        <f>co2e_mt!P136</f>
        <v>0.11870234040000011</v>
      </c>
    </row>
    <row r="137" spans="1:16" x14ac:dyDescent="0.3">
      <c r="A137" s="6" t="s">
        <v>98</v>
      </c>
      <c r="B137" s="11">
        <f>co2e_mt!S137</f>
        <v>1.4900059518099842</v>
      </c>
      <c r="C137" s="2">
        <f>geracao_mwh!D137</f>
        <v>2712.7799999999997</v>
      </c>
      <c r="D137" s="2">
        <f>geracao_mwh!E137</f>
        <v>317215.30000000412</v>
      </c>
      <c r="E137" s="2">
        <f>geracao_mwh!F137</f>
        <v>42688.300000000054</v>
      </c>
      <c r="F137" s="2">
        <f>geracao_mwh!G137</f>
        <v>0</v>
      </c>
      <c r="G137" s="2">
        <f>geracao_mwh!H137</f>
        <v>445935.79000000202</v>
      </c>
      <c r="H137" s="2">
        <f>geracao_mwh!I137</f>
        <v>37769820.229999006</v>
      </c>
      <c r="I137" s="2">
        <f>geracao_mwh!J137</f>
        <v>0</v>
      </c>
      <c r="J137" s="2">
        <f>geracao_mwh!K137</f>
        <v>1208752.96</v>
      </c>
      <c r="K137" s="2">
        <f>geracao_mwh!L137</f>
        <v>4398.7</v>
      </c>
      <c r="L137" s="2">
        <f>geracao_mwh!M137</f>
        <v>169616.31999999995</v>
      </c>
      <c r="M137" s="7">
        <f>co2e_mt!H137</f>
        <v>1.640980094E-2</v>
      </c>
      <c r="N137" s="7">
        <f>co2e_mt!K137</f>
        <v>0.53425730924000503</v>
      </c>
      <c r="O137" s="7">
        <f>co2e_mt!L137</f>
        <v>0.79316622482997912</v>
      </c>
      <c r="P137" s="7">
        <f>co2e_mt!P137</f>
        <v>0.14617261679999993</v>
      </c>
    </row>
    <row r="138" spans="1:16" x14ac:dyDescent="0.3">
      <c r="A138" s="6" t="s">
        <v>99</v>
      </c>
      <c r="B138" s="11">
        <f>co2e_mt!S138</f>
        <v>1.9298816852000309</v>
      </c>
      <c r="C138" s="2">
        <f>geracao_mwh!D138</f>
        <v>45248.270000000099</v>
      </c>
      <c r="D138" s="2">
        <f>geracao_mwh!E138</f>
        <v>442569.85999999969</v>
      </c>
      <c r="E138" s="2">
        <f>geracao_mwh!F138</f>
        <v>66097.749999999593</v>
      </c>
      <c r="F138" s="2">
        <f>geracao_mwh!G138</f>
        <v>0</v>
      </c>
      <c r="G138" s="2">
        <f>geracao_mwh!H138</f>
        <v>925638.81000000332</v>
      </c>
      <c r="H138" s="2">
        <f>geracao_mwh!I138</f>
        <v>37202252.080001414</v>
      </c>
      <c r="I138" s="2">
        <f>geracao_mwh!J138</f>
        <v>0</v>
      </c>
      <c r="J138" s="2">
        <f>geracao_mwh!K138</f>
        <v>1227815.1700000043</v>
      </c>
      <c r="K138" s="2">
        <f>geracao_mwh!L138</f>
        <v>10761.490000000007</v>
      </c>
      <c r="L138" s="2">
        <f>geracao_mwh!M138</f>
        <v>270890.55999999988</v>
      </c>
      <c r="M138" s="7">
        <f>co2e_mt!H138</f>
        <v>1.9173778000000058E-2</v>
      </c>
      <c r="N138" s="7">
        <f>co2e_mt!K138</f>
        <v>0.89287289152000127</v>
      </c>
      <c r="O138" s="7">
        <f>co2e_mt!L138</f>
        <v>0.78124729368002965</v>
      </c>
      <c r="P138" s="7">
        <f>co2e_mt!P138</f>
        <v>0.23658772199999992</v>
      </c>
    </row>
    <row r="139" spans="1:16" x14ac:dyDescent="0.3">
      <c r="A139" s="6" t="s">
        <v>100</v>
      </c>
      <c r="B139" s="11">
        <f>co2e_mt!S139</f>
        <v>2.175218889890008</v>
      </c>
      <c r="C139" s="2">
        <f>geracao_mwh!D139</f>
        <v>58563.229999999996</v>
      </c>
      <c r="D139" s="2">
        <f>geracao_mwh!E139</f>
        <v>531934.89999999991</v>
      </c>
      <c r="E139" s="2">
        <f>geracao_mwh!F139</f>
        <v>113012.29999999961</v>
      </c>
      <c r="F139" s="2">
        <f>geracao_mwh!G139</f>
        <v>0</v>
      </c>
      <c r="G139" s="2">
        <f>geracao_mwh!H139</f>
        <v>1320256.8100000052</v>
      </c>
      <c r="H139" s="2">
        <f>geracao_mwh!I139</f>
        <v>35042281.41000025</v>
      </c>
      <c r="I139" s="2">
        <f>geracao_mwh!J139</f>
        <v>0</v>
      </c>
      <c r="J139" s="2">
        <f>geracao_mwh!K139</f>
        <v>1413013.219999999</v>
      </c>
      <c r="K139" s="2">
        <f>geracao_mwh!L139</f>
        <v>6923.34</v>
      </c>
      <c r="L139" s="2">
        <f>geracao_mwh!M139</f>
        <v>281571.56000000006</v>
      </c>
      <c r="M139" s="7">
        <f>co2e_mt!H139</f>
        <v>2.2883619719999984E-2</v>
      </c>
      <c r="N139" s="7">
        <f>co2e_mt!K139</f>
        <v>1.1741116445600026</v>
      </c>
      <c r="O139" s="7">
        <f>co2e_mt!L139</f>
        <v>0.73588790961000528</v>
      </c>
      <c r="P139" s="7">
        <f>co2e_mt!P139</f>
        <v>0.24233571600000006</v>
      </c>
    </row>
    <row r="140" spans="1:16" x14ac:dyDescent="0.3">
      <c r="A140" s="6" t="s">
        <v>101</v>
      </c>
      <c r="B140" s="11">
        <f>co2e_mt!S140</f>
        <v>2.1867376440900159</v>
      </c>
      <c r="C140" s="2">
        <f>geracao_mwh!D140</f>
        <v>62218.150000000132</v>
      </c>
      <c r="D140" s="2">
        <f>geracao_mwh!E140</f>
        <v>484227.8600000001</v>
      </c>
      <c r="E140" s="2">
        <f>geracao_mwh!F140</f>
        <v>150133.03000000052</v>
      </c>
      <c r="F140" s="2">
        <f>geracao_mwh!G140</f>
        <v>0</v>
      </c>
      <c r="G140" s="2">
        <f>geracao_mwh!H140</f>
        <v>1355909.8700000269</v>
      </c>
      <c r="H140" s="2">
        <f>geracao_mwh!I140</f>
        <v>36725450.21000012</v>
      </c>
      <c r="I140" s="2">
        <f>geracao_mwh!J140</f>
        <v>0</v>
      </c>
      <c r="J140" s="2">
        <f>geracao_mwh!K140</f>
        <v>1422970.1700000002</v>
      </c>
      <c r="K140" s="2">
        <f>geracao_mwh!L140</f>
        <v>1019.7800000000001</v>
      </c>
      <c r="L140" s="2">
        <f>geracao_mwh!M140</f>
        <v>294376.91000000027</v>
      </c>
      <c r="M140" s="7">
        <f>co2e_mt!H140</f>
        <v>2.3685685400000017E-2</v>
      </c>
      <c r="N140" s="7">
        <f>co2e_mt!K140</f>
        <v>1.1436842846800133</v>
      </c>
      <c r="O140" s="7">
        <f>co2e_mt!L140</f>
        <v>0.7712344544100026</v>
      </c>
      <c r="P140" s="7">
        <f>co2e_mt!P140</f>
        <v>0.2481332196000002</v>
      </c>
    </row>
    <row r="141" spans="1:16" x14ac:dyDescent="0.3">
      <c r="A141" s="6" t="s">
        <v>102</v>
      </c>
      <c r="B141" s="11">
        <f>co2e_mt!S141</f>
        <v>2.1667922127699915</v>
      </c>
      <c r="C141" s="2">
        <f>geracao_mwh!D141</f>
        <v>50328.590000000142</v>
      </c>
      <c r="D141" s="2">
        <f>geracao_mwh!E141</f>
        <v>481425.50000000012</v>
      </c>
      <c r="E141" s="2">
        <f>geracao_mwh!F141</f>
        <v>239803.58000000258</v>
      </c>
      <c r="F141" s="2">
        <f>geracao_mwh!G141</f>
        <v>0</v>
      </c>
      <c r="G141" s="2">
        <f>geracao_mwh!H141</f>
        <v>1193706.4000000001</v>
      </c>
      <c r="H141" s="2">
        <f>geracao_mwh!I141</f>
        <v>38603077.429999597</v>
      </c>
      <c r="I141" s="2">
        <f>geracao_mwh!J141</f>
        <v>0</v>
      </c>
      <c r="J141" s="2">
        <f>geracao_mwh!K141</f>
        <v>1221706.3400000008</v>
      </c>
      <c r="K141" s="2">
        <f>geracao_mwh!L141</f>
        <v>1070.9799999999998</v>
      </c>
      <c r="L141" s="2">
        <f>geracao_mwh!M141</f>
        <v>323289.29999999964</v>
      </c>
      <c r="M141" s="7">
        <f>co2e_mt!H141</f>
        <v>2.1616715640000048E-2</v>
      </c>
      <c r="N141" s="7">
        <f>co2e_mt!K141</f>
        <v>1.0620482359000003</v>
      </c>
      <c r="O141" s="7">
        <f>co2e_mt!L141</f>
        <v>0.81066462602999145</v>
      </c>
      <c r="P141" s="7">
        <f>co2e_mt!P141</f>
        <v>0.27246263519999969</v>
      </c>
    </row>
    <row r="142" spans="1:16" x14ac:dyDescent="0.3">
      <c r="A142" s="6" t="s">
        <v>103</v>
      </c>
      <c r="B142" s="11">
        <f>co2e_mt!S142</f>
        <v>2.0463681039399937</v>
      </c>
      <c r="C142" s="2">
        <f>geracao_mwh!D142</f>
        <v>29511.489999999947</v>
      </c>
      <c r="D142" s="2">
        <f>geracao_mwh!E142</f>
        <v>436840.75000000006</v>
      </c>
      <c r="E142" s="2">
        <f>geracao_mwh!F142</f>
        <v>246533.74000000022</v>
      </c>
      <c r="F142" s="2">
        <f>geracao_mwh!G142</f>
        <v>0</v>
      </c>
      <c r="G142" s="2">
        <f>geracao_mwh!H142</f>
        <v>1064643.470000007</v>
      </c>
      <c r="H142" s="2">
        <f>geracao_mwh!I142</f>
        <v>37308228.449999541</v>
      </c>
      <c r="I142" s="2">
        <f>geracao_mwh!J142</f>
        <v>0</v>
      </c>
      <c r="J142" s="2">
        <f>geracao_mwh!K142</f>
        <v>1154465.9400000037</v>
      </c>
      <c r="K142" s="2">
        <f>geracao_mwh!L142</f>
        <v>7776.1100000000024</v>
      </c>
      <c r="L142" s="2">
        <f>geracao_mwh!M142</f>
        <v>335620.78999999992</v>
      </c>
      <c r="M142" s="7">
        <f>co2e_mt!H142</f>
        <v>1.9747593320000048E-2</v>
      </c>
      <c r="N142" s="7">
        <f>co2e_mt!K142</f>
        <v>0.95469431717000341</v>
      </c>
      <c r="O142" s="7">
        <f>co2e_mt!L142</f>
        <v>0.78347279744999032</v>
      </c>
      <c r="P142" s="7">
        <f>co2e_mt!P142</f>
        <v>0.28845339599999992</v>
      </c>
    </row>
    <row r="143" spans="1:16" x14ac:dyDescent="0.3">
      <c r="A143" s="6" t="s">
        <v>104</v>
      </c>
      <c r="B143" s="11">
        <f>co2e_mt!S143</f>
        <v>2.3804687263099855</v>
      </c>
      <c r="C143" s="2">
        <f>geracao_mwh!D143</f>
        <v>14516.009999999998</v>
      </c>
      <c r="D143" s="2">
        <f>geracao_mwh!E143</f>
        <v>593290.00999999815</v>
      </c>
      <c r="E143" s="2">
        <f>geracao_mwh!F143</f>
        <v>263157.42999999924</v>
      </c>
      <c r="F143" s="2">
        <f>geracao_mwh!G143</f>
        <v>0</v>
      </c>
      <c r="G143" s="2">
        <f>geracao_mwh!H143</f>
        <v>1413784.7300000035</v>
      </c>
      <c r="H143" s="2">
        <f>geracao_mwh!I143</f>
        <v>37732448.799999312</v>
      </c>
      <c r="I143" s="2">
        <f>geracao_mwh!J143</f>
        <v>0</v>
      </c>
      <c r="J143" s="2">
        <f>geracao_mwh!K143</f>
        <v>1180202.3700000003</v>
      </c>
      <c r="K143" s="2">
        <f>geracao_mwh!L143</f>
        <v>2334.4599999999991</v>
      </c>
      <c r="L143" s="2">
        <f>geracao_mwh!M143</f>
        <v>340029.96000000014</v>
      </c>
      <c r="M143" s="7">
        <f>co2e_mt!H143</f>
        <v>1.9518509919999993E-2</v>
      </c>
      <c r="N143" s="7">
        <f>co2e_mt!K143</f>
        <v>1.2809826787899996</v>
      </c>
      <c r="O143" s="7">
        <f>co2e_mt!L143</f>
        <v>0.79238142479998563</v>
      </c>
      <c r="P143" s="7">
        <f>co2e_mt!P143</f>
        <v>0.28758611280000013</v>
      </c>
    </row>
    <row r="144" spans="1:16" x14ac:dyDescent="0.3">
      <c r="A144" s="6" t="s">
        <v>105</v>
      </c>
      <c r="B144" s="11">
        <f>co2e_mt!S144</f>
        <v>2.3553502858299873</v>
      </c>
      <c r="C144" s="2">
        <f>geracao_mwh!D144</f>
        <v>13688.499999999993</v>
      </c>
      <c r="D144" s="2">
        <f>geracao_mwh!E144</f>
        <v>623666.66999999969</v>
      </c>
      <c r="E144" s="2">
        <f>geracao_mwh!F144</f>
        <v>294414.03000000009</v>
      </c>
      <c r="F144" s="2">
        <f>geracao_mwh!G144</f>
        <v>0</v>
      </c>
      <c r="G144" s="2">
        <f>geracao_mwh!H144</f>
        <v>1405278.3499999952</v>
      </c>
      <c r="H144" s="2">
        <f>geracao_mwh!I144</f>
        <v>36600478.029999517</v>
      </c>
      <c r="I144" s="2">
        <f>geracao_mwh!J144</f>
        <v>0</v>
      </c>
      <c r="J144" s="2">
        <f>geracao_mwh!K144</f>
        <v>1409779.0799999966</v>
      </c>
      <c r="K144" s="2">
        <f>geracao_mwh!L144</f>
        <v>6728.7400000000043</v>
      </c>
      <c r="L144" s="2">
        <f>geracao_mwh!M144</f>
        <v>298769.25999999949</v>
      </c>
      <c r="M144" s="7">
        <f>co2e_mt!H144</f>
        <v>2.2866312429999959E-2</v>
      </c>
      <c r="N144" s="7">
        <f>co2e_mt!K144</f>
        <v>1.3072556147699972</v>
      </c>
      <c r="O144" s="7">
        <f>co2e_mt!L144</f>
        <v>0.76861003862998989</v>
      </c>
      <c r="P144" s="7">
        <f>co2e_mt!P144</f>
        <v>0.25661831999999951</v>
      </c>
    </row>
    <row r="145" spans="1:16" x14ac:dyDescent="0.3">
      <c r="A145" s="6" t="s">
        <v>106</v>
      </c>
      <c r="B145" s="11">
        <f>co2e_mt!S145</f>
        <v>2.3797825628499947</v>
      </c>
      <c r="C145" s="2">
        <f>geracao_mwh!D145</f>
        <v>7488.1899999999978</v>
      </c>
      <c r="D145" s="2">
        <f>geracao_mwh!E145</f>
        <v>617126.67999999784</v>
      </c>
      <c r="E145" s="2">
        <f>geracao_mwh!F145</f>
        <v>278548.33999999944</v>
      </c>
      <c r="F145" s="2">
        <f>geracao_mwh!G145</f>
        <v>0</v>
      </c>
      <c r="G145" s="2">
        <f>geracao_mwh!H145</f>
        <v>1385958.879999999</v>
      </c>
      <c r="H145" s="2">
        <f>geracao_mwh!I145</f>
        <v>38481884.069999829</v>
      </c>
      <c r="I145" s="2">
        <f>geracao_mwh!J145</f>
        <v>0</v>
      </c>
      <c r="J145" s="2">
        <f>geracao_mwh!K145</f>
        <v>1472011.0400000059</v>
      </c>
      <c r="K145" s="2">
        <f>geracao_mwh!L145</f>
        <v>17579.499999999989</v>
      </c>
      <c r="L145" s="2">
        <f>geracao_mwh!M145</f>
        <v>288606.8300000006</v>
      </c>
      <c r="M145" s="7">
        <f>co2e_mt!H145</f>
        <v>2.3146657820000069E-2</v>
      </c>
      <c r="N145" s="7">
        <f>co2e_mt!K145</f>
        <v>1.2913198223599973</v>
      </c>
      <c r="O145" s="7">
        <f>co2e_mt!L145</f>
        <v>0.80811956546999641</v>
      </c>
      <c r="P145" s="7">
        <f>co2e_mt!P145</f>
        <v>0.25719651720000047</v>
      </c>
    </row>
    <row r="146" spans="1:16" x14ac:dyDescent="0.3">
      <c r="A146" s="6" t="s">
        <v>107</v>
      </c>
      <c r="B146" s="11">
        <f>co2e_mt!S146</f>
        <v>1.942671448656992</v>
      </c>
      <c r="C146" s="2">
        <f>geracao_mwh!D146</f>
        <v>0</v>
      </c>
      <c r="D146" s="2">
        <f>geracao_mwh!E146</f>
        <v>555307.37999999931</v>
      </c>
      <c r="E146" s="2">
        <f>geracao_mwh!F146</f>
        <v>255802.78899999967</v>
      </c>
      <c r="F146" s="2">
        <f>geracao_mwh!G146</f>
        <v>0</v>
      </c>
      <c r="G146" s="2">
        <f>geracao_mwh!H146</f>
        <v>758924.64000001352</v>
      </c>
      <c r="H146" s="2">
        <f>geracao_mwh!I146</f>
        <v>39617133.939999335</v>
      </c>
      <c r="I146" s="2">
        <f>geracao_mwh!J146</f>
        <v>0</v>
      </c>
      <c r="J146" s="2">
        <f>geracao_mwh!K146</f>
        <v>1409747.8800000024</v>
      </c>
      <c r="K146" s="2">
        <f>geracao_mwh!L146</f>
        <v>16665.939999999988</v>
      </c>
      <c r="L146" s="2">
        <f>geracao_mwh!M146</f>
        <v>179000.03000000038</v>
      </c>
      <c r="M146" s="7">
        <f>co2e_mt!H146</f>
        <v>2.1652158697000025E-2</v>
      </c>
      <c r="N146" s="7">
        <f>co2e_mt!K146</f>
        <v>0.92470006242000569</v>
      </c>
      <c r="O146" s="7">
        <f>co2e_mt!L146</f>
        <v>0.83195981273998609</v>
      </c>
      <c r="P146" s="7">
        <f>co2e_mt!P146</f>
        <v>0.16435941480000033</v>
      </c>
    </row>
    <row r="147" spans="1:16" x14ac:dyDescent="0.3">
      <c r="A147" s="6" t="s">
        <v>108</v>
      </c>
      <c r="B147" s="11">
        <f>co2e_mt!S147</f>
        <v>1.998378958115997</v>
      </c>
      <c r="C147" s="2">
        <f>geracao_mwh!D147</f>
        <v>11339.830000000024</v>
      </c>
      <c r="D147" s="2">
        <f>geracao_mwh!E147</f>
        <v>477775.99999999837</v>
      </c>
      <c r="E147" s="2">
        <f>geracao_mwh!F147</f>
        <v>189529.93199999939</v>
      </c>
      <c r="F147" s="2">
        <f>geracao_mwh!G147</f>
        <v>0</v>
      </c>
      <c r="G147" s="2">
        <f>geracao_mwh!H147</f>
        <v>1129652.6200000083</v>
      </c>
      <c r="H147" s="2">
        <f>geracao_mwh!I147</f>
        <v>39313480.539999746</v>
      </c>
      <c r="I147" s="2">
        <f>geracao_mwh!J147</f>
        <v>0</v>
      </c>
      <c r="J147" s="2">
        <f>geracao_mwh!K147</f>
        <v>1154534.8599999989</v>
      </c>
      <c r="K147" s="2">
        <f>geracao_mwh!L147</f>
        <v>21460.409999999996</v>
      </c>
      <c r="L147" s="2">
        <f>geracao_mwh!M147</f>
        <v>130287.69</v>
      </c>
      <c r="M147" s="7">
        <f>co2e_mt!H147</f>
        <v>1.8062513455999983E-2</v>
      </c>
      <c r="N147" s="7">
        <f>co2e_mt!K147</f>
        <v>1.0272649493200023</v>
      </c>
      <c r="O147" s="7">
        <f>co2e_mt!L147</f>
        <v>0.82558309133999475</v>
      </c>
      <c r="P147" s="7">
        <f>co2e_mt!P147</f>
        <v>0.12746840400000001</v>
      </c>
    </row>
    <row r="148" spans="1:16" x14ac:dyDescent="0.3">
      <c r="A148" s="6" t="s">
        <v>109</v>
      </c>
      <c r="B148" s="11">
        <f>co2e_mt!S148</f>
        <v>2.4597359795409903</v>
      </c>
      <c r="C148" s="2">
        <f>geracao_mwh!D148</f>
        <v>18084.589999999993</v>
      </c>
      <c r="D148" s="2">
        <f>geracao_mwh!E148</f>
        <v>562219.60000000068</v>
      </c>
      <c r="E148" s="2">
        <f>geracao_mwh!F148</f>
        <v>177013.00499999995</v>
      </c>
      <c r="F148" s="2">
        <f>geracao_mwh!G148</f>
        <v>0</v>
      </c>
      <c r="G148" s="2">
        <f>geracao_mwh!H148</f>
        <v>1711158.2600000007</v>
      </c>
      <c r="H148" s="2">
        <f>geracao_mwh!I148</f>
        <v>42622441.025999479</v>
      </c>
      <c r="I148" s="2">
        <f>geracao_mwh!J148</f>
        <v>0</v>
      </c>
      <c r="J148" s="2">
        <f>geracao_mwh!K148</f>
        <v>513187.53000000014</v>
      </c>
      <c r="K148" s="2">
        <f>geracao_mwh!L148</f>
        <v>9044.7900000000027</v>
      </c>
      <c r="L148" s="2">
        <f>geracao_mwh!M148</f>
        <v>181844.47000000023</v>
      </c>
      <c r="M148" s="7">
        <f>co2e_mt!H148</f>
        <v>9.9130056350000013E-3</v>
      </c>
      <c r="N148" s="7">
        <f>co2e_mt!K148</f>
        <v>1.394404733960001</v>
      </c>
      <c r="O148" s="7">
        <f>co2e_mt!L148</f>
        <v>0.89507126154598915</v>
      </c>
      <c r="P148" s="7">
        <f>co2e_mt!P148</f>
        <v>0.1603469784000002</v>
      </c>
    </row>
    <row r="149" spans="1:16" x14ac:dyDescent="0.3">
      <c r="A149" s="6" t="s">
        <v>110</v>
      </c>
      <c r="B149" s="11">
        <f>co2e_mt!S149</f>
        <v>3.0077990022369945</v>
      </c>
      <c r="C149" s="2">
        <f>geracao_mwh!D149</f>
        <v>48847.380000000026</v>
      </c>
      <c r="D149" s="2">
        <f>geracao_mwh!E149</f>
        <v>508119.58999999979</v>
      </c>
      <c r="E149" s="2">
        <f>geracao_mwh!F149</f>
        <v>186787.40600000054</v>
      </c>
      <c r="F149" s="2">
        <f>geracao_mwh!G149</f>
        <v>0</v>
      </c>
      <c r="G149" s="2">
        <f>geracao_mwh!H149</f>
        <v>2975811.989999989</v>
      </c>
      <c r="H149" s="2">
        <f>geracao_mwh!I149</f>
        <v>36922406.549000017</v>
      </c>
      <c r="I149" s="2">
        <f>geracao_mwh!J149</f>
        <v>0</v>
      </c>
      <c r="J149" s="2">
        <f>geracao_mwh!K149</f>
        <v>1406765.3800000006</v>
      </c>
      <c r="K149" s="2">
        <f>geracao_mwh!L149</f>
        <v>54595.809999999961</v>
      </c>
      <c r="L149" s="2">
        <f>geracao_mwh!M149</f>
        <v>248142.1400000001</v>
      </c>
      <c r="M149" s="7">
        <f>co2e_mt!H149</f>
        <v>2.3256249978000014E-2</v>
      </c>
      <c r="N149" s="7">
        <f>co2e_mt!K149</f>
        <v>1.9548723367299945</v>
      </c>
      <c r="O149" s="7">
        <f>co2e_mt!L149</f>
        <v>0.77537053752900031</v>
      </c>
      <c r="P149" s="7">
        <f>co2e_mt!P149</f>
        <v>0.25429987800000003</v>
      </c>
    </row>
    <row r="150" spans="1:16" x14ac:dyDescent="0.3">
      <c r="A150" s="6" t="s">
        <v>111</v>
      </c>
      <c r="B150" s="11">
        <f>co2e_mt!S150</f>
        <v>3.0069480148900034</v>
      </c>
      <c r="C150" s="2">
        <f>geracao_mwh!D150</f>
        <v>114209.95000000013</v>
      </c>
      <c r="D150" s="2">
        <f>geracao_mwh!E150</f>
        <v>532057.80000000109</v>
      </c>
      <c r="E150" s="2">
        <f>geracao_mwh!F150</f>
        <v>214478.61099999995</v>
      </c>
      <c r="F150" s="2">
        <f>geracao_mwh!G150</f>
        <v>0</v>
      </c>
      <c r="G150" s="2">
        <f>geracao_mwh!H150</f>
        <v>2907475.4000000162</v>
      </c>
      <c r="H150" s="2">
        <f>geracao_mwh!I150</f>
        <v>36383602.416999727</v>
      </c>
      <c r="I150" s="2">
        <f>geracao_mwh!J150</f>
        <v>0</v>
      </c>
      <c r="J150" s="2">
        <f>geracao_mwh!K150</f>
        <v>1476929.0299999968</v>
      </c>
      <c r="K150" s="2">
        <f>geracao_mwh!L150</f>
        <v>8511.07</v>
      </c>
      <c r="L150" s="2">
        <f>geracao_mwh!M150</f>
        <v>312134.46000000025</v>
      </c>
      <c r="M150" s="7">
        <f>co2e_mt!H150</f>
        <v>2.7927216732999964E-2</v>
      </c>
      <c r="N150" s="7">
        <f>co2e_mt!K150</f>
        <v>1.9456229022000091</v>
      </c>
      <c r="O150" s="7">
        <f>co2e_mt!L150</f>
        <v>0.76405565075699422</v>
      </c>
      <c r="P150" s="7">
        <f>co2e_mt!P150</f>
        <v>0.26934224520000022</v>
      </c>
    </row>
    <row r="151" spans="1:16" x14ac:dyDescent="0.3">
      <c r="A151" s="6" t="s">
        <v>112</v>
      </c>
      <c r="B151" s="11">
        <f>co2e_mt!S151</f>
        <v>1.9643082054271952</v>
      </c>
      <c r="C151" s="2">
        <f>geracao_mwh!D151</f>
        <v>128750.26609999999</v>
      </c>
      <c r="D151" s="2">
        <f>geracao_mwh!E151</f>
        <v>461479.68999999919</v>
      </c>
      <c r="E151" s="2">
        <f>geracao_mwh!F151</f>
        <v>199149.94299999933</v>
      </c>
      <c r="F151" s="2">
        <f>geracao_mwh!G151</f>
        <v>0</v>
      </c>
      <c r="G151" s="2">
        <f>geracao_mwh!H151</f>
        <v>955398.14999999898</v>
      </c>
      <c r="H151" s="2">
        <f>geracao_mwh!I151</f>
        <v>35444060.260999843</v>
      </c>
      <c r="I151" s="2">
        <f>geracao_mwh!J151</f>
        <v>0</v>
      </c>
      <c r="J151" s="2">
        <f>geracao_mwh!K151</f>
        <v>1425578.8199999821</v>
      </c>
      <c r="K151" s="2">
        <f>geracao_mwh!L151</f>
        <v>14481.77000000001</v>
      </c>
      <c r="L151" s="2">
        <f>geracao_mwh!M151</f>
        <v>302067.97000000003</v>
      </c>
      <c r="M151" s="7">
        <f>co2e_mt!H151</f>
        <v>2.781648775619976E-2</v>
      </c>
      <c r="N151" s="7">
        <f>co2e_mt!K151</f>
        <v>0.92626467058999862</v>
      </c>
      <c r="O151" s="7">
        <f>co2e_mt!L151</f>
        <v>0.74432526548099653</v>
      </c>
      <c r="P151" s="7">
        <f>co2e_mt!P151</f>
        <v>0.26590178160000005</v>
      </c>
    </row>
    <row r="152" spans="1:16" x14ac:dyDescent="0.3">
      <c r="A152" s="6" t="s">
        <v>113</v>
      </c>
      <c r="B152" s="11">
        <f>co2e_mt!S152</f>
        <v>1.8533772445549914</v>
      </c>
      <c r="C152" s="2">
        <f>geracao_mwh!D152</f>
        <v>170960.77999999965</v>
      </c>
      <c r="D152" s="2">
        <f>geracao_mwh!E152</f>
        <v>578430.56999999983</v>
      </c>
      <c r="E152" s="2">
        <f>geracao_mwh!F152</f>
        <v>277711.30400000012</v>
      </c>
      <c r="F152" s="2">
        <f>geracao_mwh!G152</f>
        <v>0</v>
      </c>
      <c r="G152" s="2">
        <f>geracao_mwh!H152</f>
        <v>502755.81000000006</v>
      </c>
      <c r="H152" s="2">
        <f>geracao_mwh!I152</f>
        <v>37008439.292999618</v>
      </c>
      <c r="I152" s="2">
        <f>geracao_mwh!J152</f>
        <v>0</v>
      </c>
      <c r="J152" s="2">
        <f>geracao_mwh!K152</f>
        <v>1477577.0199999933</v>
      </c>
      <c r="K152" s="2">
        <f>geracao_mwh!L152</f>
        <v>18255.050000000025</v>
      </c>
      <c r="L152" s="2">
        <f>geracao_mwh!M152</f>
        <v>245010.40999999951</v>
      </c>
      <c r="M152" s="7">
        <f>co2e_mt!H152</f>
        <v>3.1708708771999897E-2</v>
      </c>
      <c r="N152" s="7">
        <f>co2e_mt!K152</f>
        <v>0.82334832422999993</v>
      </c>
      <c r="O152" s="7">
        <f>co2e_mt!L152</f>
        <v>0.77717722515299192</v>
      </c>
      <c r="P152" s="7">
        <f>co2e_mt!P152</f>
        <v>0.22114298639999963</v>
      </c>
    </row>
    <row r="153" spans="1:16" x14ac:dyDescent="0.3">
      <c r="A153" s="6" t="s">
        <v>114</v>
      </c>
      <c r="B153" s="11">
        <f>co2e_mt!S153</f>
        <v>2.6117979854810058</v>
      </c>
      <c r="C153" s="2">
        <f>geracao_mwh!D153</f>
        <v>219902.70039999942</v>
      </c>
      <c r="D153" s="2">
        <f>geracao_mwh!E153</f>
        <v>800558.93999999773</v>
      </c>
      <c r="E153" s="2">
        <f>geracao_mwh!F153</f>
        <v>341665.91100000154</v>
      </c>
      <c r="F153" s="2">
        <f>geracao_mwh!G153</f>
        <v>0</v>
      </c>
      <c r="G153" s="2">
        <f>geracao_mwh!H153</f>
        <v>1546748.6840000008</v>
      </c>
      <c r="H153" s="2">
        <f>geracao_mwh!I153</f>
        <v>37565966.629200339</v>
      </c>
      <c r="I153" s="2">
        <f>geracao_mwh!J153</f>
        <v>0</v>
      </c>
      <c r="J153" s="2">
        <f>geracao_mwh!K153</f>
        <v>1471095.0399999947</v>
      </c>
      <c r="K153" s="2">
        <f>geracao_mwh!L153</f>
        <v>7077.9430000000029</v>
      </c>
      <c r="L153" s="2">
        <f>geracao_mwh!M153</f>
        <v>272484.55000000022</v>
      </c>
      <c r="M153" s="7">
        <f>co2e_mt!H153</f>
        <v>3.5000832783799923E-2</v>
      </c>
      <c r="N153" s="7">
        <f>co2e_mt!K153</f>
        <v>1.553079359363998</v>
      </c>
      <c r="O153" s="7">
        <f>co2e_mt!L153</f>
        <v>0.78888529921320716</v>
      </c>
      <c r="P153" s="7">
        <f>co2e_mt!P153</f>
        <v>0.23483249412000021</v>
      </c>
    </row>
    <row r="154" spans="1:16" x14ac:dyDescent="0.3">
      <c r="A154" s="6" t="s">
        <v>115</v>
      </c>
      <c r="B154" s="11">
        <f>co2e_mt!S154</f>
        <v>3.6508942639549975</v>
      </c>
      <c r="C154" s="2">
        <f>geracao_mwh!D154</f>
        <v>232951.29800000059</v>
      </c>
      <c r="D154" s="2">
        <f>geracao_mwh!E154</f>
        <v>751884.63999999897</v>
      </c>
      <c r="E154" s="2">
        <f>geracao_mwh!F154</f>
        <v>354367.3639999993</v>
      </c>
      <c r="F154" s="2">
        <f>geracao_mwh!G154</f>
        <v>0</v>
      </c>
      <c r="G154" s="2">
        <f>geracao_mwh!H154</f>
        <v>3922837.7490000064</v>
      </c>
      <c r="H154" s="2">
        <f>geracao_mwh!I154</f>
        <v>34476720.702999815</v>
      </c>
      <c r="I154" s="2">
        <f>geracao_mwh!J154</f>
        <v>0</v>
      </c>
      <c r="J154" s="2">
        <f>geracao_mwh!K154</f>
        <v>1403907.8300000017</v>
      </c>
      <c r="K154" s="2">
        <f>geracao_mwh!L154</f>
        <v>747.86900000000026</v>
      </c>
      <c r="L154" s="2">
        <f>geracao_mwh!M154</f>
        <v>276366.90899999969</v>
      </c>
      <c r="M154" s="7">
        <f>co2e_mt!H154</f>
        <v>3.4971045018000045E-2</v>
      </c>
      <c r="N154" s="7">
        <f>co2e_mt!K154</f>
        <v>2.6591356706540017</v>
      </c>
      <c r="O154" s="7">
        <f>co2e_mt!L154</f>
        <v>0.72401113476299606</v>
      </c>
      <c r="P154" s="7">
        <f>co2e_mt!P154</f>
        <v>0.23277641351999975</v>
      </c>
    </row>
    <row r="155" spans="1:16" x14ac:dyDescent="0.3">
      <c r="A155" s="6" t="s">
        <v>116</v>
      </c>
      <c r="B155" s="11">
        <f>co2e_mt!S155</f>
        <v>4.696189440442196</v>
      </c>
      <c r="C155" s="2">
        <f>geracao_mwh!D155</f>
        <v>258852.3310999996</v>
      </c>
      <c r="D155" s="2">
        <f>geracao_mwh!E155</f>
        <v>810363.59400000051</v>
      </c>
      <c r="E155" s="2">
        <f>geracao_mwh!F155</f>
        <v>343743.90800000081</v>
      </c>
      <c r="F155" s="2">
        <f>geracao_mwh!G155</f>
        <v>0</v>
      </c>
      <c r="G155" s="2">
        <f>geracao_mwh!H155</f>
        <v>4758307.0620000102</v>
      </c>
      <c r="H155" s="2">
        <f>geracao_mwh!I155</f>
        <v>35276231.334999621</v>
      </c>
      <c r="I155" s="2">
        <f>geracao_mwh!J155</f>
        <v>0</v>
      </c>
      <c r="J155" s="2">
        <f>geracao_mwh!K155</f>
        <v>1477605.6199999985</v>
      </c>
      <c r="K155" s="2">
        <f>geracao_mwh!L155</f>
        <v>449731.84299999918</v>
      </c>
      <c r="L155" s="2">
        <f>geracao_mwh!M155</f>
        <v>496148.54699999775</v>
      </c>
      <c r="M155" s="7">
        <f>co2e_mt!H155</f>
        <v>3.7137865081199969E-2</v>
      </c>
      <c r="N155" s="7">
        <f>co2e_mt!K155</f>
        <v>3.1237111897260057</v>
      </c>
      <c r="O155" s="7">
        <f>co2e_mt!L155</f>
        <v>0.74080085803499196</v>
      </c>
      <c r="P155" s="7">
        <f>co2e_mt!P155</f>
        <v>0.79453952759999746</v>
      </c>
    </row>
    <row r="156" spans="1:16" x14ac:dyDescent="0.3">
      <c r="A156" s="6" t="s">
        <v>117</v>
      </c>
      <c r="B156" s="11">
        <f>co2e_mt!S156</f>
        <v>5.5666703173290042</v>
      </c>
      <c r="C156" s="2">
        <f>geracao_mwh!D156</f>
        <v>219205.25099999996</v>
      </c>
      <c r="D156" s="2">
        <f>geracao_mwh!E156</f>
        <v>743495.98599999968</v>
      </c>
      <c r="E156" s="2">
        <f>geracao_mwh!F156</f>
        <v>298164.21000000217</v>
      </c>
      <c r="F156" s="2">
        <f>geracao_mwh!G156</f>
        <v>0</v>
      </c>
      <c r="G156" s="2">
        <f>geracao_mwh!H156</f>
        <v>4979906.6099999994</v>
      </c>
      <c r="H156" s="2">
        <f>geracao_mwh!I156</f>
        <v>31796588.072999779</v>
      </c>
      <c r="I156" s="2">
        <f>geracao_mwh!J156</f>
        <v>0</v>
      </c>
      <c r="J156" s="2">
        <f>geracao_mwh!K156</f>
        <v>1431741.7600000021</v>
      </c>
      <c r="K156" s="2">
        <f>geracao_mwh!L156</f>
        <v>1110285.4122000025</v>
      </c>
      <c r="L156" s="2">
        <f>geracao_mwh!M156</f>
        <v>914215.09100000863</v>
      </c>
      <c r="M156" s="7">
        <f>co2e_mt!H156</f>
        <v>3.3887450662000052E-2</v>
      </c>
      <c r="N156" s="7">
        <f>co2e_mt!K156</f>
        <v>3.1644740944459988</v>
      </c>
      <c r="O156" s="7">
        <f>co2e_mt!L156</f>
        <v>0.66772834953299531</v>
      </c>
      <c r="P156" s="7">
        <f>co2e_mt!P156</f>
        <v>1.7005804226880092</v>
      </c>
    </row>
    <row r="157" spans="1:16" x14ac:dyDescent="0.3">
      <c r="A157" s="6" t="s">
        <v>118</v>
      </c>
      <c r="B157" s="11">
        <f>co2e_mt!S157</f>
        <v>5.4738487647979923</v>
      </c>
      <c r="C157" s="2">
        <f>geracao_mwh!D157</f>
        <v>149722.81499999974</v>
      </c>
      <c r="D157" s="2">
        <f>geracao_mwh!E157</f>
        <v>675964.30699999863</v>
      </c>
      <c r="E157" s="2">
        <f>geracao_mwh!F157</f>
        <v>335399.97899999883</v>
      </c>
      <c r="F157" s="2">
        <f>geracao_mwh!G157</f>
        <v>0</v>
      </c>
      <c r="G157" s="2">
        <f>geracao_mwh!H157</f>
        <v>4622524.3140000105</v>
      </c>
      <c r="H157" s="2">
        <f>geracao_mwh!I157</f>
        <v>34868136.92999988</v>
      </c>
      <c r="I157" s="2">
        <f>geracao_mwh!J157</f>
        <v>0</v>
      </c>
      <c r="J157" s="2">
        <f>geracao_mwh!K157</f>
        <v>1390811.7699999984</v>
      </c>
      <c r="K157" s="2">
        <f>geracao_mwh!L157</f>
        <v>1286689.6009999947</v>
      </c>
      <c r="L157" s="2">
        <f>geracao_mwh!M157</f>
        <v>842125.23499999498</v>
      </c>
      <c r="M157" s="7">
        <f>co2e_mt!H157</f>
        <v>3.0226339116999946E-2</v>
      </c>
      <c r="N157" s="7">
        <f>co2e_mt!K157</f>
        <v>2.9231870879110033</v>
      </c>
      <c r="O157" s="7">
        <f>co2e_mt!L157</f>
        <v>0.73223087552999744</v>
      </c>
      <c r="P157" s="7">
        <f>co2e_mt!P157</f>
        <v>1.7882044622399915</v>
      </c>
    </row>
    <row r="158" spans="1:16" x14ac:dyDescent="0.3">
      <c r="A158" s="6" t="s">
        <v>119</v>
      </c>
      <c r="B158" s="11">
        <f>co2e_mt!S158</f>
        <v>5.4691669962870053</v>
      </c>
      <c r="C158" s="2">
        <f>geracao_mwh!D158</f>
        <v>69339.633000000002</v>
      </c>
      <c r="D158" s="2">
        <f>geracao_mwh!E158</f>
        <v>1063499.9069999976</v>
      </c>
      <c r="E158" s="2">
        <f>geracao_mwh!F158</f>
        <v>296020.56599999877</v>
      </c>
      <c r="F158" s="2">
        <f>geracao_mwh!G158</f>
        <v>0</v>
      </c>
      <c r="G158" s="2">
        <f>geracao_mwh!H158</f>
        <v>4127536.6190000013</v>
      </c>
      <c r="H158" s="2">
        <f>geracao_mwh!I158</f>
        <v>34423157.902000129</v>
      </c>
      <c r="I158" s="2">
        <f>geracao_mwh!J158</f>
        <v>0</v>
      </c>
      <c r="J158" s="2">
        <f>geracao_mwh!K158</f>
        <v>1042854.6900000005</v>
      </c>
      <c r="K158" s="2">
        <f>geracao_mwh!L158</f>
        <v>1254156.1480000007</v>
      </c>
      <c r="L158" s="2">
        <f>geracao_mwh!M158</f>
        <v>715752.70600000408</v>
      </c>
      <c r="M158" s="7">
        <f>co2e_mt!H158</f>
        <v>2.1011039243999989E-2</v>
      </c>
      <c r="N158" s="7">
        <f>co2e_mt!K158</f>
        <v>3.0705462037409985</v>
      </c>
      <c r="O158" s="7">
        <f>co2e_mt!L158</f>
        <v>0.7228863159420027</v>
      </c>
      <c r="P158" s="7">
        <f>co2e_mt!P158</f>
        <v>1.6547234373600039</v>
      </c>
    </row>
    <row r="159" spans="1:16" x14ac:dyDescent="0.3">
      <c r="A159" s="6" t="s">
        <v>120</v>
      </c>
      <c r="B159" s="11">
        <f>co2e_mt!S159</f>
        <v>4.9039744418780096</v>
      </c>
      <c r="C159" s="2">
        <f>geracao_mwh!D159</f>
        <v>53832.869999999981</v>
      </c>
      <c r="D159" s="2">
        <f>geracao_mwh!E159</f>
        <v>970310.28200000618</v>
      </c>
      <c r="E159" s="2">
        <f>geracao_mwh!F159</f>
        <v>298421.33099999913</v>
      </c>
      <c r="F159" s="2">
        <f>geracao_mwh!G159</f>
        <v>0</v>
      </c>
      <c r="G159" s="2">
        <f>geracao_mwh!H159</f>
        <v>4001951.3240000093</v>
      </c>
      <c r="H159" s="2">
        <f>geracao_mwh!I159</f>
        <v>32990202.698999979</v>
      </c>
      <c r="I159" s="2">
        <f>geracao_mwh!J159</f>
        <v>0</v>
      </c>
      <c r="J159" s="2">
        <f>geracao_mwh!K159</f>
        <v>895388.11000000057</v>
      </c>
      <c r="K159" s="2">
        <f>geracao_mwh!L159</f>
        <v>1001401.6819999981</v>
      </c>
      <c r="L159" s="2">
        <f>geracao_mwh!M159</f>
        <v>518398.8150000007</v>
      </c>
      <c r="M159" s="7">
        <f>co2e_mt!H159</f>
        <v>1.8318831972999994E-2</v>
      </c>
      <c r="N159" s="7">
        <f>co2e_mt!K159</f>
        <v>2.9162289357460107</v>
      </c>
      <c r="O159" s="7">
        <f>co2e_mt!L159</f>
        <v>0.69279425667899952</v>
      </c>
      <c r="P159" s="7">
        <f>co2e_mt!P159</f>
        <v>1.276632417479999</v>
      </c>
    </row>
    <row r="160" spans="1:16" x14ac:dyDescent="0.3">
      <c r="A160" s="6" t="s">
        <v>121</v>
      </c>
      <c r="B160" s="11">
        <f>co2e_mt!S160</f>
        <v>4.8558733569019976</v>
      </c>
      <c r="C160" s="2">
        <f>geracao_mwh!D160</f>
        <v>80456.239999999845</v>
      </c>
      <c r="D160" s="2">
        <f>geracao_mwh!E160</f>
        <v>988127.11899999611</v>
      </c>
      <c r="E160" s="2">
        <f>geracao_mwh!F160</f>
        <v>302282.81899999891</v>
      </c>
      <c r="F160" s="2">
        <f>geracao_mwh!G160</f>
        <v>0</v>
      </c>
      <c r="G160" s="2">
        <f>geracao_mwh!H160</f>
        <v>3867134.8710000184</v>
      </c>
      <c r="H160" s="2">
        <f>geracao_mwh!I160</f>
        <v>36433268.210000105</v>
      </c>
      <c r="I160" s="2">
        <f>geracao_mwh!J160</f>
        <v>0</v>
      </c>
      <c r="J160" s="2">
        <f>geracao_mwh!K160</f>
        <v>1287622.5799999998</v>
      </c>
      <c r="K160" s="2">
        <f>geracao_mwh!L160</f>
        <v>905647.27999998676</v>
      </c>
      <c r="L160" s="2">
        <f>geracao_mwh!M160</f>
        <v>519804.43000000104</v>
      </c>
      <c r="M160" s="7">
        <f>co2e_mt!H160</f>
        <v>2.4852494666999975E-2</v>
      </c>
      <c r="N160" s="7">
        <f>co2e_mt!K160</f>
        <v>2.8685427934250054</v>
      </c>
      <c r="O160" s="7">
        <f>co2e_mt!L160</f>
        <v>0.7650986324100022</v>
      </c>
      <c r="P160" s="7">
        <f>co2e_mt!P160</f>
        <v>1.1973794363999897</v>
      </c>
    </row>
    <row r="161" spans="1:16" x14ac:dyDescent="0.3">
      <c r="A161" s="6" t="s">
        <v>122</v>
      </c>
      <c r="B161" s="11">
        <f>co2e_mt!S161</f>
        <v>4.4707569257769997</v>
      </c>
      <c r="C161" s="2">
        <f>geracao_mwh!D161</f>
        <v>179386.83000000016</v>
      </c>
      <c r="D161" s="2">
        <f>geracao_mwh!E161</f>
        <v>948286.91500000143</v>
      </c>
      <c r="E161" s="2">
        <f>geracao_mwh!F161</f>
        <v>230064.94700000001</v>
      </c>
      <c r="F161" s="2">
        <f>geracao_mwh!G161</f>
        <v>0</v>
      </c>
      <c r="G161" s="2">
        <f>geracao_mwh!H161</f>
        <v>3471986.5030000056</v>
      </c>
      <c r="H161" s="2">
        <f>geracao_mwh!I161</f>
        <v>34544468.79299973</v>
      </c>
      <c r="I161" s="2">
        <f>geracao_mwh!J161</f>
        <v>0</v>
      </c>
      <c r="J161" s="2">
        <f>geracao_mwh!K161</f>
        <v>1175712.1200000066</v>
      </c>
      <c r="K161" s="2">
        <f>geracao_mwh!L161</f>
        <v>808465.71699999948</v>
      </c>
      <c r="L161" s="2">
        <f>geracao_mwh!M161</f>
        <v>478557.16600000078</v>
      </c>
      <c r="M161" s="7">
        <f>co2e_mt!H161</f>
        <v>2.7603217031000094E-2</v>
      </c>
      <c r="N161" s="7">
        <f>co2e_mt!K161</f>
        <v>2.6366206423730043</v>
      </c>
      <c r="O161" s="7">
        <f>co2e_mt!L161</f>
        <v>0.72543384465299443</v>
      </c>
      <c r="P161" s="7">
        <f>co2e_mt!P161</f>
        <v>1.0810992217200004</v>
      </c>
    </row>
    <row r="162" spans="1:16" x14ac:dyDescent="0.3">
      <c r="A162" s="6" t="s">
        <v>123</v>
      </c>
      <c r="B162" s="11">
        <f>co2e_mt!S162</f>
        <v>5.2701712630530073</v>
      </c>
      <c r="C162" s="2">
        <f>geracao_mwh!D162</f>
        <v>322617.19500000012</v>
      </c>
      <c r="D162" s="2">
        <f>geracao_mwh!E162</f>
        <v>1110958.7460000003</v>
      </c>
      <c r="E162" s="2">
        <f>geracao_mwh!F162</f>
        <v>242658.10500000027</v>
      </c>
      <c r="F162" s="2">
        <f>geracao_mwh!G162</f>
        <v>0</v>
      </c>
      <c r="G162" s="2">
        <f>geracao_mwh!H162</f>
        <v>4216109.0420000162</v>
      </c>
      <c r="H162" s="2">
        <f>geracao_mwh!I162</f>
        <v>33386801.785999946</v>
      </c>
      <c r="I162" s="2">
        <f>geracao_mwh!J162</f>
        <v>0</v>
      </c>
      <c r="J162" s="2">
        <f>geracao_mwh!K162</f>
        <v>543648.11999999988</v>
      </c>
      <c r="K162" s="2">
        <f>geracao_mwh!L162</f>
        <v>1072867.0969999987</v>
      </c>
      <c r="L162" s="2">
        <f>geracao_mwh!M162</f>
        <v>571122.96410000115</v>
      </c>
      <c r="M162" s="7">
        <f>co2e_mt!H162</f>
        <v>2.6998075065000009E-2</v>
      </c>
      <c r="N162" s="7">
        <f>co2e_mt!K162</f>
        <v>3.1610986991580079</v>
      </c>
      <c r="O162" s="7">
        <f>co2e_mt!L162</f>
        <v>0.70112283750599891</v>
      </c>
      <c r="P162" s="7">
        <f>co2e_mt!P162</f>
        <v>1.3809516513239999</v>
      </c>
    </row>
    <row r="163" spans="1:16" x14ac:dyDescent="0.3">
      <c r="A163" s="6" t="s">
        <v>124</v>
      </c>
      <c r="B163" s="11">
        <f>co2e_mt!S163</f>
        <v>4.9077538690460054</v>
      </c>
      <c r="C163" s="2">
        <f>geracao_mwh!D163</f>
        <v>323545.89999999991</v>
      </c>
      <c r="D163" s="2">
        <f>geracao_mwh!E163</f>
        <v>1251065.9649999992</v>
      </c>
      <c r="E163" s="2">
        <f>geracao_mwh!F163</f>
        <v>249770.29299999957</v>
      </c>
      <c r="F163" s="2">
        <f>geracao_mwh!G163</f>
        <v>0</v>
      </c>
      <c r="G163" s="2">
        <f>geracao_mwh!H163</f>
        <v>3716084.4230000162</v>
      </c>
      <c r="H163" s="2">
        <f>geracao_mwh!I163</f>
        <v>31645194.203999773</v>
      </c>
      <c r="I163" s="2">
        <f>geracao_mwh!J163</f>
        <v>0</v>
      </c>
      <c r="J163" s="2">
        <f>geracao_mwh!K163</f>
        <v>1353891.4899999995</v>
      </c>
      <c r="K163" s="2">
        <f>geracao_mwh!L163</f>
        <v>983904.88800000341</v>
      </c>
      <c r="L163" s="2">
        <f>geracao_mwh!M163</f>
        <v>381807.89800000016</v>
      </c>
      <c r="M163" s="7">
        <f>co2e_mt!H163</f>
        <v>3.7671989978999981E-2</v>
      </c>
      <c r="N163" s="7">
        <f>co2e_mt!K163</f>
        <v>3.0583340605430069</v>
      </c>
      <c r="O163" s="7">
        <f>co2e_mt!L163</f>
        <v>0.66454907828399523</v>
      </c>
      <c r="P163" s="7">
        <f>co2e_mt!P163</f>
        <v>1.147198740240003</v>
      </c>
    </row>
    <row r="164" spans="1:16" x14ac:dyDescent="0.3">
      <c r="A164" s="6" t="s">
        <v>125</v>
      </c>
      <c r="B164" s="11">
        <f>co2e_mt!S164</f>
        <v>4.1945080878559793</v>
      </c>
      <c r="C164" s="2">
        <f>geracao_mwh!D164</f>
        <v>373966.41999999963</v>
      </c>
      <c r="D164" s="2">
        <f>geracao_mwh!E164</f>
        <v>1307807.9190000012</v>
      </c>
      <c r="E164" s="2">
        <f>geracao_mwh!F164</f>
        <v>297106.81400000112</v>
      </c>
      <c r="F164" s="2">
        <f>geracao_mwh!G164</f>
        <v>0</v>
      </c>
      <c r="G164" s="2">
        <f>geracao_mwh!H164</f>
        <v>3652453.9589999961</v>
      </c>
      <c r="H164" s="2">
        <f>geracao_mwh!I164</f>
        <v>34460228.320999041</v>
      </c>
      <c r="I164" s="2">
        <f>geracao_mwh!J164</f>
        <v>0</v>
      </c>
      <c r="J164" s="2">
        <f>geracao_mwh!K164</f>
        <v>1310794.9399999985</v>
      </c>
      <c r="K164" s="2">
        <f>geracao_mwh!L164</f>
        <v>170250.69899999982</v>
      </c>
      <c r="L164" s="2">
        <f>geracao_mwh!M164</f>
        <v>241994.49800000002</v>
      </c>
      <c r="M164" s="7">
        <f>co2e_mt!H164</f>
        <v>4.0348976641999976E-2</v>
      </c>
      <c r="N164" s="7">
        <f>co2e_mt!K164</f>
        <v>3.0842083509929994</v>
      </c>
      <c r="O164" s="7">
        <f>co2e_mt!L164</f>
        <v>0.72366479474097989</v>
      </c>
      <c r="P164" s="7">
        <f>co2e_mt!P164</f>
        <v>0.3462859654799999</v>
      </c>
    </row>
    <row r="165" spans="1:16" x14ac:dyDescent="0.3">
      <c r="A165" s="6" t="s">
        <v>126</v>
      </c>
      <c r="B165" s="11">
        <f>co2e_mt!S165</f>
        <v>4.2990138236613991</v>
      </c>
      <c r="C165" s="2">
        <f>geracao_mwh!D165</f>
        <v>482126.97660000069</v>
      </c>
      <c r="D165" s="2">
        <f>geracao_mwh!E165</f>
        <v>1315459.1379999998</v>
      </c>
      <c r="E165" s="2">
        <f>geracao_mwh!F165</f>
        <v>409897.56000000151</v>
      </c>
      <c r="F165" s="2">
        <f>geracao_mwh!G165</f>
        <v>0</v>
      </c>
      <c r="G165" s="2">
        <f>geracao_mwh!H165</f>
        <v>4070194.1610000022</v>
      </c>
      <c r="H165" s="2">
        <f>geracao_mwh!I165</f>
        <v>35053972.920199856</v>
      </c>
      <c r="I165" s="2">
        <f>geracao_mwh!J165</f>
        <v>0</v>
      </c>
      <c r="J165" s="2">
        <f>geracao_mwh!K165</f>
        <v>1346374.7300000025</v>
      </c>
      <c r="K165" s="2">
        <f>geracao_mwh!L165</f>
        <v>23345.51</v>
      </c>
      <c r="L165" s="2">
        <f>geracao_mwh!M165</f>
        <v>238665.55000000019</v>
      </c>
      <c r="M165" s="7">
        <f>co2e_mt!H165</f>
        <v>4.7902142553200085E-2</v>
      </c>
      <c r="N165" s="7">
        <f>co2e_mt!K165</f>
        <v>3.2948889593840009</v>
      </c>
      <c r="O165" s="7">
        <f>co2e_mt!L165</f>
        <v>0.73613343132419706</v>
      </c>
      <c r="P165" s="7">
        <f>co2e_mt!P165</f>
        <v>0.22008929040000014</v>
      </c>
    </row>
    <row r="166" spans="1:16" x14ac:dyDescent="0.3">
      <c r="A166" s="6" t="s">
        <v>127</v>
      </c>
      <c r="B166" s="11">
        <f>co2e_mt!S166</f>
        <v>4.3429451260406022</v>
      </c>
      <c r="C166" s="2">
        <f>geracao_mwh!D166</f>
        <v>482485.05129999993</v>
      </c>
      <c r="D166" s="2">
        <f>geracao_mwh!E166</f>
        <v>1241421.3209999977</v>
      </c>
      <c r="E166" s="2">
        <f>geracao_mwh!F166</f>
        <v>444695.78600000183</v>
      </c>
      <c r="F166" s="2">
        <f>geracao_mwh!G166</f>
        <v>0</v>
      </c>
      <c r="G166" s="2">
        <f>geracao_mwh!H166</f>
        <v>3647530.594999996</v>
      </c>
      <c r="H166" s="2">
        <f>geracao_mwh!I166</f>
        <v>34367197.554000311</v>
      </c>
      <c r="I166" s="2">
        <f>geracao_mwh!J166</f>
        <v>0</v>
      </c>
      <c r="J166" s="2">
        <f>geracao_mwh!K166</f>
        <v>1356827.7500000009</v>
      </c>
      <c r="K166" s="2">
        <f>geracao_mwh!L166</f>
        <v>432710.929</v>
      </c>
      <c r="L166" s="2">
        <f>geracao_mwh!M166</f>
        <v>230815.66300000018</v>
      </c>
      <c r="M166" s="7">
        <f>co2e_mt!H166</f>
        <v>4.8509028635600027E-2</v>
      </c>
      <c r="N166" s="7">
        <f>co2e_mt!K166</f>
        <v>3.0153626114909953</v>
      </c>
      <c r="O166" s="7">
        <f>co2e_mt!L166</f>
        <v>0.72171114863400654</v>
      </c>
      <c r="P166" s="7">
        <f>co2e_mt!P166</f>
        <v>0.55736233728000018</v>
      </c>
    </row>
    <row r="167" spans="1:16" x14ac:dyDescent="0.3">
      <c r="A167" s="6" t="s">
        <v>128</v>
      </c>
      <c r="B167" s="11">
        <f>co2e_mt!S167</f>
        <v>4.6083442798964267</v>
      </c>
      <c r="C167" s="2">
        <f>geracao_mwh!D167</f>
        <v>504655.50769999955</v>
      </c>
      <c r="D167" s="2">
        <f>geracao_mwh!E167</f>
        <v>1270790.3600000017</v>
      </c>
      <c r="E167" s="2">
        <f>geracao_mwh!F167</f>
        <v>492303.23899999727</v>
      </c>
      <c r="F167" s="2">
        <f>geracao_mwh!G167</f>
        <v>0</v>
      </c>
      <c r="G167" s="2">
        <f>geracao_mwh!H167</f>
        <v>3523933.0535000255</v>
      </c>
      <c r="H167" s="2">
        <f>geracao_mwh!I167</f>
        <v>36178608.878000572</v>
      </c>
      <c r="I167" s="2">
        <f>geracao_mwh!J167</f>
        <v>0</v>
      </c>
      <c r="J167" s="2">
        <f>geracao_mwh!K167</f>
        <v>1463920.7099999981</v>
      </c>
      <c r="K167" s="2">
        <f>geracao_mwh!L167</f>
        <v>669384.37600000086</v>
      </c>
      <c r="L167" s="2">
        <f>geracao_mwh!M167</f>
        <v>297553.57800000015</v>
      </c>
      <c r="M167" s="7">
        <f>co2e_mt!H167</f>
        <v>5.1672997737399917E-2</v>
      </c>
      <c r="N167" s="7">
        <f>co2e_mt!K167</f>
        <v>2.9846926143610144</v>
      </c>
      <c r="O167" s="7">
        <f>co2e_mt!L167</f>
        <v>0.75975078643801197</v>
      </c>
      <c r="P167" s="7">
        <f>co2e_mt!P167</f>
        <v>0.81222788136000079</v>
      </c>
    </row>
    <row r="168" spans="1:16" x14ac:dyDescent="0.3">
      <c r="A168" s="6" t="s">
        <v>129</v>
      </c>
      <c r="B168" s="11">
        <f>co2e_mt!S168</f>
        <v>4.9147715796879687</v>
      </c>
      <c r="C168" s="2">
        <f>geracao_mwh!D168</f>
        <v>447182.92299999972</v>
      </c>
      <c r="D168" s="2">
        <f>geracao_mwh!E168</f>
        <v>1410484.282000005</v>
      </c>
      <c r="E168" s="2">
        <f>geracao_mwh!F168</f>
        <v>497975.08600000263</v>
      </c>
      <c r="F168" s="2">
        <f>geracao_mwh!G168</f>
        <v>0</v>
      </c>
      <c r="G168" s="2">
        <f>geracao_mwh!H168</f>
        <v>3709604.7650000118</v>
      </c>
      <c r="H168" s="2">
        <f>geracao_mwh!I168</f>
        <v>34623320.781998113</v>
      </c>
      <c r="I168" s="2">
        <f>geracao_mwh!J168</f>
        <v>0</v>
      </c>
      <c r="J168" s="2">
        <f>geracao_mwh!K168</f>
        <v>1431128.1599999988</v>
      </c>
      <c r="K168" s="2">
        <f>geracao_mwh!L168</f>
        <v>809363.31599999801</v>
      </c>
      <c r="L168" s="2">
        <f>geracao_mwh!M168</f>
        <v>291335.85899999941</v>
      </c>
      <c r="M168" s="7">
        <f>co2e_mt!H168</f>
        <v>4.8331854194000004E-2</v>
      </c>
      <c r="N168" s="7">
        <f>co2e_mt!K168</f>
        <v>3.2147626820720108</v>
      </c>
      <c r="O168" s="7">
        <f>co2e_mt!L168</f>
        <v>0.7270897364219604</v>
      </c>
      <c r="P168" s="7">
        <f>co2e_mt!P168</f>
        <v>0.9245873069999978</v>
      </c>
    </row>
    <row r="169" spans="1:16" x14ac:dyDescent="0.3">
      <c r="A169" s="6" t="s">
        <v>130</v>
      </c>
      <c r="B169" s="11">
        <f>co2e_mt!S169</f>
        <v>4.5095302493223963</v>
      </c>
      <c r="C169" s="2">
        <f>geracao_mwh!D169</f>
        <v>323180.97800000018</v>
      </c>
      <c r="D169" s="2">
        <f>geracao_mwh!E169</f>
        <v>1220125.1389999988</v>
      </c>
      <c r="E169" s="2">
        <f>geracao_mwh!F169</f>
        <v>406029.8809999997</v>
      </c>
      <c r="F169" s="2">
        <f>geracao_mwh!G169</f>
        <v>0</v>
      </c>
      <c r="G169" s="2">
        <f>geracao_mwh!H169</f>
        <v>3616185.874399994</v>
      </c>
      <c r="H169" s="2">
        <f>geracao_mwh!I169</f>
        <v>35635042.436000012</v>
      </c>
      <c r="I169" s="2">
        <f>geracao_mwh!J169</f>
        <v>0</v>
      </c>
      <c r="J169" s="2">
        <f>geracao_mwh!K169</f>
        <v>1369741.8799999994</v>
      </c>
      <c r="K169" s="2">
        <f>geracao_mwh!L169</f>
        <v>561275.54800000088</v>
      </c>
      <c r="L169" s="2">
        <f>geracao_mwh!M169</f>
        <v>322643.87499999866</v>
      </c>
      <c r="M169" s="7">
        <f>co2e_mt!H169</f>
        <v>3.9890443748999999E-2</v>
      </c>
      <c r="N169" s="7">
        <f>co2e_mt!K169</f>
        <v>2.978811599097396</v>
      </c>
      <c r="O169" s="7">
        <f>co2e_mt!L169</f>
        <v>0.74833589115600041</v>
      </c>
      <c r="P169" s="7">
        <f>co2e_mt!P169</f>
        <v>0.7424923153199996</v>
      </c>
    </row>
    <row r="170" spans="1:16" x14ac:dyDescent="0.3">
      <c r="A170" s="6" t="s">
        <v>131</v>
      </c>
      <c r="B170" s="11">
        <f>co2e_mt!S170</f>
        <v>5.3587342689429285</v>
      </c>
      <c r="C170" s="2">
        <f>geracao_mwh!D170</f>
        <v>145452.86620000002</v>
      </c>
      <c r="D170" s="2">
        <f>geracao_mwh!E170</f>
        <v>1388401.3550000056</v>
      </c>
      <c r="E170" s="2">
        <f>geracao_mwh!F170</f>
        <v>468114.0301620008</v>
      </c>
      <c r="F170" s="2">
        <f>geracao_mwh!G170</f>
        <v>0</v>
      </c>
      <c r="G170" s="2">
        <f>geracao_mwh!H170</f>
        <v>3936506.5979000377</v>
      </c>
      <c r="H170" s="2">
        <f>geracao_mwh!I170</f>
        <v>39454073.588000089</v>
      </c>
      <c r="I170" s="2">
        <f>geracao_mwh!J170</f>
        <v>0</v>
      </c>
      <c r="J170" s="2">
        <f>geracao_mwh!K170</f>
        <v>1474109.9380000005</v>
      </c>
      <c r="K170" s="2">
        <f>geracao_mwh!L170</f>
        <v>1008177.9979999973</v>
      </c>
      <c r="L170" s="2">
        <f>geracao_mwh!M170</f>
        <v>413791.40679999901</v>
      </c>
      <c r="M170" s="7">
        <f>co2e_mt!H170</f>
        <v>3.2812460628506013E-2</v>
      </c>
      <c r="N170" s="7">
        <f>co2e_mt!K170</f>
        <v>3.3029319629344238</v>
      </c>
      <c r="O170" s="7">
        <f>co2e_mt!L170</f>
        <v>0.828535545348002</v>
      </c>
      <c r="P170" s="7">
        <f>co2e_mt!P170</f>
        <v>1.1944543000319969</v>
      </c>
    </row>
    <row r="171" spans="1:16" x14ac:dyDescent="0.3">
      <c r="A171" s="6" t="s">
        <v>132</v>
      </c>
      <c r="B171" s="11">
        <f>co2e_mt!S171</f>
        <v>5.7689960430169469</v>
      </c>
      <c r="C171" s="2">
        <f>geracao_mwh!D171</f>
        <v>136494.1687000001</v>
      </c>
      <c r="D171" s="2">
        <f>geracao_mwh!E171</f>
        <v>1363352.5199000021</v>
      </c>
      <c r="E171" s="2">
        <f>geracao_mwh!F171</f>
        <v>427428.48768000311</v>
      </c>
      <c r="F171" s="2">
        <f>geracao_mwh!G171</f>
        <v>0</v>
      </c>
      <c r="G171" s="2">
        <f>geracao_mwh!H171</f>
        <v>4382803.3773000194</v>
      </c>
      <c r="H171" s="2">
        <f>geracao_mwh!I171</f>
        <v>33862316.416999824</v>
      </c>
      <c r="I171" s="2">
        <f>geracao_mwh!J171</f>
        <v>0</v>
      </c>
      <c r="J171" s="2">
        <f>geracao_mwh!K171</f>
        <v>1285589.9280000017</v>
      </c>
      <c r="K171" s="2">
        <f>geracao_mwh!L171</f>
        <v>1202266.5770000005</v>
      </c>
      <c r="L171" s="2">
        <f>geracao_mwh!M171</f>
        <v>623640.74239999824</v>
      </c>
      <c r="M171" s="7">
        <f>co2e_mt!H171</f>
        <v>2.9366936176240067E-2</v>
      </c>
      <c r="N171" s="7">
        <f>co2e_mt!K171</f>
        <v>3.4947583137877114</v>
      </c>
      <c r="O171" s="7">
        <f>co2e_mt!L171</f>
        <v>0.71110864475699631</v>
      </c>
      <c r="P171" s="7">
        <f>co2e_mt!P171</f>
        <v>1.5337621482959989</v>
      </c>
    </row>
    <row r="172" spans="1:16" x14ac:dyDescent="0.3">
      <c r="A172" s="6" t="s">
        <v>133</v>
      </c>
      <c r="B172" s="11">
        <f>co2e_mt!S172</f>
        <v>6.6295719602235641</v>
      </c>
      <c r="C172" s="2">
        <f>geracao_mwh!D172</f>
        <v>192678.99060000075</v>
      </c>
      <c r="D172" s="2">
        <f>geracao_mwh!E172</f>
        <v>1693001.2041999965</v>
      </c>
      <c r="E172" s="2">
        <f>geracao_mwh!F172</f>
        <v>446970.72675335186</v>
      </c>
      <c r="F172" s="2">
        <f>geracao_mwh!G172</f>
        <v>0</v>
      </c>
      <c r="G172" s="2">
        <f>geracao_mwh!H172</f>
        <v>5367847.2098999675</v>
      </c>
      <c r="H172" s="2">
        <f>geracao_mwh!I172</f>
        <v>35632503.752999306</v>
      </c>
      <c r="I172" s="2">
        <f>geracao_mwh!J172</f>
        <v>0</v>
      </c>
      <c r="J172" s="2">
        <f>geracao_mwh!K172</f>
        <v>1421338.5720000013</v>
      </c>
      <c r="K172" s="2">
        <f>geracao_mwh!L172</f>
        <v>1249894.1800000062</v>
      </c>
      <c r="L172" s="2">
        <f>geracao_mwh!M172</f>
        <v>587622.60999999847</v>
      </c>
      <c r="M172" s="7">
        <f>co2e_mt!H172</f>
        <v>3.4307328394993633E-2</v>
      </c>
      <c r="N172" s="7">
        <f>co2e_mt!K172</f>
        <v>4.3034679494155803</v>
      </c>
      <c r="O172" s="7">
        <f>co2e_mt!L172</f>
        <v>0.74828257881298543</v>
      </c>
      <c r="P172" s="7">
        <f>co2e_mt!P172</f>
        <v>1.543514103600004</v>
      </c>
    </row>
    <row r="173" spans="1:16" x14ac:dyDescent="0.3">
      <c r="A173" s="6" t="s">
        <v>134</v>
      </c>
      <c r="B173" s="11">
        <f>co2e_mt!S173</f>
        <v>6.1249422379079226</v>
      </c>
      <c r="C173" s="2">
        <f>geracao_mwh!D173</f>
        <v>299339.82680000016</v>
      </c>
      <c r="D173" s="2">
        <f>geracao_mwh!E173</f>
        <v>1485299.6960000009</v>
      </c>
      <c r="E173" s="2">
        <f>geracao_mwh!F173</f>
        <v>412877.71033258969</v>
      </c>
      <c r="F173" s="2">
        <f>geracao_mwh!G173</f>
        <v>0</v>
      </c>
      <c r="G173" s="2">
        <f>geracao_mwh!H173</f>
        <v>4848922.642999988</v>
      </c>
      <c r="H173" s="2">
        <f>geracao_mwh!I173</f>
        <v>33438339.1859999</v>
      </c>
      <c r="I173" s="2">
        <f>geracao_mwh!J173</f>
        <v>0</v>
      </c>
      <c r="J173" s="2">
        <f>geracao_mwh!K173</f>
        <v>982187.22000000009</v>
      </c>
      <c r="K173" s="2">
        <f>geracao_mwh!L173</f>
        <v>1205683.2280000062</v>
      </c>
      <c r="L173" s="2">
        <f>geracao_mwh!M173</f>
        <v>634405.10500000033</v>
      </c>
      <c r="M173" s="7">
        <f>co2e_mt!H173</f>
        <v>3.3701515087923677E-2</v>
      </c>
      <c r="N173" s="7">
        <f>co2e_mt!K173</f>
        <v>3.8433614001939951</v>
      </c>
      <c r="O173" s="7">
        <f>co2e_mt!L173</f>
        <v>0.7022051229059979</v>
      </c>
      <c r="P173" s="7">
        <f>co2e_mt!P173</f>
        <v>1.5456741997200054</v>
      </c>
    </row>
    <row r="174" spans="1:16" x14ac:dyDescent="0.3">
      <c r="A174" s="6" t="s">
        <v>135</v>
      </c>
      <c r="B174" s="11">
        <f>co2e_mt!S174</f>
        <v>6.9146252670345021</v>
      </c>
      <c r="C174" s="2">
        <f>geracao_mwh!D174</f>
        <v>481887.19824224961</v>
      </c>
      <c r="D174" s="2">
        <f>geracao_mwh!E174</f>
        <v>1503117.4065000021</v>
      </c>
      <c r="E174" s="2">
        <f>geracao_mwh!F174</f>
        <v>424044.98616135446</v>
      </c>
      <c r="F174" s="2">
        <f>geracao_mwh!G174</f>
        <v>0</v>
      </c>
      <c r="G174" s="2">
        <f>geracao_mwh!H174</f>
        <v>6510303.2258999841</v>
      </c>
      <c r="H174" s="2">
        <f>geracao_mwh!I174</f>
        <v>32013792.799350012</v>
      </c>
      <c r="I174" s="2">
        <f>geracao_mwh!J174</f>
        <v>0</v>
      </c>
      <c r="J174" s="2">
        <f>geracao_mwh!K174</f>
        <v>1397662.8633000012</v>
      </c>
      <c r="K174" s="2">
        <f>geracao_mwh!L174</f>
        <v>1123477.736899998</v>
      </c>
      <c r="L174" s="2">
        <f>geracao_mwh!M174</f>
        <v>691959.6323888856</v>
      </c>
      <c r="M174" s="7">
        <f>co2e_mt!H174</f>
        <v>4.874033635159461E-2</v>
      </c>
      <c r="N174" s="7">
        <f>co2e_mt!K174</f>
        <v>4.6686278916938946</v>
      </c>
      <c r="O174" s="7">
        <f>co2e_mt!L174</f>
        <v>0.67228964878635034</v>
      </c>
      <c r="P174" s="7">
        <f>co2e_mt!P174</f>
        <v>1.5249673902026624</v>
      </c>
    </row>
    <row r="175" spans="1:16" x14ac:dyDescent="0.3">
      <c r="A175" s="6" t="s">
        <v>136</v>
      </c>
      <c r="B175" s="11">
        <f>co2e_mt!S175</f>
        <v>6.195500740983972</v>
      </c>
      <c r="C175" s="2">
        <f>geracao_mwh!D175</f>
        <v>526698.12486536056</v>
      </c>
      <c r="D175" s="2">
        <f>geracao_mwh!E175</f>
        <v>1426899.1953000028</v>
      </c>
      <c r="E175" s="2">
        <f>geracao_mwh!F175</f>
        <v>726800.02282390045</v>
      </c>
      <c r="F175" s="2">
        <f>geracao_mwh!G175</f>
        <v>0</v>
      </c>
      <c r="G175" s="2">
        <f>geracao_mwh!H175</f>
        <v>5799773.9335000291</v>
      </c>
      <c r="H175" s="2">
        <f>geracao_mwh!I175</f>
        <v>29962239.03872278</v>
      </c>
      <c r="I175" s="2">
        <f>geracao_mwh!J175</f>
        <v>0</v>
      </c>
      <c r="J175" s="2">
        <f>geracao_mwh!K175</f>
        <v>1391355.1417000093</v>
      </c>
      <c r="K175" s="2">
        <f>geracao_mwh!L175</f>
        <v>936184.03790000034</v>
      </c>
      <c r="L175" s="2">
        <f>geracao_mwh!M175</f>
        <v>568998.31372222165</v>
      </c>
      <c r="M175" s="7">
        <f>co2e_mt!H175</f>
        <v>5.4924319631809576E-2</v>
      </c>
      <c r="N175" s="7">
        <f>co2e_mt!K175</f>
        <v>4.2470162261763171</v>
      </c>
      <c r="O175" s="7">
        <f>co2e_mt!L175</f>
        <v>0.62920701981317839</v>
      </c>
      <c r="P175" s="7">
        <f>co2e_mt!P175</f>
        <v>1.2643531753626664</v>
      </c>
    </row>
    <row r="176" spans="1:16" x14ac:dyDescent="0.3">
      <c r="A176" s="6" t="s">
        <v>137</v>
      </c>
      <c r="B176" s="11">
        <f>co2e_mt!S176</f>
        <v>6.6327568204525882</v>
      </c>
      <c r="C176" s="2">
        <f>geracao_mwh!D176</f>
        <v>455415.37310000119</v>
      </c>
      <c r="D176" s="2">
        <f>geracao_mwh!E176</f>
        <v>1353563.2271000016</v>
      </c>
      <c r="E176" s="2">
        <f>geracao_mwh!F176</f>
        <v>994823.73656309023</v>
      </c>
      <c r="F176" s="2">
        <f>geracao_mwh!G176</f>
        <v>0</v>
      </c>
      <c r="G176" s="2">
        <f>geracao_mwh!H176</f>
        <v>6328398.1809999524</v>
      </c>
      <c r="H176" s="2">
        <f>geracao_mwh!I176</f>
        <v>31064699.004999403</v>
      </c>
      <c r="I176" s="2">
        <f>geracao_mwh!J176</f>
        <v>0</v>
      </c>
      <c r="J176" s="2">
        <f>geracao_mwh!K176</f>
        <v>926862.64599999972</v>
      </c>
      <c r="K176" s="2">
        <f>geracao_mwh!L176</f>
        <v>1143865.2169999997</v>
      </c>
      <c r="L176" s="2">
        <f>geracao_mwh!M176</f>
        <v>643297.06000000203</v>
      </c>
      <c r="M176" s="7">
        <f>co2e_mt!H176</f>
        <v>4.8663522374520228E-2</v>
      </c>
      <c r="N176" s="7">
        <f>co2e_mt!K176</f>
        <v>4.4305183062930782</v>
      </c>
      <c r="O176" s="7">
        <f>co2e_mt!L176</f>
        <v>0.65235867910498746</v>
      </c>
      <c r="P176" s="7">
        <f>co2e_mt!P176</f>
        <v>1.5012163126800013</v>
      </c>
    </row>
    <row r="177" spans="1:16" x14ac:dyDescent="0.3">
      <c r="A177" s="6" t="s">
        <v>138</v>
      </c>
      <c r="B177" s="11">
        <f>co2e_mt!S177</f>
        <v>7.4022172690613131</v>
      </c>
      <c r="C177" s="2">
        <f>geracao_mwh!D177</f>
        <v>632116.06800000125</v>
      </c>
      <c r="D177" s="2">
        <f>geracao_mwh!E177</f>
        <v>1411323.3591999966</v>
      </c>
      <c r="E177" s="2">
        <f>geracao_mwh!F177</f>
        <v>1176284.8759334197</v>
      </c>
      <c r="F177" s="2">
        <f>geracao_mwh!G177</f>
        <v>0</v>
      </c>
      <c r="G177" s="2">
        <f>geracao_mwh!H177</f>
        <v>6628171.0889999699</v>
      </c>
      <c r="H177" s="2">
        <f>geracao_mwh!I177</f>
        <v>30195866.105999667</v>
      </c>
      <c r="I177" s="2">
        <f>geracao_mwh!J177</f>
        <v>0</v>
      </c>
      <c r="J177" s="2">
        <f>geracao_mwh!K177</f>
        <v>630709.90300000086</v>
      </c>
      <c r="K177" s="2">
        <f>geracao_mwh!L177</f>
        <v>1712435.1350000084</v>
      </c>
      <c r="L177" s="2">
        <f>geracao_mwh!M177</f>
        <v>761037.81899999571</v>
      </c>
      <c r="M177" s="7">
        <f>co2e_mt!H177</f>
        <v>5.6360967662134533E-2</v>
      </c>
      <c r="N177" s="7">
        <f>co2e_mt!K177</f>
        <v>4.6340258318131822</v>
      </c>
      <c r="O177" s="7">
        <f>co2e_mt!L177</f>
        <v>0.63411318822599305</v>
      </c>
      <c r="P177" s="7">
        <f>co2e_mt!P177</f>
        <v>2.0777172813600036</v>
      </c>
    </row>
    <row r="178" spans="1:16" x14ac:dyDescent="0.3">
      <c r="A178" s="6" t="s">
        <v>139</v>
      </c>
      <c r="B178" s="11">
        <f>co2e_mt!S178</f>
        <v>6.7175331615634262</v>
      </c>
      <c r="C178" s="2">
        <f>geracao_mwh!D178</f>
        <v>537953.03600000171</v>
      </c>
      <c r="D178" s="2">
        <f>geracao_mwh!E178</f>
        <v>1252708.1353999996</v>
      </c>
      <c r="E178" s="2">
        <f>geracao_mwh!F178</f>
        <v>1138450.4626969877</v>
      </c>
      <c r="F178" s="2">
        <f>geracao_mwh!G178</f>
        <v>0</v>
      </c>
      <c r="G178" s="2">
        <f>geracao_mwh!H178</f>
        <v>5597267.5059999917</v>
      </c>
      <c r="H178" s="2">
        <f>geracao_mwh!I178</f>
        <v>30935978.835999168</v>
      </c>
      <c r="I178" s="2">
        <f>geracao_mwh!J178</f>
        <v>0</v>
      </c>
      <c r="J178" s="2">
        <f>geracao_mwh!K178</f>
        <v>1453258.3410000002</v>
      </c>
      <c r="K178" s="2">
        <f>geracao_mwh!L178</f>
        <v>1638341.8318999973</v>
      </c>
      <c r="L178" s="2">
        <f>geracao_mwh!M178</f>
        <v>780680.76599998726</v>
      </c>
      <c r="M178" s="7">
        <f>co2e_mt!H178</f>
        <v>6.166577232006093E-2</v>
      </c>
      <c r="N178" s="7">
        <f>co2e_mt!K178</f>
        <v>3.9742328514513954</v>
      </c>
      <c r="O178" s="7">
        <f>co2e_mt!L178</f>
        <v>0.64965555555598253</v>
      </c>
      <c r="P178" s="7">
        <f>co2e_mt!P178</f>
        <v>2.0319789822359868</v>
      </c>
    </row>
    <row r="179" spans="1:16" x14ac:dyDescent="0.3">
      <c r="A179" s="6" t="s">
        <v>140</v>
      </c>
      <c r="B179" s="11">
        <f>co2e_mt!S179</f>
        <v>7.2196680298093003</v>
      </c>
      <c r="C179" s="2">
        <f>geracao_mwh!D179</f>
        <v>549527.42140000348</v>
      </c>
      <c r="D179" s="2">
        <f>geracao_mwh!E179</f>
        <v>1367755.5079999983</v>
      </c>
      <c r="E179" s="2">
        <f>geracao_mwh!F179</f>
        <v>1352617.2972663078</v>
      </c>
      <c r="F179" s="2">
        <f>geracao_mwh!G179</f>
        <v>0</v>
      </c>
      <c r="G179" s="2">
        <f>geracao_mwh!H179</f>
        <v>6229699.2110000802</v>
      </c>
      <c r="H179" s="2">
        <f>geracao_mwh!I179</f>
        <v>32308290.94800007</v>
      </c>
      <c r="I179" s="2">
        <f>geracao_mwh!J179</f>
        <v>0</v>
      </c>
      <c r="J179" s="2">
        <f>geracao_mwh!K179</f>
        <v>1496887.6700000013</v>
      </c>
      <c r="K179" s="2">
        <f>geracao_mwh!L179</f>
        <v>1651164.0170000016</v>
      </c>
      <c r="L179" s="2">
        <f>geracao_mwh!M179</f>
        <v>823619.13699999684</v>
      </c>
      <c r="M179" s="7">
        <f>co2e_mt!H179</f>
        <v>6.5618990487262191E-2</v>
      </c>
      <c r="N179" s="7">
        <f>co2e_mt!K179</f>
        <v>4.3967570800540372</v>
      </c>
      <c r="O179" s="7">
        <f>co2e_mt!L179</f>
        <v>0.6784741099080015</v>
      </c>
      <c r="P179" s="7">
        <f>co2e_mt!P179</f>
        <v>2.0788178493599991</v>
      </c>
    </row>
    <row r="180" spans="1:16" x14ac:dyDescent="0.3">
      <c r="A180" s="6" t="s">
        <v>141</v>
      </c>
      <c r="B180" s="11">
        <f>co2e_mt!S180</f>
        <v>7.2407251953830079</v>
      </c>
      <c r="C180" s="2">
        <f>geracao_mwh!D180</f>
        <v>465863.07799999916</v>
      </c>
      <c r="D180" s="2">
        <f>geracao_mwh!E180</f>
        <v>1480688.9999999963</v>
      </c>
      <c r="E180" s="2">
        <f>geracao_mwh!F180</f>
        <v>1119589.0052008149</v>
      </c>
      <c r="F180" s="2">
        <f>geracao_mwh!G180</f>
        <v>0</v>
      </c>
      <c r="G180" s="2">
        <f>geracao_mwh!H180</f>
        <v>6194359.8293999871</v>
      </c>
      <c r="H180" s="2">
        <f>geracao_mwh!I180</f>
        <v>31037301.658000261</v>
      </c>
      <c r="I180" s="2">
        <f>geracao_mwh!J180</f>
        <v>0</v>
      </c>
      <c r="J180" s="2">
        <f>geracao_mwh!K180</f>
        <v>1400143.7409999997</v>
      </c>
      <c r="K180" s="2">
        <f>geracao_mwh!L180</f>
        <v>1665901.1590000025</v>
      </c>
      <c r="L180" s="2">
        <f>geracao_mwh!M180</f>
        <v>761874.89899999998</v>
      </c>
      <c r="M180" s="7">
        <f>co2e_mt!H180</f>
        <v>5.6981405756610551E-2</v>
      </c>
      <c r="N180" s="7">
        <f>co2e_mt!K180</f>
        <v>4.4926285660883902</v>
      </c>
      <c r="O180" s="7">
        <f>co2e_mt!L180</f>
        <v>0.65178333481800554</v>
      </c>
      <c r="P180" s="7">
        <f>co2e_mt!P180</f>
        <v>2.0393318887200023</v>
      </c>
    </row>
    <row r="181" spans="1:16" x14ac:dyDescent="0.3">
      <c r="A181" s="6" t="s">
        <v>142</v>
      </c>
      <c r="B181" s="11">
        <f>co2e_mt!S181</f>
        <v>7.4577958785301339</v>
      </c>
      <c r="C181" s="2">
        <f>geracao_mwh!D181</f>
        <v>416679.69280000107</v>
      </c>
      <c r="D181" s="2">
        <f>geracao_mwh!E181</f>
        <v>1614109.5547000032</v>
      </c>
      <c r="E181" s="2">
        <f>geracao_mwh!F181</f>
        <v>1193743.1666942108</v>
      </c>
      <c r="F181" s="2">
        <f>geracao_mwh!G181</f>
        <v>0</v>
      </c>
      <c r="G181" s="2">
        <f>geracao_mwh!H181</f>
        <v>6598386.4392999792</v>
      </c>
      <c r="H181" s="2">
        <f>geracao_mwh!I181</f>
        <v>31622416.983000517</v>
      </c>
      <c r="I181" s="2">
        <f>geracao_mwh!J181</f>
        <v>0</v>
      </c>
      <c r="J181" s="2">
        <f>geracao_mwh!K181</f>
        <v>1492417.9400000025</v>
      </c>
      <c r="K181" s="2">
        <f>geracao_mwh!L181</f>
        <v>1575796.0540000121</v>
      </c>
      <c r="L181" s="2">
        <f>geracao_mwh!M181</f>
        <v>703487.52899999369</v>
      </c>
      <c r="M181" s="7">
        <f>co2e_mt!H181</f>
        <v>5.6587438412624834E-2</v>
      </c>
      <c r="N181" s="7">
        <f>co2e_mt!K181</f>
        <v>4.8225394737544933</v>
      </c>
      <c r="O181" s="7">
        <f>co2e_mt!L181</f>
        <v>0.66407075664301085</v>
      </c>
      <c r="P181" s="7">
        <f>co2e_mt!P181</f>
        <v>1.9145982097200049</v>
      </c>
    </row>
    <row r="182" spans="1:16" x14ac:dyDescent="0.3">
      <c r="A182" s="6" t="s">
        <v>143</v>
      </c>
      <c r="B182" s="11">
        <f>co2e_mt!S182</f>
        <v>7.4321749539046138</v>
      </c>
      <c r="C182" s="2">
        <f>geracao_mwh!D182</f>
        <v>161891.78299999994</v>
      </c>
      <c r="D182" s="2">
        <f>geracao_mwh!E182</f>
        <v>1742347.6117000026</v>
      </c>
      <c r="E182" s="2">
        <f>geracao_mwh!F182</f>
        <v>1331756.2422231485</v>
      </c>
      <c r="F182" s="2">
        <f>geracao_mwh!G182</f>
        <v>0</v>
      </c>
      <c r="G182" s="2">
        <f>geracao_mwh!H182</f>
        <v>6389881.1180000203</v>
      </c>
      <c r="H182" s="2">
        <f>geracao_mwh!I182</f>
        <v>36176220.832000203</v>
      </c>
      <c r="I182" s="2">
        <f>geracao_mwh!J182</f>
        <v>0</v>
      </c>
      <c r="J182" s="2">
        <f>geracao_mwh!K182</f>
        <v>1450737.3959999999</v>
      </c>
      <c r="K182" s="2">
        <f>geracao_mwh!L182</f>
        <v>1414640.5280000041</v>
      </c>
      <c r="L182" s="2">
        <f>geracao_mwh!M182</f>
        <v>702396.78599999158</v>
      </c>
      <c r="M182" s="7">
        <f>co2e_mt!H182</f>
        <v>4.4590790012900929E-2</v>
      </c>
      <c r="N182" s="7">
        <f>co2e_mt!K182</f>
        <v>4.8495721826597125</v>
      </c>
      <c r="O182" s="7">
        <f>co2e_mt!L182</f>
        <v>0.75970063747200423</v>
      </c>
      <c r="P182" s="7">
        <f>co2e_mt!P182</f>
        <v>1.7783113437599964</v>
      </c>
    </row>
    <row r="183" spans="1:16" x14ac:dyDescent="0.3">
      <c r="A183" s="6" t="s">
        <v>144</v>
      </c>
      <c r="B183" s="11">
        <f>co2e_mt!S183</f>
        <v>6.800495904522915</v>
      </c>
      <c r="C183" s="2">
        <f>geracao_mwh!D183</f>
        <v>150876.88290000026</v>
      </c>
      <c r="D183" s="2">
        <f>geracao_mwh!E183</f>
        <v>1423664.2165999948</v>
      </c>
      <c r="E183" s="2">
        <f>geracao_mwh!F183</f>
        <v>1071152.3099770134</v>
      </c>
      <c r="F183" s="2">
        <f>geracao_mwh!G183</f>
        <v>0</v>
      </c>
      <c r="G183" s="2">
        <f>geracao_mwh!H183</f>
        <v>5992585.1281000264</v>
      </c>
      <c r="H183" s="2">
        <f>geracao_mwh!I183</f>
        <v>31818343.412535138</v>
      </c>
      <c r="I183" s="2">
        <f>geracao_mwh!J183</f>
        <v>0</v>
      </c>
      <c r="J183" s="2">
        <f>geracao_mwh!K183</f>
        <v>1145479.9059999997</v>
      </c>
      <c r="K183" s="2">
        <f>geracao_mwh!L183</f>
        <v>1369723.0460000047</v>
      </c>
      <c r="L183" s="2">
        <f>geracao_mwh!M183</f>
        <v>723330.07669995679</v>
      </c>
      <c r="M183" s="7">
        <f>co2e_mt!H183</f>
        <v>3.6661816718501182E-2</v>
      </c>
      <c r="N183" s="7">
        <f>co2e_mt!K183</f>
        <v>4.3374842530732076</v>
      </c>
      <c r="O183" s="7">
        <f>co2e_mt!L183</f>
        <v>0.66818521166323797</v>
      </c>
      <c r="P183" s="7">
        <f>co2e_mt!P183</f>
        <v>1.7581646230679675</v>
      </c>
    </row>
    <row r="184" spans="1:16" x14ac:dyDescent="0.3">
      <c r="A184" s="6" t="s">
        <v>145</v>
      </c>
      <c r="B184" s="11">
        <f>co2e_mt!S184</f>
        <v>7.6226242913129667</v>
      </c>
      <c r="C184" s="2">
        <f>geracao_mwh!D184</f>
        <v>201306.17593256108</v>
      </c>
      <c r="D184" s="2">
        <f>geracao_mwh!E184</f>
        <v>1636541.3868000044</v>
      </c>
      <c r="E184" s="2">
        <f>geracao_mwh!F184</f>
        <v>1002632.4781527288</v>
      </c>
      <c r="F184" s="2">
        <f>geracao_mwh!G184</f>
        <v>0</v>
      </c>
      <c r="G184" s="2">
        <f>geracao_mwh!H184</f>
        <v>6767581.6269999864</v>
      </c>
      <c r="H184" s="2">
        <f>geracao_mwh!I184</f>
        <v>34640203.457415484</v>
      </c>
      <c r="I184" s="2">
        <f>geracao_mwh!J184</f>
        <v>0</v>
      </c>
      <c r="J184" s="2">
        <f>geracao_mwh!K184</f>
        <v>1313713.9059999983</v>
      </c>
      <c r="K184" s="2">
        <f>geracao_mwh!L184</f>
        <v>1441006.3860000046</v>
      </c>
      <c r="L184" s="2">
        <f>geracao_mwh!M184</f>
        <v>853490.03739995498</v>
      </c>
      <c r="M184" s="7">
        <f>co2e_mt!H184</f>
        <v>4.058042414247863E-2</v>
      </c>
      <c r="N184" s="7">
        <f>co2e_mt!K184</f>
        <v>4.9272225989087985</v>
      </c>
      <c r="O184" s="7">
        <f>co2e_mt!L184</f>
        <v>0.72744427260572508</v>
      </c>
      <c r="P184" s="7">
        <f>co2e_mt!P184</f>
        <v>1.9273769956559663</v>
      </c>
    </row>
    <row r="185" spans="1:16" x14ac:dyDescent="0.3">
      <c r="A185" s="6" t="s">
        <v>146</v>
      </c>
      <c r="B185" s="11">
        <f>co2e_mt!S185</f>
        <v>6.3606455242029583</v>
      </c>
      <c r="C185" s="2">
        <f>geracao_mwh!D185</f>
        <v>441039.18197496043</v>
      </c>
      <c r="D185" s="2">
        <f>geracao_mwh!E185</f>
        <v>1397765.9199999988</v>
      </c>
      <c r="E185" s="2">
        <f>geracao_mwh!F185</f>
        <v>855434.97953985829</v>
      </c>
      <c r="F185" s="2">
        <f>geracao_mwh!G185</f>
        <v>0</v>
      </c>
      <c r="G185" s="2">
        <f>geracao_mwh!H185</f>
        <v>6085209.193999988</v>
      </c>
      <c r="H185" s="2">
        <f>geracao_mwh!I185</f>
        <v>30471585.495011698</v>
      </c>
      <c r="I185" s="2">
        <f>geracao_mwh!J185</f>
        <v>0</v>
      </c>
      <c r="J185" s="2">
        <f>geracao_mwh!K185</f>
        <v>1394916.4589999993</v>
      </c>
      <c r="K185" s="2">
        <f>geracao_mwh!L185</f>
        <v>965442.34000000381</v>
      </c>
      <c r="L185" s="2">
        <f>geracao_mwh!M185</f>
        <v>596436.55100000137</v>
      </c>
      <c r="M185" s="7">
        <f>co2e_mt!H185</f>
        <v>5.2188606163716095E-2</v>
      </c>
      <c r="N185" s="7">
        <f>co2e_mt!K185</f>
        <v>4.3565753542039927</v>
      </c>
      <c r="O185" s="7">
        <f>co2e_mt!L185</f>
        <v>0.63990329539524571</v>
      </c>
      <c r="P185" s="7">
        <f>co2e_mt!P185</f>
        <v>1.3119782684400043</v>
      </c>
    </row>
    <row r="186" spans="1:16" x14ac:dyDescent="0.3">
      <c r="A186" s="6" t="s">
        <v>147</v>
      </c>
      <c r="B186" s="11">
        <f>co2e_mt!S186</f>
        <v>6.1047591129282281</v>
      </c>
      <c r="C186" s="2">
        <f>geracao_mwh!D186</f>
        <v>609220.22470000538</v>
      </c>
      <c r="D186" s="2">
        <f>geracao_mwh!E186</f>
        <v>1312808.8209999993</v>
      </c>
      <c r="E186" s="2">
        <f>geracao_mwh!F186</f>
        <v>1406118.0443688545</v>
      </c>
      <c r="F186" s="2">
        <f>geracao_mwh!G186</f>
        <v>0</v>
      </c>
      <c r="G186" s="2">
        <f>geracao_mwh!H186</f>
        <v>6007335.116000047</v>
      </c>
      <c r="H186" s="2">
        <f>geracao_mwh!I186</f>
        <v>30656858.134000424</v>
      </c>
      <c r="I186" s="2">
        <f>geracao_mwh!J186</f>
        <v>0</v>
      </c>
      <c r="J186" s="2">
        <f>geracao_mwh!K186</f>
        <v>1119677.9919999987</v>
      </c>
      <c r="K186" s="2">
        <f>geracao_mwh!L186</f>
        <v>904520.38100000273</v>
      </c>
      <c r="L186" s="2">
        <f>geracao_mwh!M186</f>
        <v>479722.23299999873</v>
      </c>
      <c r="M186" s="7">
        <f>co2e_mt!H186</f>
        <v>6.4514800157195365E-2</v>
      </c>
      <c r="N186" s="7">
        <f>co2e_mt!K186</f>
        <v>4.2336864961970218</v>
      </c>
      <c r="O186" s="7">
        <f>co2e_mt!L186</f>
        <v>0.64379402081400894</v>
      </c>
      <c r="P186" s="7">
        <f>co2e_mt!P186</f>
        <v>1.1627637957600012</v>
      </c>
    </row>
    <row r="187" spans="1:16" x14ac:dyDescent="0.3">
      <c r="A187" s="6" t="s">
        <v>148</v>
      </c>
      <c r="B187" s="11">
        <f>co2e_mt!S187</f>
        <v>6.4650851974832584</v>
      </c>
      <c r="C187" s="2">
        <f>geracao_mwh!D187</f>
        <v>649459.86229999561</v>
      </c>
      <c r="D187" s="2">
        <f>geracao_mwh!E187</f>
        <v>1431435.6930000014</v>
      </c>
      <c r="E187" s="2">
        <f>geracao_mwh!F187</f>
        <v>1479133.1365298659</v>
      </c>
      <c r="F187" s="2">
        <f>geracao_mwh!G187</f>
        <v>0</v>
      </c>
      <c r="G187" s="2">
        <f>geracao_mwh!H187</f>
        <v>5935237.0727999527</v>
      </c>
      <c r="H187" s="2">
        <f>geracao_mwh!I187</f>
        <v>28017956.963999897</v>
      </c>
      <c r="I187" s="2">
        <f>geracao_mwh!J187</f>
        <v>0</v>
      </c>
      <c r="J187" s="2">
        <f>geracao_mwh!K187</f>
        <v>983899.16300000134</v>
      </c>
      <c r="K187" s="2">
        <f>geracao_mwh!L187</f>
        <v>1048769.1819999972</v>
      </c>
      <c r="L187" s="2">
        <f>geracao_mwh!M187</f>
        <v>729236.08279999555</v>
      </c>
      <c r="M187" s="7">
        <f>co2e_mt!H187</f>
        <v>6.5791332733488042E-2</v>
      </c>
      <c r="N187" s="7">
        <f>co2e_mt!K187</f>
        <v>4.3173923460737784</v>
      </c>
      <c r="O187" s="7">
        <f>co2e_mt!L187</f>
        <v>0.58837709624399781</v>
      </c>
      <c r="P187" s="7">
        <f>co2e_mt!P187</f>
        <v>1.4935244224319939</v>
      </c>
    </row>
    <row r="188" spans="1:16" x14ac:dyDescent="0.3">
      <c r="A188" s="6" t="s">
        <v>149</v>
      </c>
      <c r="B188" s="11">
        <f>co2e_mt!S188</f>
        <v>5.8937287574807407</v>
      </c>
      <c r="C188" s="2">
        <f>geracao_mwh!D188</f>
        <v>673726.43380000046</v>
      </c>
      <c r="D188" s="2">
        <f>geracao_mwh!E188</f>
        <v>1570620.9320000005</v>
      </c>
      <c r="E188" s="2">
        <f>geracao_mwh!F188</f>
        <v>1753742.1106265911</v>
      </c>
      <c r="F188" s="2">
        <f>geracao_mwh!G188</f>
        <v>22.564999999999991</v>
      </c>
      <c r="G188" s="2">
        <f>geracao_mwh!H188</f>
        <v>5214864.0699999984</v>
      </c>
      <c r="H188" s="2">
        <f>geracao_mwh!I188</f>
        <v>30045922.045999743</v>
      </c>
      <c r="I188" s="2">
        <f>geracao_mwh!J188</f>
        <v>0</v>
      </c>
      <c r="J188" s="2">
        <f>geracao_mwh!K188</f>
        <v>1357810.1040000005</v>
      </c>
      <c r="K188" s="2">
        <f>geracao_mwh!L188</f>
        <v>795724.15000000084</v>
      </c>
      <c r="L188" s="2">
        <f>geracao_mwh!M188</f>
        <v>490780.58799999952</v>
      </c>
      <c r="M188" s="7">
        <f>co2e_mt!H188</f>
        <v>7.5484923642745713E-2</v>
      </c>
      <c r="N188" s="7">
        <f>co2e_mt!K188</f>
        <v>4.1066154909519996</v>
      </c>
      <c r="O188" s="7">
        <f>co2e_mt!L188</f>
        <v>0.63096436296599467</v>
      </c>
      <c r="P188" s="7">
        <f>co2e_mt!P188</f>
        <v>1.0806639799200002</v>
      </c>
    </row>
    <row r="189" spans="1:16" x14ac:dyDescent="0.3">
      <c r="A189" s="6" t="s">
        <v>150</v>
      </c>
      <c r="B189" s="11">
        <f>co2e_mt!S189</f>
        <v>5.8453187528622017</v>
      </c>
      <c r="C189" s="2">
        <f>geracao_mwh!D189</f>
        <v>825150.59709999769</v>
      </c>
      <c r="D189" s="2">
        <f>geracao_mwh!E189</f>
        <v>1458210.4790000045</v>
      </c>
      <c r="E189" s="2">
        <f>geracao_mwh!F189</f>
        <v>2338266.1897997819</v>
      </c>
      <c r="F189" s="2">
        <f>geracao_mwh!G189</f>
        <v>1103.6250000000007</v>
      </c>
      <c r="G189" s="2">
        <f>geracao_mwh!H189</f>
        <v>5474000.0101000126</v>
      </c>
      <c r="H189" s="2">
        <f>geracao_mwh!I189</f>
        <v>30091666.686999623</v>
      </c>
      <c r="I189" s="2">
        <f>geracao_mwh!J189</f>
        <v>0</v>
      </c>
      <c r="J189" s="2">
        <f>geracao_mwh!K189</f>
        <v>1357807.4239999978</v>
      </c>
      <c r="K189" s="2">
        <f>geracao_mwh!L189</f>
        <v>873555.75660000078</v>
      </c>
      <c r="L189" s="2">
        <f>geracao_mwh!M189</f>
        <v>319726.1650000001</v>
      </c>
      <c r="M189" s="7">
        <f>co2e_mt!H189</f>
        <v>9.1004243903597015E-2</v>
      </c>
      <c r="N189" s="7">
        <f>co2e_mt!K189</f>
        <v>4.1200326943876107</v>
      </c>
      <c r="O189" s="7">
        <f>co2e_mt!L189</f>
        <v>0.63192500042699207</v>
      </c>
      <c r="P189" s="7">
        <f>co2e_mt!P189</f>
        <v>1.0023568141440007</v>
      </c>
    </row>
    <row r="190" spans="1:16" x14ac:dyDescent="0.3">
      <c r="A190" s="6" t="s">
        <v>151</v>
      </c>
      <c r="B190" s="11">
        <f>co2e_mt!S190</f>
        <v>6.1368129222526049</v>
      </c>
      <c r="C190" s="2">
        <f>geracao_mwh!D190</f>
        <v>763772.69199999247</v>
      </c>
      <c r="D190" s="2">
        <f>geracao_mwh!E190</f>
        <v>1477415.3670000006</v>
      </c>
      <c r="E190" s="2">
        <f>geracao_mwh!F190</f>
        <v>1997899.5816633087</v>
      </c>
      <c r="F190" s="2">
        <f>geracao_mwh!G190</f>
        <v>1464.6479999999992</v>
      </c>
      <c r="G190" s="2">
        <f>geracao_mwh!H190</f>
        <v>6064545.9579999689</v>
      </c>
      <c r="H190" s="2">
        <f>geracao_mwh!I190</f>
        <v>30336602.422999669</v>
      </c>
      <c r="I190" s="2">
        <f>geracao_mwh!J190</f>
        <v>0</v>
      </c>
      <c r="J190" s="2">
        <f>geracao_mwh!K190</f>
        <v>1135074.385</v>
      </c>
      <c r="K190" s="2">
        <f>geracao_mwh!L190</f>
        <v>1000412.8570000046</v>
      </c>
      <c r="L190" s="2">
        <f>geracao_mwh!M190</f>
        <v>181699.44299999956</v>
      </c>
      <c r="M190" s="7">
        <f>co2e_mt!H190</f>
        <v>8.0507821414622621E-2</v>
      </c>
      <c r="N190" s="7">
        <f>co2e_mt!K190</f>
        <v>4.4262621179549857</v>
      </c>
      <c r="O190" s="7">
        <f>co2e_mt!L190</f>
        <v>0.63706865088299303</v>
      </c>
      <c r="P190" s="7">
        <f>co2e_mt!P190</f>
        <v>0.99297433200000351</v>
      </c>
    </row>
    <row r="191" spans="1:16" x14ac:dyDescent="0.3">
      <c r="A191" s="6" t="s">
        <v>152</v>
      </c>
      <c r="B191" s="11">
        <f>co2e_mt!S191</f>
        <v>6.3131045605171083</v>
      </c>
      <c r="C191" s="2">
        <f>geracao_mwh!D191</f>
        <v>767446.92670000135</v>
      </c>
      <c r="D191" s="2">
        <f>geracao_mwh!E191</f>
        <v>1529428.8570000017</v>
      </c>
      <c r="E191" s="2">
        <f>geracao_mwh!F191</f>
        <v>2271079.7661316502</v>
      </c>
      <c r="F191" s="2">
        <f>geracao_mwh!G191</f>
        <v>1733.4610000000002</v>
      </c>
      <c r="G191" s="2">
        <f>geracao_mwh!H191</f>
        <v>5905000.7669999963</v>
      </c>
      <c r="H191" s="2">
        <f>geracao_mwh!I191</f>
        <v>33263427.526999906</v>
      </c>
      <c r="I191" s="2">
        <f>geracao_mwh!J191</f>
        <v>0</v>
      </c>
      <c r="J191" s="2">
        <f>geracao_mwh!K191</f>
        <v>513969.10000000079</v>
      </c>
      <c r="K191" s="2">
        <f>geracao_mwh!L191</f>
        <v>1127177.7769999988</v>
      </c>
      <c r="L191" s="2">
        <f>geracao_mwh!M191</f>
        <v>227103.78199999974</v>
      </c>
      <c r="M191" s="7">
        <f>co2e_mt!H191</f>
        <v>7.6187414271111531E-2</v>
      </c>
      <c r="N191" s="7">
        <f>co2e_mt!K191</f>
        <v>4.4007886586189997</v>
      </c>
      <c r="O191" s="7">
        <f>co2e_mt!L191</f>
        <v>0.69853197806699807</v>
      </c>
      <c r="P191" s="7">
        <f>co2e_mt!P191</f>
        <v>1.1375965095599989</v>
      </c>
    </row>
    <row r="192" spans="1:16" x14ac:dyDescent="0.3">
      <c r="A192" s="6" t="s">
        <v>153</v>
      </c>
      <c r="B192" s="11">
        <f>co2e_mt!S192</f>
        <v>5.9456182371626367</v>
      </c>
      <c r="C192" s="2">
        <f>geracao_mwh!D192</f>
        <v>645708.30070000491</v>
      </c>
      <c r="D192" s="2">
        <f>geracao_mwh!E192</f>
        <v>1388320.5799999954</v>
      </c>
      <c r="E192" s="2">
        <f>geracao_mwh!F192</f>
        <v>1922110.5329413747</v>
      </c>
      <c r="F192" s="2">
        <f>geracao_mwh!G192</f>
        <v>1633.587</v>
      </c>
      <c r="G192" s="2">
        <f>geracao_mwh!H192</f>
        <v>5544442.135000011</v>
      </c>
      <c r="H192" s="2">
        <f>geracao_mwh!I192</f>
        <v>31887600.598999977</v>
      </c>
      <c r="I192" s="2">
        <f>geracao_mwh!J192</f>
        <v>0</v>
      </c>
      <c r="J192" s="2">
        <f>geracao_mwh!K192</f>
        <v>1424576.0359999991</v>
      </c>
      <c r="K192" s="2">
        <f>geracao_mwh!L192</f>
        <v>1037898.8900000001</v>
      </c>
      <c r="L192" s="2">
        <f>geracao_mwh!M192</f>
        <v>288906.87799999921</v>
      </c>
      <c r="M192" s="7">
        <f>co2e_mt!H192</f>
        <v>7.7154001273638126E-2</v>
      </c>
      <c r="N192" s="7">
        <f>co2e_mt!K192</f>
        <v>4.0843077781900003</v>
      </c>
      <c r="O192" s="7">
        <f>co2e_mt!L192</f>
        <v>0.66963961257899951</v>
      </c>
      <c r="P192" s="7">
        <f>co2e_mt!P192</f>
        <v>1.1145168451199994</v>
      </c>
    </row>
    <row r="193" spans="1:16" x14ac:dyDescent="0.3">
      <c r="A193" s="6" t="s">
        <v>154</v>
      </c>
      <c r="B193" s="11">
        <f>co2e_mt!S193</f>
        <v>5.9185143960044888</v>
      </c>
      <c r="C193" s="2">
        <f>geracao_mwh!D193</f>
        <v>461271.08299999766</v>
      </c>
      <c r="D193" s="2">
        <f>geracao_mwh!E193</f>
        <v>1502179.4309999947</v>
      </c>
      <c r="E193" s="2">
        <f>geracao_mwh!F193</f>
        <v>2051324.4939629654</v>
      </c>
      <c r="F193" s="2">
        <f>geracao_mwh!G193</f>
        <v>1485.0179999999975</v>
      </c>
      <c r="G193" s="2">
        <f>geracao_mwh!H193</f>
        <v>5576380.8149999455</v>
      </c>
      <c r="H193" s="2">
        <f>geracao_mwh!I193</f>
        <v>33559347.062999979</v>
      </c>
      <c r="I193" s="2">
        <f>geracao_mwh!J193</f>
        <v>0</v>
      </c>
      <c r="J193" s="2">
        <f>geracao_mwh!K193</f>
        <v>1489977.4129999995</v>
      </c>
      <c r="K193" s="2">
        <f>geracao_mwh!L193</f>
        <v>905506.24500000325</v>
      </c>
      <c r="L193" s="2">
        <f>geracao_mwh!M193</f>
        <v>201492.02200000017</v>
      </c>
      <c r="M193" s="7">
        <f>co2e_mt!H193</f>
        <v>7.0086876880518414E-2</v>
      </c>
      <c r="N193" s="7">
        <f>co2e_mt!K193</f>
        <v>4.2138026865209683</v>
      </c>
      <c r="O193" s="7">
        <f>co2e_mt!L193</f>
        <v>0.70474628832299946</v>
      </c>
      <c r="P193" s="7">
        <f>co2e_mt!P193</f>
        <v>0.92987854428000283</v>
      </c>
    </row>
    <row r="194" spans="1:16" x14ac:dyDescent="0.3">
      <c r="A194" s="6" t="s">
        <v>155</v>
      </c>
      <c r="B194" s="11">
        <f>co2e_mt!S194</f>
        <v>5.4943267277557668</v>
      </c>
      <c r="C194" s="2">
        <f>geracao_mwh!D194</f>
        <v>216255.38960000407</v>
      </c>
      <c r="D194" s="2">
        <f>geracao_mwh!E194</f>
        <v>1274046.8039999949</v>
      </c>
      <c r="E194" s="2">
        <f>geracao_mwh!F194</f>
        <v>1271499.300827971</v>
      </c>
      <c r="F194" s="2">
        <f>geracao_mwh!G194</f>
        <v>1268.7680000000016</v>
      </c>
      <c r="G194" s="2">
        <f>geracao_mwh!H194</f>
        <v>5238329.6210000115</v>
      </c>
      <c r="H194" s="2">
        <f>geracao_mwh!I194</f>
        <v>35425595.295800216</v>
      </c>
      <c r="I194" s="2">
        <f>geracao_mwh!J194</f>
        <v>0</v>
      </c>
      <c r="J194" s="2">
        <f>geracao_mwh!K194</f>
        <v>1490637.8200000017</v>
      </c>
      <c r="K194" s="2">
        <f>geracao_mwh!L194</f>
        <v>897860.65499999735</v>
      </c>
      <c r="L194" s="2">
        <f>geracao_mwh!M194</f>
        <v>152178.10699999967</v>
      </c>
      <c r="M194" s="7">
        <f>co2e_mt!H194</f>
        <v>4.7207619853963857E-2</v>
      </c>
      <c r="N194" s="7">
        <f>co2e_mt!K194</f>
        <v>3.8211490466100004</v>
      </c>
      <c r="O194" s="7">
        <f>co2e_mt!L194</f>
        <v>0.74393750121180457</v>
      </c>
      <c r="P194" s="7">
        <f>co2e_mt!P194</f>
        <v>0.88203256007999753</v>
      </c>
    </row>
    <row r="195" spans="1:16" x14ac:dyDescent="0.3">
      <c r="A195" s="6" t="s">
        <v>156</v>
      </c>
      <c r="B195" s="11">
        <f>co2e_mt!S195</f>
        <v>4.6812748935479132</v>
      </c>
      <c r="C195" s="2">
        <f>geracao_mwh!D195</f>
        <v>240410.22500000653</v>
      </c>
      <c r="D195" s="2">
        <f>geracao_mwh!E195</f>
        <v>1278159.9639999971</v>
      </c>
      <c r="E195" s="2">
        <f>geracao_mwh!F195</f>
        <v>1761776.3029999989</v>
      </c>
      <c r="F195" s="2">
        <f>geracao_mwh!G195</f>
        <v>1526.057</v>
      </c>
      <c r="G195" s="2">
        <f>geracao_mwh!H195</f>
        <v>4154826.2960000159</v>
      </c>
      <c r="H195" s="2">
        <f>geracao_mwh!I195</f>
        <v>36206865.203900367</v>
      </c>
      <c r="I195" s="2">
        <f>geracao_mwh!J195</f>
        <v>0</v>
      </c>
      <c r="J195" s="2">
        <f>geracao_mwh!K195</f>
        <v>1386644.2200000014</v>
      </c>
      <c r="K195" s="2">
        <f>geracao_mwh!L195</f>
        <v>603050.2983999995</v>
      </c>
      <c r="L195" s="2">
        <f>geracao_mwh!M195</f>
        <v>74033.751000000106</v>
      </c>
      <c r="M195" s="7">
        <f>co2e_mt!H195</f>
        <v>5.3496418950000346E-2</v>
      </c>
      <c r="N195" s="7">
        <f>co2e_mt!K195</f>
        <v>3.2986837038200045</v>
      </c>
      <c r="O195" s="7">
        <f>co2e_mt!L195</f>
        <v>0.76034416928190773</v>
      </c>
      <c r="P195" s="7">
        <f>co2e_mt!P195</f>
        <v>0.56875060149599965</v>
      </c>
    </row>
    <row r="196" spans="1:16" x14ac:dyDescent="0.3">
      <c r="A196" s="6" t="s">
        <v>157</v>
      </c>
      <c r="B196" s="11">
        <f>co2e_mt!S196</f>
        <v>4.385177944875168</v>
      </c>
      <c r="C196" s="2">
        <f>geracao_mwh!D196</f>
        <v>369991.46699999995</v>
      </c>
      <c r="D196" s="2">
        <f>geracao_mwh!E196</f>
        <v>1495710.7690000001</v>
      </c>
      <c r="E196" s="2">
        <f>geracao_mwh!F196</f>
        <v>1915972.0560000101</v>
      </c>
      <c r="F196" s="2">
        <f>geracao_mwh!G196</f>
        <v>1669.3780000000015</v>
      </c>
      <c r="G196" s="2">
        <f>geracao_mwh!H196</f>
        <v>3415422.6239999607</v>
      </c>
      <c r="H196" s="2">
        <f>geracao_mwh!I196</f>
        <v>38663992.196199395</v>
      </c>
      <c r="I196" s="2">
        <f>geracao_mwh!J196</f>
        <v>0</v>
      </c>
      <c r="J196" s="2">
        <f>geracao_mwh!K196</f>
        <v>1485586.7119999996</v>
      </c>
      <c r="K196" s="2">
        <f>geracao_mwh!L196</f>
        <v>375051.42899999942</v>
      </c>
      <c r="L196" s="2">
        <f>geracao_mwh!M196</f>
        <v>44711.225999999995</v>
      </c>
      <c r="M196" s="7">
        <f>co2e_mt!H196</f>
        <v>6.3531603522000116E-2</v>
      </c>
      <c r="N196" s="7">
        <f>co2e_mt!K196</f>
        <v>3.1571018750329811</v>
      </c>
      <c r="O196" s="7">
        <f>co2e_mt!L196</f>
        <v>0.81194383612018728</v>
      </c>
      <c r="P196" s="7">
        <f>co2e_mt!P196</f>
        <v>0.35260063019999949</v>
      </c>
    </row>
    <row r="197" spans="1:16" x14ac:dyDescent="0.3">
      <c r="A197" s="6" t="s">
        <v>158</v>
      </c>
      <c r="B197" s="11">
        <f>co2e_mt!S197</f>
        <v>4.3718975279617958</v>
      </c>
      <c r="C197" s="2">
        <f>geracao_mwh!D197</f>
        <v>627869.54300000076</v>
      </c>
      <c r="D197" s="2">
        <f>geracao_mwh!E197</f>
        <v>1398248.8940000003</v>
      </c>
      <c r="E197" s="2">
        <f>geracao_mwh!F197</f>
        <v>2141772.709999979</v>
      </c>
      <c r="F197" s="2">
        <f>geracao_mwh!G197</f>
        <v>916.9639999999996</v>
      </c>
      <c r="G197" s="2">
        <f>geracao_mwh!H197</f>
        <v>3286751.9724999974</v>
      </c>
      <c r="H197" s="2">
        <f>geracao_mwh!I197</f>
        <v>35913948.976799995</v>
      </c>
      <c r="I197" s="2">
        <f>geracao_mwh!J197</f>
        <v>0</v>
      </c>
      <c r="J197" s="2">
        <f>geracao_mwh!K197</f>
        <v>1427650.834</v>
      </c>
      <c r="K197" s="2">
        <f>geracao_mwh!L197</f>
        <v>571301.0159999968</v>
      </c>
      <c r="L197" s="2">
        <f>geracao_mwh!M197</f>
        <v>73466.657999999923</v>
      </c>
      <c r="M197" s="7">
        <f>co2e_mt!H197</f>
        <v>7.909115175999977E-2</v>
      </c>
      <c r="N197" s="7">
        <f>co2e_mt!K197</f>
        <v>2.9970086015289987</v>
      </c>
      <c r="O197" s="7">
        <f>co2e_mt!L197</f>
        <v>0.75419292851279995</v>
      </c>
      <c r="P197" s="7">
        <f>co2e_mt!P197</f>
        <v>0.54160484615999727</v>
      </c>
    </row>
    <row r="198" spans="1:16" x14ac:dyDescent="0.3">
      <c r="A198" s="6" t="s">
        <v>159</v>
      </c>
      <c r="B198" s="11">
        <f>co2e_mt!S198</f>
        <v>3.8716586643179984</v>
      </c>
      <c r="C198" s="2">
        <f>geracao_mwh!D198</f>
        <v>759604.37800000142</v>
      </c>
      <c r="D198" s="2">
        <f>geracao_mwh!E198</f>
        <v>1331887.8700000017</v>
      </c>
      <c r="E198" s="2">
        <f>geracao_mwh!F198</f>
        <v>2245325.2420000313</v>
      </c>
      <c r="F198" s="2">
        <f>geracao_mwh!G198</f>
        <v>1154.3719999999989</v>
      </c>
      <c r="G198" s="2">
        <f>geracao_mwh!H198</f>
        <v>2845471.8700000038</v>
      </c>
      <c r="H198" s="2">
        <f>geracao_mwh!I198</f>
        <v>34366565.955999739</v>
      </c>
      <c r="I198" s="2">
        <f>geracao_mwh!J198</f>
        <v>0</v>
      </c>
      <c r="J198" s="2">
        <f>geracao_mwh!K198</f>
        <v>1495324.5060000003</v>
      </c>
      <c r="K198" s="2">
        <f>geracao_mwh!L198</f>
        <v>300207.12999999948</v>
      </c>
      <c r="L198" s="2">
        <f>geracao_mwh!M198</f>
        <v>111297.84640000021</v>
      </c>
      <c r="M198" s="7">
        <f>co2e_mt!H198</f>
        <v>8.817751237600048E-2</v>
      </c>
      <c r="N198" s="7">
        <f>co2e_mt!K198</f>
        <v>2.7161190866900036</v>
      </c>
      <c r="O198" s="7">
        <f>co2e_mt!L198</f>
        <v>0.72169788507599453</v>
      </c>
      <c r="P198" s="7">
        <f>co2e_mt!P198</f>
        <v>0.34566418017599976</v>
      </c>
    </row>
    <row r="199" spans="1:16" x14ac:dyDescent="0.3">
      <c r="A199" s="6" t="s">
        <v>160</v>
      </c>
      <c r="B199" s="11">
        <f>co2e_mt!S199</f>
        <v>4.1796367929420022</v>
      </c>
      <c r="C199" s="2">
        <f>geracao_mwh!D199</f>
        <v>801574.53799999983</v>
      </c>
      <c r="D199" s="2">
        <f>geracao_mwh!E199</f>
        <v>1586523.2080000015</v>
      </c>
      <c r="E199" s="2">
        <f>geracao_mwh!F199</f>
        <v>2530658.1620000117</v>
      </c>
      <c r="F199" s="2">
        <f>geracao_mwh!G199</f>
        <v>1101.4779999999996</v>
      </c>
      <c r="G199" s="2">
        <f>geracao_mwh!H199</f>
        <v>3015435.0369999995</v>
      </c>
      <c r="H199" s="2">
        <f>geracao_mwh!I199</f>
        <v>32285005.181000099</v>
      </c>
      <c r="I199" s="2">
        <f>geracao_mwh!J199</f>
        <v>0</v>
      </c>
      <c r="J199" s="2">
        <f>geracao_mwh!K199</f>
        <v>1249249.7749999999</v>
      </c>
      <c r="K199" s="2">
        <f>geracao_mwh!L199</f>
        <v>291058.04099999939</v>
      </c>
      <c r="L199" s="2">
        <f>geracao_mwh!M199</f>
        <v>134147.29499999981</v>
      </c>
      <c r="M199" s="7">
        <f>co2e_mt!H199</f>
        <v>9.086804271100013E-2</v>
      </c>
      <c r="N199" s="7">
        <f>co2e_mt!K199</f>
        <v>3.0536111591900013</v>
      </c>
      <c r="O199" s="7">
        <f>co2e_mt!L199</f>
        <v>0.67798510880100205</v>
      </c>
      <c r="P199" s="7">
        <f>co2e_mt!P199</f>
        <v>0.35717248223999931</v>
      </c>
    </row>
    <row r="200" spans="1:16" x14ac:dyDescent="0.3">
      <c r="A200" s="6" t="s">
        <v>161</v>
      </c>
      <c r="B200" s="11">
        <f>co2e_mt!S200</f>
        <v>3.8556604684329843</v>
      </c>
      <c r="C200" s="2">
        <f>geracao_mwh!D200</f>
        <v>921837.71500000358</v>
      </c>
      <c r="D200" s="2">
        <f>geracao_mwh!E200</f>
        <v>1358793.0690000074</v>
      </c>
      <c r="E200" s="2">
        <f>geracao_mwh!F200</f>
        <v>3098007.0560000171</v>
      </c>
      <c r="F200" s="2">
        <f>geracao_mwh!G200</f>
        <v>1251.4719999999991</v>
      </c>
      <c r="G200" s="2">
        <f>geracao_mwh!H200</f>
        <v>2968751.8499999824</v>
      </c>
      <c r="H200" s="2">
        <f>geracao_mwh!I200</f>
        <v>32915589.752999321</v>
      </c>
      <c r="I200" s="2">
        <f>geracao_mwh!J200</f>
        <v>0</v>
      </c>
      <c r="J200" s="2">
        <f>geracao_mwh!K200</f>
        <v>1143746.0189999994</v>
      </c>
      <c r="K200" s="2">
        <f>geracao_mwh!L200</f>
        <v>155010.76099999878</v>
      </c>
      <c r="L200" s="2">
        <f>geracao_mwh!M200</f>
        <v>152531.68899999998</v>
      </c>
      <c r="M200" s="7">
        <f>co2e_mt!H200</f>
        <v>0.10313216445100039</v>
      </c>
      <c r="N200" s="7">
        <f>co2e_mt!K200</f>
        <v>2.8029652611689988</v>
      </c>
      <c r="O200" s="7">
        <f>co2e_mt!L200</f>
        <v>0.69122738481298573</v>
      </c>
      <c r="P200" s="7">
        <f>co2e_mt!P200</f>
        <v>0.25833565799999897</v>
      </c>
    </row>
    <row r="201" spans="1:16" x14ac:dyDescent="0.3">
      <c r="A201" s="6" t="s">
        <v>162</v>
      </c>
      <c r="B201" s="11">
        <f>co2e_mt!S201</f>
        <v>4.3051764336999874</v>
      </c>
      <c r="C201" s="2">
        <f>geracao_mwh!D201</f>
        <v>873990.225000003</v>
      </c>
      <c r="D201" s="2">
        <f>geracao_mwh!E201</f>
        <v>1279812.979000001</v>
      </c>
      <c r="E201" s="2">
        <f>geracao_mwh!F201</f>
        <v>3164303.1259999871</v>
      </c>
      <c r="F201" s="2">
        <f>geracao_mwh!G201</f>
        <v>1468.0469999999991</v>
      </c>
      <c r="G201" s="2">
        <f>geracao_mwh!H201</f>
        <v>3825695.7409999943</v>
      </c>
      <c r="H201" s="2">
        <f>geracao_mwh!I201</f>
        <v>32579978.777999457</v>
      </c>
      <c r="I201" s="2">
        <f>geracao_mwh!J201</f>
        <v>0</v>
      </c>
      <c r="J201" s="2">
        <f>geracao_mwh!K201</f>
        <v>1480729.2660000022</v>
      </c>
      <c r="K201" s="2">
        <f>geracao_mwh!L201</f>
        <v>286161.29799999995</v>
      </c>
      <c r="L201" s="2">
        <f>geracao_mwh!M201</f>
        <v>159933.84300000049</v>
      </c>
      <c r="M201" s="7">
        <f>co2e_mt!H201</f>
        <v>0.10589603881700001</v>
      </c>
      <c r="N201" s="7">
        <f>co2e_mt!K201</f>
        <v>3.1403809221049981</v>
      </c>
      <c r="O201" s="7">
        <f>co2e_mt!L201</f>
        <v>0.6841795543379886</v>
      </c>
      <c r="P201" s="7">
        <f>co2e_mt!P201</f>
        <v>0.3747199184400003</v>
      </c>
    </row>
    <row r="202" spans="1:16" x14ac:dyDescent="0.3">
      <c r="A202" s="6" t="s">
        <v>163</v>
      </c>
      <c r="B202" s="11">
        <f>co2e_mt!S202</f>
        <v>4.4265900770159954</v>
      </c>
      <c r="C202" s="2">
        <f>geracao_mwh!D202</f>
        <v>883582.38900000043</v>
      </c>
      <c r="D202" s="2">
        <f>geracao_mwh!E202</f>
        <v>1192659.6969999983</v>
      </c>
      <c r="E202" s="2">
        <f>geracao_mwh!F202</f>
        <v>3326525.1399999885</v>
      </c>
      <c r="F202" s="2">
        <f>geracao_mwh!G202</f>
        <v>1570.7799999999993</v>
      </c>
      <c r="G202" s="2">
        <f>geracao_mwh!H202</f>
        <v>4102696.6579999849</v>
      </c>
      <c r="H202" s="2">
        <f>geracao_mwh!I202</f>
        <v>30946698.600000158</v>
      </c>
      <c r="I202" s="2">
        <f>geracao_mwh!J202</f>
        <v>0</v>
      </c>
      <c r="J202" s="2">
        <f>geracao_mwh!K202</f>
        <v>1453430.6510000003</v>
      </c>
      <c r="K202" s="2">
        <f>geracao_mwh!L202</f>
        <v>424792.71400000027</v>
      </c>
      <c r="L202" s="2">
        <f>geracao_mwh!M202</f>
        <v>147580.16799999983</v>
      </c>
      <c r="M202" s="7">
        <f>co2e_mt!H202</f>
        <v>0.10815325305099988</v>
      </c>
      <c r="N202" s="7">
        <f>co2e_mt!K202</f>
        <v>3.1877629324849908</v>
      </c>
      <c r="O202" s="7">
        <f>co2e_mt!L202</f>
        <v>0.64988067060000332</v>
      </c>
      <c r="P202" s="7">
        <f>co2e_mt!P202</f>
        <v>0.48079322088000009</v>
      </c>
    </row>
    <row r="203" spans="1:16" x14ac:dyDescent="0.3">
      <c r="A203" s="6" t="s">
        <v>164</v>
      </c>
      <c r="B203" s="11">
        <f>co2e_mt!S203</f>
        <v>4.6602087893393538</v>
      </c>
      <c r="C203" s="2">
        <f>geracao_mwh!D203</f>
        <v>839737.3311000031</v>
      </c>
      <c r="D203" s="2">
        <f>geracao_mwh!E203</f>
        <v>1026411.7540000019</v>
      </c>
      <c r="E203" s="2">
        <f>geracao_mwh!F203</f>
        <v>3397267.2209999915</v>
      </c>
      <c r="F203" s="2">
        <f>geracao_mwh!G203</f>
        <v>1643.8699999999978</v>
      </c>
      <c r="G203" s="2">
        <f>geracao_mwh!H203</f>
        <v>4677636.5991999237</v>
      </c>
      <c r="H203" s="2">
        <f>geracao_mwh!I203</f>
        <v>32206834.90899951</v>
      </c>
      <c r="I203" s="2">
        <f>geracao_mwh!J203</f>
        <v>0</v>
      </c>
      <c r="J203" s="2">
        <f>geracao_mwh!K203</f>
        <v>1495237.0850000021</v>
      </c>
      <c r="K203" s="2">
        <f>geracao_mwh!L203</f>
        <v>576253.35000000033</v>
      </c>
      <c r="L203" s="2">
        <f>geracao_mwh!M203</f>
        <v>109170.6019999998</v>
      </c>
      <c r="M203" s="7">
        <f>co2e_mt!H203</f>
        <v>0.10733958360520009</v>
      </c>
      <c r="N203" s="7">
        <f>co2e_mt!K203</f>
        <v>3.3007695529651642</v>
      </c>
      <c r="O203" s="7">
        <f>co2e_mt!L203</f>
        <v>0.67634353308898976</v>
      </c>
      <c r="P203" s="7">
        <f>co2e_mt!P203</f>
        <v>0.57575611968000018</v>
      </c>
    </row>
    <row r="204" spans="1:16" x14ac:dyDescent="0.3">
      <c r="A204" s="6" t="s">
        <v>165</v>
      </c>
      <c r="B204" s="11">
        <f>co2e_mt!S204</f>
        <v>4.8362151756682099</v>
      </c>
      <c r="C204" s="2">
        <f>geracao_mwh!D204</f>
        <v>691711.56960000133</v>
      </c>
      <c r="D204" s="2">
        <f>geracao_mwh!E204</f>
        <v>1320559.4570000048</v>
      </c>
      <c r="E204" s="2">
        <f>geracao_mwh!F204</f>
        <v>3070170.8999999533</v>
      </c>
      <c r="F204" s="2">
        <f>geracao_mwh!G204</f>
        <v>1552.932</v>
      </c>
      <c r="G204" s="2">
        <f>geracao_mwh!H204</f>
        <v>4705705.336000016</v>
      </c>
      <c r="H204" s="2">
        <f>geracao_mwh!I204</f>
        <v>32083386.497999907</v>
      </c>
      <c r="I204" s="2">
        <f>geracao_mwh!J204</f>
        <v>0</v>
      </c>
      <c r="J204" s="2">
        <f>geracao_mwh!K204</f>
        <v>864515.68200000154</v>
      </c>
      <c r="K204" s="2">
        <f>geracao_mwh!L204</f>
        <v>459415.96699999954</v>
      </c>
      <c r="L204" s="2">
        <f>geracao_mwh!M204</f>
        <v>95851.349900000016</v>
      </c>
      <c r="M204" s="7">
        <f>co2e_mt!H204</f>
        <v>8.7186703261199497E-2</v>
      </c>
      <c r="N204" s="7">
        <f>co2e_mt!K204</f>
        <v>3.6088528097530128</v>
      </c>
      <c r="O204" s="7">
        <f>co2e_mt!L204</f>
        <v>0.67375111645799801</v>
      </c>
      <c r="P204" s="7">
        <f>co2e_mt!P204</f>
        <v>0.4664245461959996</v>
      </c>
    </row>
    <row r="205" spans="1:16" x14ac:dyDescent="0.3">
      <c r="A205" s="6" t="s">
        <v>166</v>
      </c>
      <c r="B205" s="11">
        <f>co2e_mt!S205</f>
        <v>3.978249214639376</v>
      </c>
      <c r="C205" s="2">
        <f>geracao_mwh!D205</f>
        <v>442651.15770000045</v>
      </c>
      <c r="D205" s="2">
        <f>geracao_mwh!E205</f>
        <v>1084583.8389999976</v>
      </c>
      <c r="E205" s="2">
        <f>geracao_mwh!F205</f>
        <v>2808149.8940000031</v>
      </c>
      <c r="F205" s="2">
        <f>geracao_mwh!G205</f>
        <v>1393.1109999999987</v>
      </c>
      <c r="G205" s="2">
        <f>geracao_mwh!H205</f>
        <v>3512475.1489999867</v>
      </c>
      <c r="H205" s="2">
        <f>geracao_mwh!I205</f>
        <v>36408289.651999399</v>
      </c>
      <c r="I205" s="2">
        <f>geracao_mwh!J205</f>
        <v>0</v>
      </c>
      <c r="J205" s="2">
        <f>geracao_mwh!K205</f>
        <v>881850.18299999915</v>
      </c>
      <c r="K205" s="2">
        <f>geracao_mwh!L205</f>
        <v>347957.05999999808</v>
      </c>
      <c r="L205" s="2">
        <f>geracao_mwh!M205</f>
        <v>68585.822999999975</v>
      </c>
      <c r="M205" s="7">
        <f>co2e_mt!H205</f>
        <v>7.104776497440006E-2</v>
      </c>
      <c r="N205" s="7">
        <f>co2e_mt!K205</f>
        <v>2.7927313452529909</v>
      </c>
      <c r="O205" s="7">
        <f>co2e_mt!L205</f>
        <v>0.76457408269198734</v>
      </c>
      <c r="P205" s="7">
        <f>co2e_mt!P205</f>
        <v>0.34989602171999834</v>
      </c>
    </row>
    <row r="206" spans="1:16" x14ac:dyDescent="0.3">
      <c r="A206" s="6" t="s">
        <v>167</v>
      </c>
      <c r="B206" s="11">
        <f>co2e_mt!S206</f>
        <v>3.7163420556021878</v>
      </c>
      <c r="C206" s="2">
        <f>geracao_mwh!D206</f>
        <v>310281.44210000092</v>
      </c>
      <c r="D206" s="2">
        <f>geracao_mwh!E206</f>
        <v>885632.36799999955</v>
      </c>
      <c r="E206" s="2">
        <f>geracao_mwh!F206</f>
        <v>2653640.2590000127</v>
      </c>
      <c r="F206" s="2">
        <f>geracao_mwh!G206</f>
        <v>1570.1589999999983</v>
      </c>
      <c r="G206" s="2">
        <f>geracao_mwh!H206</f>
        <v>3298953.1800000011</v>
      </c>
      <c r="H206" s="2">
        <f>geracao_mwh!I206</f>
        <v>39694679.093999386</v>
      </c>
      <c r="I206" s="2">
        <f>geracao_mwh!J206</f>
        <v>0</v>
      </c>
      <c r="J206" s="2">
        <f>geracao_mwh!K206</f>
        <v>1440333.3589999978</v>
      </c>
      <c r="K206" s="2">
        <f>geracao_mwh!L206</f>
        <v>354184.99999999977</v>
      </c>
      <c r="L206" s="2">
        <f>geracao_mwh!M206</f>
        <v>30958.737999999983</v>
      </c>
      <c r="M206" s="7">
        <f>co2e_mt!H206</f>
        <v>6.9423808860200192E-2</v>
      </c>
      <c r="N206" s="7">
        <f>co2e_mt!K206</f>
        <v>2.4898092458479999</v>
      </c>
      <c r="O206" s="7">
        <f>co2e_mt!L206</f>
        <v>0.83358826097398719</v>
      </c>
      <c r="P206" s="7">
        <f>co2e_mt!P206</f>
        <v>0.3235207399199998</v>
      </c>
    </row>
    <row r="207" spans="1:16" x14ac:dyDescent="0.3">
      <c r="A207" s="6" t="s">
        <v>168</v>
      </c>
      <c r="B207" s="11">
        <f>co2e_mt!S207</f>
        <v>3.3552651348479832</v>
      </c>
      <c r="C207" s="2">
        <f>geracao_mwh!D207</f>
        <v>255800.07699999987</v>
      </c>
      <c r="D207" s="2">
        <f>geracao_mwh!E207</f>
        <v>905462.26399999717</v>
      </c>
      <c r="E207" s="2">
        <f>geracao_mwh!F207</f>
        <v>2046555.20000001</v>
      </c>
      <c r="F207" s="2">
        <f>geracao_mwh!G207</f>
        <v>1355.8439999999989</v>
      </c>
      <c r="G207" s="2">
        <f>geracao_mwh!H207</f>
        <v>2782769.2809999869</v>
      </c>
      <c r="H207" s="2">
        <f>geracao_mwh!I207</f>
        <v>37667837.044999719</v>
      </c>
      <c r="I207" s="2">
        <f>geracao_mwh!J207</f>
        <v>0</v>
      </c>
      <c r="J207" s="2">
        <f>geracao_mwh!K207</f>
        <v>1198019.8610000005</v>
      </c>
      <c r="K207" s="2">
        <f>geracao_mwh!L207</f>
        <v>268789.39159999794</v>
      </c>
      <c r="L207" s="2">
        <f>geracao_mwh!M207</f>
        <v>28719.631000000008</v>
      </c>
      <c r="M207" s="7">
        <f>co2e_mt!H207</f>
        <v>5.5539381089000125E-2</v>
      </c>
      <c r="N207" s="7">
        <f>co2e_mt!K207</f>
        <v>2.258793596829991</v>
      </c>
      <c r="O207" s="7">
        <f>co2e_mt!L207</f>
        <v>0.79102457794499403</v>
      </c>
      <c r="P207" s="7">
        <f>co2e_mt!P207</f>
        <v>0.24990757898399826</v>
      </c>
    </row>
    <row r="208" spans="1:16" x14ac:dyDescent="0.3">
      <c r="A208" s="6" t="s">
        <v>169</v>
      </c>
      <c r="B208" s="11">
        <f>co2e_mt!S208</f>
        <v>4.4856458453609758</v>
      </c>
      <c r="C208" s="2">
        <f>geracao_mwh!D208</f>
        <v>382885.98200000095</v>
      </c>
      <c r="D208" s="2">
        <f>geracao_mwh!E208</f>
        <v>1255605.3400000026</v>
      </c>
      <c r="E208" s="2">
        <f>geracao_mwh!F208</f>
        <v>1945945.5760000059</v>
      </c>
      <c r="F208" s="2">
        <f>geracao_mwh!G208</f>
        <v>1186.2869999999991</v>
      </c>
      <c r="G208" s="2">
        <f>geracao_mwh!H208</f>
        <v>3645238.9459999846</v>
      </c>
      <c r="H208" s="2">
        <f>geracao_mwh!I208</f>
        <v>39999189.908999085</v>
      </c>
      <c r="I208" s="2">
        <f>geracao_mwh!J208</f>
        <v>0</v>
      </c>
      <c r="J208" s="2">
        <f>geracao_mwh!K208</f>
        <v>1321151.6710000001</v>
      </c>
      <c r="K208" s="2">
        <f>geracao_mwh!L208</f>
        <v>572005.0899999995</v>
      </c>
      <c r="L208" s="2">
        <f>geracao_mwh!M208</f>
        <v>88450.194000000018</v>
      </c>
      <c r="M208" s="7">
        <f>co2e_mt!H208</f>
        <v>6.2433345616000127E-2</v>
      </c>
      <c r="N208" s="7">
        <f>co2e_mt!K208</f>
        <v>3.0284470730959954</v>
      </c>
      <c r="O208" s="7">
        <f>co2e_mt!L208</f>
        <v>0.83998298808898075</v>
      </c>
      <c r="P208" s="7">
        <f>co2e_mt!P208</f>
        <v>0.55478243855999954</v>
      </c>
    </row>
    <row r="209" spans="1:16" x14ac:dyDescent="0.3">
      <c r="A209" s="6" t="s">
        <v>170</v>
      </c>
      <c r="B209" s="11">
        <f>co2e_mt!S209</f>
        <v>4.3337706694849887</v>
      </c>
      <c r="C209" s="2">
        <f>geracao_mwh!D209</f>
        <v>615953.93300000275</v>
      </c>
      <c r="D209" s="2">
        <f>geracao_mwh!E209</f>
        <v>1168416.4309999973</v>
      </c>
      <c r="E209" s="2">
        <f>geracao_mwh!F209</f>
        <v>2442842.0460000052</v>
      </c>
      <c r="F209" s="2">
        <f>geracao_mwh!G209</f>
        <v>1168.7639999999997</v>
      </c>
      <c r="G209" s="2">
        <f>geracao_mwh!H209</f>
        <v>4250872.9089999944</v>
      </c>
      <c r="H209" s="2">
        <f>geracao_mwh!I209</f>
        <v>33339003.077999711</v>
      </c>
      <c r="I209" s="2">
        <f>geracao_mwh!J209</f>
        <v>0</v>
      </c>
      <c r="J209" s="2">
        <f>geracao_mwh!K209</f>
        <v>1438724.0120000015</v>
      </c>
      <c r="K209" s="2">
        <f>geracao_mwh!L209</f>
        <v>227686.77500000017</v>
      </c>
      <c r="L209" s="2">
        <f>geracao_mwh!M209</f>
        <v>148030.25299999997</v>
      </c>
      <c r="M209" s="7">
        <f>co2e_mt!H209</f>
        <v>8.2540220122000227E-2</v>
      </c>
      <c r="N209" s="7">
        <f>co2e_mt!K209</f>
        <v>3.2355090812049947</v>
      </c>
      <c r="O209" s="7">
        <f>co2e_mt!L209</f>
        <v>0.70011906463799389</v>
      </c>
      <c r="P209" s="7">
        <f>co2e_mt!P209</f>
        <v>0.31560230352000013</v>
      </c>
    </row>
    <row r="210" spans="1:16" x14ac:dyDescent="0.3">
      <c r="A210" s="6" t="s">
        <v>171</v>
      </c>
      <c r="B210" s="11">
        <f>co2e_mt!S210</f>
        <v>4.4891203649524014</v>
      </c>
      <c r="C210" s="2">
        <f>geracao_mwh!D210</f>
        <v>797702.5100000021</v>
      </c>
      <c r="D210" s="2">
        <f>geracao_mwh!E210</f>
        <v>1271849.5649999988</v>
      </c>
      <c r="E210" s="2">
        <f>geracao_mwh!F210</f>
        <v>2617865.3209999786</v>
      </c>
      <c r="F210" s="2">
        <f>geracao_mwh!G210</f>
        <v>5798.2050000000081</v>
      </c>
      <c r="G210" s="2">
        <f>geracao_mwh!H210</f>
        <v>4259515.593899996</v>
      </c>
      <c r="H210" s="2">
        <f>geracao_mwh!I210</f>
        <v>33303840.67200033</v>
      </c>
      <c r="I210" s="2">
        <f>geracao_mwh!J210</f>
        <v>0</v>
      </c>
      <c r="J210" s="2">
        <f>geracao_mwh!K210</f>
        <v>1417330.764</v>
      </c>
      <c r="K210" s="2">
        <f>geracao_mwh!L210</f>
        <v>244637.95499999897</v>
      </c>
      <c r="L210" s="2">
        <f>geracao_mwh!M210</f>
        <v>174774.32499999905</v>
      </c>
      <c r="M210" s="7">
        <f>co2e_mt!H210</f>
        <v>9.4187402439999818E-2</v>
      </c>
      <c r="N210" s="7">
        <f>co2e_mt!K210</f>
        <v>3.3432459932003971</v>
      </c>
      <c r="O210" s="7">
        <f>co2e_mt!L210</f>
        <v>0.69938065411200678</v>
      </c>
      <c r="P210" s="7">
        <f>co2e_mt!P210</f>
        <v>0.35230631519999833</v>
      </c>
    </row>
    <row r="211" spans="1:16" x14ac:dyDescent="0.3">
      <c r="A211" s="6" t="s">
        <v>172</v>
      </c>
      <c r="B211" s="11">
        <f>co2e_mt!S211</f>
        <v>3.6632442140610046</v>
      </c>
      <c r="C211" s="2">
        <f>geracao_mwh!D211</f>
        <v>922094.15099999798</v>
      </c>
      <c r="D211" s="2">
        <f>geracao_mwh!E211</f>
        <v>1042351.1059999993</v>
      </c>
      <c r="E211" s="2">
        <f>geracao_mwh!F211</f>
        <v>3206029.5949999951</v>
      </c>
      <c r="F211" s="2">
        <f>geracao_mwh!G211</f>
        <v>25368.946999999978</v>
      </c>
      <c r="G211" s="2">
        <f>geracao_mwh!H211</f>
        <v>3141772.4539999953</v>
      </c>
      <c r="H211" s="2">
        <f>geracao_mwh!I211</f>
        <v>32076425.542000398</v>
      </c>
      <c r="I211" s="2">
        <f>geracao_mwh!J211</f>
        <v>0</v>
      </c>
      <c r="J211" s="2">
        <f>geracao_mwh!K211</f>
        <v>1258782.3370000001</v>
      </c>
      <c r="K211" s="2">
        <f>geracao_mwh!L211</f>
        <v>209463.85099999997</v>
      </c>
      <c r="L211" s="2">
        <f>geracao_mwh!M211</f>
        <v>162276.73500000007</v>
      </c>
      <c r="M211" s="7">
        <f>co2e_mt!H211</f>
        <v>0.10708231568899984</v>
      </c>
      <c r="N211" s="7">
        <f>co2e_mt!K211</f>
        <v>2.570294869749997</v>
      </c>
      <c r="O211" s="7">
        <f>co2e_mt!L211</f>
        <v>0.67360493638200825</v>
      </c>
      <c r="P211" s="7">
        <f>co2e_mt!P211</f>
        <v>0.31226209224000001</v>
      </c>
    </row>
    <row r="212" spans="1:16" x14ac:dyDescent="0.3">
      <c r="A212" s="6" t="s">
        <v>173</v>
      </c>
      <c r="B212" s="11">
        <f>co2e_mt!S212</f>
        <v>4.6325052694319844</v>
      </c>
      <c r="C212" s="2">
        <f>geracao_mwh!D212</f>
        <v>1099648.9210000047</v>
      </c>
      <c r="D212" s="2">
        <f>geracao_mwh!E212</f>
        <v>1186344.2600000021</v>
      </c>
      <c r="E212" s="2">
        <f>geracao_mwh!F212</f>
        <v>3931844.7940000333</v>
      </c>
      <c r="F212" s="2">
        <f>geracao_mwh!G212</f>
        <v>38936.345999999925</v>
      </c>
      <c r="G212" s="2">
        <f>geracao_mwh!H212</f>
        <v>4907969.2660000017</v>
      </c>
      <c r="H212" s="2">
        <f>geracao_mwh!I212</f>
        <v>29081194.435999107</v>
      </c>
      <c r="I212" s="2">
        <f>geracao_mwh!J212</f>
        <v>0</v>
      </c>
      <c r="J212" s="2">
        <f>geracao_mwh!K212</f>
        <v>1423363.2959999987</v>
      </c>
      <c r="K212" s="2">
        <f>geracao_mwh!L212</f>
        <v>184422.13099999991</v>
      </c>
      <c r="L212" s="2">
        <f>geracao_mwh!M212</f>
        <v>197152.63899999924</v>
      </c>
      <c r="M212" s="7">
        <f>co2e_mt!H212</f>
        <v>0.12847371194000068</v>
      </c>
      <c r="N212" s="7">
        <f>co2e_mt!K212</f>
        <v>3.5728036675360033</v>
      </c>
      <c r="O212" s="7">
        <f>co2e_mt!L212</f>
        <v>0.61070508315598115</v>
      </c>
      <c r="P212" s="7">
        <f>co2e_mt!P212</f>
        <v>0.32052280679999934</v>
      </c>
    </row>
    <row r="213" spans="1:16" x14ac:dyDescent="0.3">
      <c r="A213" s="6" t="s">
        <v>174</v>
      </c>
      <c r="B213" s="11">
        <f>co2e_mt!S213</f>
        <v>6.2293322936960065</v>
      </c>
      <c r="C213" s="2">
        <f>geracao_mwh!D213</f>
        <v>998890.73099999339</v>
      </c>
      <c r="D213" s="2">
        <f>geracao_mwh!E213</f>
        <v>1365853.7740000028</v>
      </c>
      <c r="E213" s="2">
        <f>geracao_mwh!F213</f>
        <v>4171559.2460000245</v>
      </c>
      <c r="F213" s="2">
        <f>geracao_mwh!G213</f>
        <v>51745.913000000059</v>
      </c>
      <c r="G213" s="2">
        <f>geracao_mwh!H213</f>
        <v>6021494.4760000082</v>
      </c>
      <c r="H213" s="2">
        <f>geracao_mwh!I213</f>
        <v>28066921.540000279</v>
      </c>
      <c r="I213" s="2">
        <f>geracao_mwh!J213</f>
        <v>0</v>
      </c>
      <c r="J213" s="2">
        <f>geracao_mwh!K213</f>
        <v>1278483.2569999984</v>
      </c>
      <c r="K213" s="2">
        <f>geracao_mwh!L213</f>
        <v>1121331.4189999914</v>
      </c>
      <c r="L213" s="2">
        <f>geracao_mwh!M213</f>
        <v>332529.35889999988</v>
      </c>
      <c r="M213" s="7">
        <f>co2e_mt!H213</f>
        <v>0.12501794480999995</v>
      </c>
      <c r="N213" s="7">
        <f>co2e_mt!K213</f>
        <v>4.2936659431100068</v>
      </c>
      <c r="O213" s="7">
        <f>co2e_mt!L213</f>
        <v>0.58940535234000591</v>
      </c>
      <c r="P213" s="7">
        <f>co2e_mt!P213</f>
        <v>1.2212430534359928</v>
      </c>
    </row>
    <row r="214" spans="1:16" x14ac:dyDescent="0.3">
      <c r="A214" s="6" t="s">
        <v>175</v>
      </c>
      <c r="B214" s="11">
        <f>co2e_mt!S214</f>
        <v>6.0018924336890045</v>
      </c>
      <c r="C214" s="2">
        <f>geracao_mwh!D214</f>
        <v>1075432.1749999996</v>
      </c>
      <c r="D214" s="2">
        <f>geracao_mwh!E214</f>
        <v>1281611.0820000023</v>
      </c>
      <c r="E214" s="2">
        <f>geracao_mwh!F214</f>
        <v>4822111.5970000066</v>
      </c>
      <c r="F214" s="2">
        <f>geracao_mwh!G214</f>
        <v>66592.093999999954</v>
      </c>
      <c r="G214" s="2">
        <f>geracao_mwh!H214</f>
        <v>5688282.9400000069</v>
      </c>
      <c r="H214" s="2">
        <f>geracao_mwh!I214</f>
        <v>27872051.865000021</v>
      </c>
      <c r="I214" s="2">
        <f>geracao_mwh!J214</f>
        <v>0</v>
      </c>
      <c r="J214" s="2">
        <f>geracao_mwh!K214</f>
        <v>979670.19900000037</v>
      </c>
      <c r="K214" s="2">
        <f>geracao_mwh!L214</f>
        <v>1125612.0007999991</v>
      </c>
      <c r="L214" s="2">
        <f>geracao_mwh!M214</f>
        <v>344592.81599999964</v>
      </c>
      <c r="M214" s="7">
        <f>co2e_mt!H214</f>
        <v>0.13420909649000007</v>
      </c>
      <c r="N214" s="7">
        <f>co2e_mt!K214</f>
        <v>4.0473982019220056</v>
      </c>
      <c r="O214" s="7">
        <f>co2e_mt!L214</f>
        <v>0.58531308916500036</v>
      </c>
      <c r="P214" s="7">
        <f>co2e_mt!P214</f>
        <v>1.2349720461119988</v>
      </c>
    </row>
    <row r="215" spans="1:16" x14ac:dyDescent="0.3">
      <c r="A215" s="6" t="s">
        <v>176</v>
      </c>
      <c r="B215" s="11">
        <f>co2e_mt!S215</f>
        <v>6.7154892255369916</v>
      </c>
      <c r="C215" s="2">
        <f>geracao_mwh!D215</f>
        <v>963168.56700000365</v>
      </c>
      <c r="D215" s="2">
        <f>geracao_mwh!E215</f>
        <v>1601205.7550000027</v>
      </c>
      <c r="E215" s="2">
        <f>geracao_mwh!F215</f>
        <v>4665886.1280000061</v>
      </c>
      <c r="F215" s="2">
        <f>geracao_mwh!G215</f>
        <v>136056.03200000018</v>
      </c>
      <c r="G215" s="2">
        <f>geracao_mwh!H215</f>
        <v>6104037.3099999987</v>
      </c>
      <c r="H215" s="2">
        <f>geracao_mwh!I215</f>
        <v>29237131.40799937</v>
      </c>
      <c r="I215" s="2">
        <f>geracao_mwh!J215</f>
        <v>0</v>
      </c>
      <c r="J215" s="2">
        <f>geracao_mwh!K215</f>
        <v>1186051.0300000005</v>
      </c>
      <c r="K215" s="2">
        <f>geracao_mwh!L215</f>
        <v>1262494.2360000035</v>
      </c>
      <c r="L215" s="2">
        <f>geracao_mwh!M215</f>
        <v>404327.20999999979</v>
      </c>
      <c r="M215" s="7">
        <f>co2e_mt!H215</f>
        <v>0.13201035791400029</v>
      </c>
      <c r="N215" s="7">
        <f>co2e_mt!K215</f>
        <v>4.569369093415002</v>
      </c>
      <c r="O215" s="7">
        <f>co2e_mt!L215</f>
        <v>0.61397975956798678</v>
      </c>
      <c r="P215" s="7">
        <f>co2e_mt!P215</f>
        <v>1.4001300146400029</v>
      </c>
    </row>
    <row r="216" spans="1:16" x14ac:dyDescent="0.3">
      <c r="A216" s="6" t="s">
        <v>177</v>
      </c>
      <c r="B216" s="11">
        <f>co2e_mt!S216</f>
        <v>5.8676773982639796</v>
      </c>
      <c r="C216" s="2">
        <f>geracao_mwh!D216</f>
        <v>833199.7059999929</v>
      </c>
      <c r="D216" s="2">
        <f>geracao_mwh!E216</f>
        <v>1545040.8479999986</v>
      </c>
      <c r="E216" s="2">
        <f>geracao_mwh!F216</f>
        <v>3764858.496999986</v>
      </c>
      <c r="F216" s="2">
        <f>geracao_mwh!G216</f>
        <v>121813.14699999998</v>
      </c>
      <c r="G216" s="2">
        <f>geracao_mwh!H216</f>
        <v>5554281.7989999857</v>
      </c>
      <c r="H216" s="2">
        <f>geracao_mwh!I216</f>
        <v>29620327.665999606</v>
      </c>
      <c r="I216" s="2">
        <f>geracao_mwh!J216</f>
        <v>0</v>
      </c>
      <c r="J216" s="2">
        <f>geracao_mwh!K216</f>
        <v>1443088.4939999986</v>
      </c>
      <c r="K216" s="2">
        <f>geracao_mwh!L216</f>
        <v>790739.74899999751</v>
      </c>
      <c r="L216" s="2">
        <f>geracao_mwh!M216</f>
        <v>260945.98099999945</v>
      </c>
      <c r="M216" s="7">
        <f>co2e_mt!H216</f>
        <v>0.11626766091599942</v>
      </c>
      <c r="N216" s="7">
        <f>co2e_mt!K216</f>
        <v>4.2459668431619919</v>
      </c>
      <c r="O216" s="7">
        <f>co2e_mt!L216</f>
        <v>0.62202688098599168</v>
      </c>
      <c r="P216" s="7">
        <f>co2e_mt!P216</f>
        <v>0.88341601319999752</v>
      </c>
    </row>
    <row r="217" spans="1:16" x14ac:dyDescent="0.3">
      <c r="A217" s="6" t="s">
        <v>178</v>
      </c>
      <c r="B217" s="11">
        <f>co2e_mt!S217</f>
        <v>4.9729733032510168</v>
      </c>
      <c r="C217" s="2">
        <f>geracao_mwh!D217</f>
        <v>546922.89100000099</v>
      </c>
      <c r="D217" s="2">
        <f>geracao_mwh!E217</f>
        <v>1444047.8609999996</v>
      </c>
      <c r="E217" s="2">
        <f>geracao_mwh!F217</f>
        <v>3531331.5180000048</v>
      </c>
      <c r="F217" s="2">
        <f>geracao_mwh!G217</f>
        <v>142918.82400000008</v>
      </c>
      <c r="G217" s="2">
        <f>geracao_mwh!H217</f>
        <v>5119168.9710000278</v>
      </c>
      <c r="H217" s="2">
        <f>geracao_mwh!I217</f>
        <v>34236589.252000138</v>
      </c>
      <c r="I217" s="2">
        <f>geracao_mwh!J217</f>
        <v>0</v>
      </c>
      <c r="J217" s="2">
        <f>geracao_mwh!K217</f>
        <v>1346068.4939999995</v>
      </c>
      <c r="K217" s="2">
        <f>geracao_mwh!L217</f>
        <v>157439.27880000038</v>
      </c>
      <c r="L217" s="2">
        <f>geracao_mwh!M217</f>
        <v>107566.91199999981</v>
      </c>
      <c r="M217" s="7">
        <f>co2e_mt!H217</f>
        <v>9.7991699920000105E-2</v>
      </c>
      <c r="N217" s="7">
        <f>co2e_mt!K217</f>
        <v>3.9334080287670132</v>
      </c>
      <c r="O217" s="7">
        <f>co2e_mt!L217</f>
        <v>0.71896837429200289</v>
      </c>
      <c r="P217" s="7">
        <f>co2e_mt!P217</f>
        <v>0.22260520027200015</v>
      </c>
    </row>
    <row r="218" spans="1:16" x14ac:dyDescent="0.3">
      <c r="A218" s="6" t="s">
        <v>179</v>
      </c>
      <c r="B218" s="11">
        <f>co2e_mt!S218</f>
        <v>4.0092199990253992</v>
      </c>
      <c r="C218" s="2">
        <f>geracao_mwh!D218</f>
        <v>273775.63899999915</v>
      </c>
      <c r="D218" s="2">
        <f>geracao_mwh!E218</f>
        <v>1038377.0570000003</v>
      </c>
      <c r="E218" s="2">
        <f>geracao_mwh!F218</f>
        <v>3268030.4830000266</v>
      </c>
      <c r="F218" s="2">
        <f>geracao_mwh!G218</f>
        <v>164410.117</v>
      </c>
      <c r="G218" s="2">
        <f>geracao_mwh!H218</f>
        <v>3798454.2413999923</v>
      </c>
      <c r="H218" s="2">
        <f>geracao_mwh!I218</f>
        <v>38334532.86800018</v>
      </c>
      <c r="I218" s="2">
        <f>geracao_mwh!J218</f>
        <v>0</v>
      </c>
      <c r="J218" s="2">
        <f>geracao_mwh!K218</f>
        <v>1399645.7540000011</v>
      </c>
      <c r="K218" s="2">
        <f>geracao_mwh!L218</f>
        <v>180941.49099999847</v>
      </c>
      <c r="L218" s="2">
        <f>geracao_mwh!M218</f>
        <v>100897.6209999999</v>
      </c>
      <c r="M218" s="7">
        <f>co2e_mt!H218</f>
        <v>8.1985759340000325E-2</v>
      </c>
      <c r="N218" s="7">
        <f>co2e_mt!K218</f>
        <v>2.8854641953773967</v>
      </c>
      <c r="O218" s="7">
        <f>co2e_mt!L218</f>
        <v>0.8050251902280039</v>
      </c>
      <c r="P218" s="7">
        <f>co2e_mt!P218</f>
        <v>0.23674485407999862</v>
      </c>
    </row>
    <row r="219" spans="1:16" x14ac:dyDescent="0.3">
      <c r="A219" s="6" t="s">
        <v>180</v>
      </c>
      <c r="B219" s="11">
        <f>co2e_mt!S219</f>
        <v>3.5682887288350202</v>
      </c>
      <c r="C219" s="2">
        <f>geracao_mwh!D219</f>
        <v>266174.24099999957</v>
      </c>
      <c r="D219" s="2">
        <f>geracao_mwh!E219</f>
        <v>1013561.3690000023</v>
      </c>
      <c r="E219" s="2">
        <f>geracao_mwh!F219</f>
        <v>2041527.2480000092</v>
      </c>
      <c r="F219" s="2">
        <f>geracao_mwh!G219</f>
        <v>147145.74300000016</v>
      </c>
      <c r="G219" s="2">
        <f>geracao_mwh!H219</f>
        <v>3014939.6240000124</v>
      </c>
      <c r="H219" s="2">
        <f>geracao_mwh!I219</f>
        <v>36125593.893000543</v>
      </c>
      <c r="I219" s="2">
        <f>geracao_mwh!J219</f>
        <v>0</v>
      </c>
      <c r="J219" s="2">
        <f>geracao_mwh!K219</f>
        <v>824962.28799999878</v>
      </c>
      <c r="K219" s="2">
        <f>geracao_mwh!L219</f>
        <v>245424.5089999999</v>
      </c>
      <c r="L219" s="2">
        <f>geracao_mwh!M219</f>
        <v>78840.941000000035</v>
      </c>
      <c r="M219" s="7">
        <f>co2e_mt!H219</f>
        <v>5.7432691449000095E-2</v>
      </c>
      <c r="N219" s="7">
        <f>co2e_mt!K219</f>
        <v>2.4798355876330085</v>
      </c>
      <c r="O219" s="7">
        <f>co2e_mt!L219</f>
        <v>0.75863747175301133</v>
      </c>
      <c r="P219" s="7">
        <f>co2e_mt!P219</f>
        <v>0.27238297799999994</v>
      </c>
    </row>
    <row r="220" spans="1:16" x14ac:dyDescent="0.3">
      <c r="A220" s="6" t="s">
        <v>181</v>
      </c>
      <c r="B220" s="11">
        <f>co2e_mt!S220</f>
        <v>4.2695040734859786</v>
      </c>
      <c r="C220" s="2">
        <f>geracao_mwh!D220</f>
        <v>431384.7820000035</v>
      </c>
      <c r="D220" s="2">
        <f>geracao_mwh!E220</f>
        <v>1276595.6419999986</v>
      </c>
      <c r="E220" s="2">
        <f>geracao_mwh!F220</f>
        <v>2168220.0759999938</v>
      </c>
      <c r="F220" s="2">
        <f>geracao_mwh!G220</f>
        <v>184505.05200000032</v>
      </c>
      <c r="G220" s="2">
        <f>geracao_mwh!H220</f>
        <v>3239540.2489999905</v>
      </c>
      <c r="H220" s="2">
        <f>geracao_mwh!I220</f>
        <v>41094961.770999312</v>
      </c>
      <c r="I220" s="2">
        <f>geracao_mwh!J220</f>
        <v>0</v>
      </c>
      <c r="J220" s="2">
        <f>geracao_mwh!K220</f>
        <v>855947.82700000016</v>
      </c>
      <c r="K220" s="2">
        <f>geracao_mwh!L220</f>
        <v>457997.43499999936</v>
      </c>
      <c r="L220" s="2">
        <f>geracao_mwh!M220</f>
        <v>118837.2900000002</v>
      </c>
      <c r="M220" s="7">
        <f>co2e_mt!H220</f>
        <v>6.9679908639000129E-2</v>
      </c>
      <c r="N220" s="7">
        <f>co2e_mt!K220</f>
        <v>2.8522887986559939</v>
      </c>
      <c r="O220" s="7">
        <f>co2e_mt!L220</f>
        <v>0.86299419719098558</v>
      </c>
      <c r="P220" s="7">
        <f>co2e_mt!P220</f>
        <v>0.48454116899999961</v>
      </c>
    </row>
    <row r="221" spans="1:16" x14ac:dyDescent="0.3">
      <c r="A221" s="6" t="s">
        <v>182</v>
      </c>
      <c r="B221" s="11">
        <f>co2e_mt!S221</f>
        <v>3.261443771553004</v>
      </c>
      <c r="C221" s="2">
        <f>geracao_mwh!D221</f>
        <v>767441.36699999566</v>
      </c>
      <c r="D221" s="2">
        <f>geracao_mwh!E221</f>
        <v>887787.69200000004</v>
      </c>
      <c r="E221" s="2">
        <f>geracao_mwh!F221</f>
        <v>2590857.6090000668</v>
      </c>
      <c r="F221" s="2">
        <f>geracao_mwh!G221</f>
        <v>183242.54100000075</v>
      </c>
      <c r="G221" s="2">
        <f>geracao_mwh!H221</f>
        <v>2531537.500999995</v>
      </c>
      <c r="H221" s="2">
        <f>geracao_mwh!I221</f>
        <v>36488995.359000258</v>
      </c>
      <c r="I221" s="2">
        <f>geracao_mwh!J221</f>
        <v>0</v>
      </c>
      <c r="J221" s="2">
        <f>geracao_mwh!K221</f>
        <v>1423812.6440000015</v>
      </c>
      <c r="K221" s="2">
        <f>geracao_mwh!L221</f>
        <v>209240.78399999966</v>
      </c>
      <c r="L221" s="2">
        <f>geracao_mwh!M221</f>
        <v>119562.87100000019</v>
      </c>
      <c r="M221" s="7">
        <f>co2e_mt!H221</f>
        <v>9.99770936360007E-2</v>
      </c>
      <c r="N221" s="7">
        <f>co2e_mt!K221</f>
        <v>2.1190027051779978</v>
      </c>
      <c r="O221" s="7">
        <f>co2e_mt!L221</f>
        <v>0.76626890253900548</v>
      </c>
      <c r="P221" s="7">
        <f>co2e_mt!P221</f>
        <v>0.27619507019999989</v>
      </c>
    </row>
    <row r="222" spans="1:16" x14ac:dyDescent="0.3">
      <c r="A222" s="6" t="s">
        <v>183</v>
      </c>
      <c r="B222" s="11">
        <f>co2e_mt!S222</f>
        <v>3.4135025603839848</v>
      </c>
      <c r="C222" s="2">
        <f>geracao_mwh!D222</f>
        <v>861334.40899998508</v>
      </c>
      <c r="D222" s="2">
        <f>geracao_mwh!E222</f>
        <v>982387.16500000143</v>
      </c>
      <c r="E222" s="2">
        <f>geracao_mwh!F222</f>
        <v>3572644.9399999944</v>
      </c>
      <c r="F222" s="2">
        <f>geracao_mwh!G222</f>
        <v>214111.31500000041</v>
      </c>
      <c r="G222" s="2">
        <f>geracao_mwh!H222</f>
        <v>3014974.8400000017</v>
      </c>
      <c r="H222" s="2">
        <f>geracao_mwh!I222</f>
        <v>33466222.412999224</v>
      </c>
      <c r="I222" s="2">
        <f>geracao_mwh!J222</f>
        <v>0</v>
      </c>
      <c r="J222" s="2">
        <f>geracao_mwh!K222</f>
        <v>1494958.8609999975</v>
      </c>
      <c r="K222" s="2">
        <f>geracao_mwh!L222</f>
        <v>40203.92000000002</v>
      </c>
      <c r="L222" s="2">
        <f>geracao_mwh!M222</f>
        <v>129069.34199999986</v>
      </c>
      <c r="M222" s="7">
        <f>co2e_mt!H222</f>
        <v>0.11987502522599912</v>
      </c>
      <c r="N222" s="7">
        <f>co2e_mt!K222</f>
        <v>2.4486473244050027</v>
      </c>
      <c r="O222" s="7">
        <f>co2e_mt!L222</f>
        <v>0.70279067067298373</v>
      </c>
      <c r="P222" s="7">
        <f>co2e_mt!P222</f>
        <v>0.1421895400799999</v>
      </c>
    </row>
    <row r="223" spans="1:16" x14ac:dyDescent="0.3">
      <c r="A223" s="6" t="s">
        <v>184</v>
      </c>
      <c r="B223" s="11">
        <f>co2e_mt!S223</f>
        <v>4.3320207615200026</v>
      </c>
      <c r="C223" s="2">
        <f>geracao_mwh!D223</f>
        <v>1009828.2129999956</v>
      </c>
      <c r="D223" s="2">
        <f>geracao_mwh!E223</f>
        <v>1212139.9749999999</v>
      </c>
      <c r="E223" s="2">
        <f>geracao_mwh!F223</f>
        <v>4159298.7789999871</v>
      </c>
      <c r="F223" s="2">
        <f>geracao_mwh!G223</f>
        <v>214523.92499999976</v>
      </c>
      <c r="G223" s="2">
        <f>geracao_mwh!H223</f>
        <v>4514146.9040000048</v>
      </c>
      <c r="H223" s="2">
        <f>geracao_mwh!I223</f>
        <v>29179700.20000007</v>
      </c>
      <c r="I223" s="2">
        <f>geracao_mwh!J223</f>
        <v>0</v>
      </c>
      <c r="J223" s="2">
        <f>geracao_mwh!K223</f>
        <v>1446429.5709999998</v>
      </c>
      <c r="K223" s="2">
        <f>geracao_mwh!L223</f>
        <v>8622.1799999999985</v>
      </c>
      <c r="L223" s="2">
        <f>geracao_mwh!M223</f>
        <v>202579.58500000008</v>
      </c>
      <c r="M223" s="7">
        <f>co2e_mt!H223</f>
        <v>0.1346100644009996</v>
      </c>
      <c r="N223" s="7">
        <f>co2e_mt!K223</f>
        <v>3.407227510319002</v>
      </c>
      <c r="O223" s="7">
        <f>co2e_mt!L223</f>
        <v>0.61277370420000143</v>
      </c>
      <c r="P223" s="7">
        <f>co2e_mt!P223</f>
        <v>0.17740948260000006</v>
      </c>
    </row>
    <row r="224" spans="1:16" x14ac:dyDescent="0.3">
      <c r="A224" s="6" t="s">
        <v>185</v>
      </c>
      <c r="B224" s="11">
        <f>co2e_mt!S224</f>
        <v>5.0789427947699668</v>
      </c>
      <c r="C224" s="2">
        <f>geracao_mwh!D224</f>
        <v>1101080.5359999856</v>
      </c>
      <c r="D224" s="2">
        <f>geracao_mwh!E224</f>
        <v>1532540.5240000009</v>
      </c>
      <c r="E224" s="2">
        <f>geracao_mwh!F224</f>
        <v>4840415.664999987</v>
      </c>
      <c r="F224" s="2">
        <f>geracao_mwh!G224</f>
        <v>245409.26999999984</v>
      </c>
      <c r="G224" s="2">
        <f>geracao_mwh!H224</f>
        <v>4897110.1579999328</v>
      </c>
      <c r="H224" s="2">
        <f>geracao_mwh!I224</f>
        <v>28758310.317999952</v>
      </c>
      <c r="I224" s="2">
        <f>geracao_mwh!J224</f>
        <v>0</v>
      </c>
      <c r="J224" s="2">
        <f>geracao_mwh!K224</f>
        <v>1493342.8010000014</v>
      </c>
      <c r="K224" s="2">
        <f>geracao_mwh!L224</f>
        <v>176838.28000000003</v>
      </c>
      <c r="L224" s="2">
        <f>geracao_mwh!M224</f>
        <v>312211.75599999999</v>
      </c>
      <c r="M224" s="7">
        <f>co2e_mt!H224</f>
        <v>0.1501476465399991</v>
      </c>
      <c r="N224" s="7">
        <f>co2e_mt!K224</f>
        <v>3.914068601311969</v>
      </c>
      <c r="O224" s="7">
        <f>co2e_mt!L224</f>
        <v>0.60392451667799885</v>
      </c>
      <c r="P224" s="7">
        <f>co2e_mt!P224</f>
        <v>0.41080203024</v>
      </c>
    </row>
    <row r="225" spans="1:16" x14ac:dyDescent="0.3">
      <c r="A225" s="6" t="s">
        <v>186</v>
      </c>
      <c r="B225" s="11">
        <f>co2e_mt!S225</f>
        <v>5.5780725964619737</v>
      </c>
      <c r="C225" s="2">
        <f>geracao_mwh!D225</f>
        <v>997660.4509999922</v>
      </c>
      <c r="D225" s="2">
        <f>geracao_mwh!E225</f>
        <v>1527508.2530000054</v>
      </c>
      <c r="E225" s="2">
        <f>geracao_mwh!F225</f>
        <v>4966604.4270000048</v>
      </c>
      <c r="F225" s="2">
        <f>geracao_mwh!G225</f>
        <v>240317.06899999973</v>
      </c>
      <c r="G225" s="2">
        <f>geracao_mwh!H225</f>
        <v>4352847.9449999304</v>
      </c>
      <c r="H225" s="2">
        <f>geracao_mwh!I225</f>
        <v>28956734.865000106</v>
      </c>
      <c r="I225" s="2">
        <f>geracao_mwh!J225</f>
        <v>0</v>
      </c>
      <c r="J225" s="2">
        <f>geracao_mwh!K225</f>
        <v>1504327.7080000003</v>
      </c>
      <c r="K225" s="2">
        <f>geracao_mwh!L225</f>
        <v>1063502.4069999997</v>
      </c>
      <c r="L225" s="2">
        <f>geracao_mwh!M225</f>
        <v>340220.45800000057</v>
      </c>
      <c r="M225" s="7">
        <f>co2e_mt!H225</f>
        <v>0.14633409517399965</v>
      </c>
      <c r="N225" s="7">
        <f>co2e_mt!K225</f>
        <v>3.6445198625229716</v>
      </c>
      <c r="O225" s="7">
        <f>co2e_mt!L225</f>
        <v>0.60809143216500217</v>
      </c>
      <c r="P225" s="7">
        <f>co2e_mt!P225</f>
        <v>1.1791272066000003</v>
      </c>
    </row>
    <row r="226" spans="1:16" x14ac:dyDescent="0.3">
      <c r="A226" s="6" t="s">
        <v>187</v>
      </c>
      <c r="B226" s="11">
        <f>co2e_mt!S226</f>
        <v>5.3740910284880155</v>
      </c>
      <c r="C226" s="2">
        <f>geracao_mwh!D226</f>
        <v>895225.69400000584</v>
      </c>
      <c r="D226" s="2">
        <f>geracao_mwh!E226</f>
        <v>1202489.9899999998</v>
      </c>
      <c r="E226" s="2">
        <f>geracao_mwh!F226</f>
        <v>5253123.8850000035</v>
      </c>
      <c r="F226" s="2">
        <f>geracao_mwh!G226</f>
        <v>270750.60099999985</v>
      </c>
      <c r="G226" s="2">
        <f>geracao_mwh!H226</f>
        <v>5296354.4370000418</v>
      </c>
      <c r="H226" s="2">
        <f>geracao_mwh!I226</f>
        <v>27641604.23299982</v>
      </c>
      <c r="I226" s="2">
        <f>geracao_mwh!J226</f>
        <v>0</v>
      </c>
      <c r="J226" s="2">
        <f>geracao_mwh!K226</f>
        <v>1448836.7590000024</v>
      </c>
      <c r="K226" s="2">
        <f>geracao_mwh!L226</f>
        <v>747152.0699999982</v>
      </c>
      <c r="L226" s="2">
        <f>geracao_mwh!M226</f>
        <v>289249.24300000013</v>
      </c>
      <c r="M226" s="7">
        <f>co2e_mt!H226</f>
        <v>0.14531950030300037</v>
      </c>
      <c r="N226" s="7">
        <f>co2e_mt!K226</f>
        <v>3.7777207363720207</v>
      </c>
      <c r="O226" s="7">
        <f>co2e_mt!L226</f>
        <v>0.58047368889299622</v>
      </c>
      <c r="P226" s="7">
        <f>co2e_mt!P226</f>
        <v>0.87057710291999868</v>
      </c>
    </row>
    <row r="227" spans="1:16" x14ac:dyDescent="0.3">
      <c r="A227" s="6" t="s">
        <v>188</v>
      </c>
      <c r="B227" s="11">
        <f>co2e_mt!S227</f>
        <v>4.3248988684830056</v>
      </c>
      <c r="C227" s="2">
        <f>geracao_mwh!D227</f>
        <v>806709.97099999862</v>
      </c>
      <c r="D227" s="2">
        <f>geracao_mwh!E227</f>
        <v>1108277.2950000016</v>
      </c>
      <c r="E227" s="2">
        <f>geracao_mwh!F227</f>
        <v>4519505.5919999704</v>
      </c>
      <c r="F227" s="2">
        <f>geracao_mwh!G227</f>
        <v>260852.93099999963</v>
      </c>
      <c r="G227" s="2">
        <f>geracao_mwh!H227</f>
        <v>4339413.5700000441</v>
      </c>
      <c r="H227" s="2">
        <f>geracao_mwh!I227</f>
        <v>33567229.040999196</v>
      </c>
      <c r="I227" s="2">
        <f>geracao_mwh!J227</f>
        <v>0</v>
      </c>
      <c r="J227" s="2">
        <f>geracao_mwh!K227</f>
        <v>1407384.9819999994</v>
      </c>
      <c r="K227" s="2">
        <f>geracao_mwh!L227</f>
        <v>174672.05499999982</v>
      </c>
      <c r="L227" s="2">
        <f>geracao_mwh!M227</f>
        <v>148460.46800000023</v>
      </c>
      <c r="M227" s="7">
        <f>co2e_mt!H227</f>
        <v>0.13021517198699953</v>
      </c>
      <c r="N227" s="7">
        <f>co2e_mt!K227</f>
        <v>3.2183405673150229</v>
      </c>
      <c r="O227" s="7">
        <f>co2e_mt!L227</f>
        <v>0.70491180986098312</v>
      </c>
      <c r="P227" s="7">
        <f>co2e_mt!P227</f>
        <v>0.27143131932000003</v>
      </c>
    </row>
    <row r="228" spans="1:16" x14ac:dyDescent="0.3">
      <c r="A228" s="6" t="s">
        <v>189</v>
      </c>
      <c r="B228" s="11">
        <f>co2e_mt!S228</f>
        <v>2.5101244820690027</v>
      </c>
      <c r="C228" s="2">
        <f>geracao_mwh!D228</f>
        <v>710523.13699999987</v>
      </c>
      <c r="D228" s="2">
        <f>geracao_mwh!E228</f>
        <v>416884.64099999942</v>
      </c>
      <c r="E228" s="2">
        <f>geracao_mwh!F228</f>
        <v>4881572.4150000457</v>
      </c>
      <c r="F228" s="2">
        <f>geracao_mwh!G228</f>
        <v>245309.11399999974</v>
      </c>
      <c r="G228" s="2">
        <f>geracao_mwh!H228</f>
        <v>2079822.7350000169</v>
      </c>
      <c r="H228" s="2">
        <f>geracao_mwh!I228</f>
        <v>35501562.147999756</v>
      </c>
      <c r="I228" s="2">
        <f>geracao_mwh!J228</f>
        <v>0</v>
      </c>
      <c r="J228" s="2">
        <f>geracao_mwh!K228</f>
        <v>982467.25299999956</v>
      </c>
      <c r="K228" s="2">
        <f>geracao_mwh!L228</f>
        <v>118247.74599999961</v>
      </c>
      <c r="L228" s="2">
        <f>geracao_mwh!M228</f>
        <v>135047.83900000001</v>
      </c>
      <c r="M228" s="7">
        <f>co2e_mt!H228</f>
        <v>0.12372801071000057</v>
      </c>
      <c r="N228" s="7">
        <f>co2e_mt!K228</f>
        <v>1.4280953748510075</v>
      </c>
      <c r="O228" s="7">
        <f>co2e_mt!L228</f>
        <v>0.74553280510799491</v>
      </c>
      <c r="P228" s="7">
        <f>co2e_mt!P228</f>
        <v>0.2127682913999997</v>
      </c>
    </row>
    <row r="229" spans="1:16" x14ac:dyDescent="0.3">
      <c r="A229" s="6" t="s">
        <v>190</v>
      </c>
      <c r="B229" s="11">
        <f>co2e_mt!S229</f>
        <v>2.616048613320983</v>
      </c>
      <c r="C229" s="2">
        <f>geracao_mwh!D229</f>
        <v>503116.45999999926</v>
      </c>
      <c r="D229" s="2">
        <f>geracao_mwh!E229</f>
        <v>525119.08000000066</v>
      </c>
      <c r="E229" s="2">
        <f>geracao_mwh!F229</f>
        <v>3564527.0030000038</v>
      </c>
      <c r="F229" s="2">
        <f>geracao_mwh!G229</f>
        <v>299494.34499999945</v>
      </c>
      <c r="G229" s="2">
        <f>geracao_mwh!H229</f>
        <v>1704217.598</v>
      </c>
      <c r="H229" s="2">
        <f>geracao_mwh!I229</f>
        <v>39289902.590999164</v>
      </c>
      <c r="I229" s="2">
        <f>geracao_mwh!J229</f>
        <v>0</v>
      </c>
      <c r="J229" s="2">
        <f>geracao_mwh!K229</f>
        <v>1391964.5760000006</v>
      </c>
      <c r="K229" s="2">
        <f>geracao_mwh!L229</f>
        <v>234958.96600000004</v>
      </c>
      <c r="L229" s="2">
        <f>geracao_mwh!M229</f>
        <v>162174.37200000021</v>
      </c>
      <c r="M229" s="7">
        <f>co2e_mt!H229</f>
        <v>0.10347470328199999</v>
      </c>
      <c r="N229" s="7">
        <f>co2e_mt!K229</f>
        <v>1.3538939517080006</v>
      </c>
      <c r="O229" s="7">
        <f>co2e_mt!L229</f>
        <v>0.82508795441098237</v>
      </c>
      <c r="P229" s="7">
        <f>co2e_mt!P229</f>
        <v>0.33359200392000021</v>
      </c>
    </row>
    <row r="230" spans="1:16" x14ac:dyDescent="0.3">
      <c r="A230" s="6" t="s">
        <v>191</v>
      </c>
      <c r="B230" s="11">
        <f>co2e_mt!S230</f>
        <v>2.8870515240269863</v>
      </c>
      <c r="C230" s="2">
        <f>geracao_mwh!D230</f>
        <v>259112.17900000047</v>
      </c>
      <c r="D230" s="2">
        <f>geracao_mwh!E230</f>
        <v>447932.85700000095</v>
      </c>
      <c r="E230" s="2">
        <f>geracao_mwh!F230</f>
        <v>4145511.2730000289</v>
      </c>
      <c r="F230" s="2">
        <f>geracao_mwh!G230</f>
        <v>358376.12700000091</v>
      </c>
      <c r="G230" s="2">
        <f>geracao_mwh!H230</f>
        <v>2584958.1789999846</v>
      </c>
      <c r="H230" s="2">
        <f>geracao_mwh!I230</f>
        <v>42639561.995999612</v>
      </c>
      <c r="I230" s="2">
        <f>geracao_mwh!J230</f>
        <v>0</v>
      </c>
      <c r="J230" s="2">
        <f>geracao_mwh!K230</f>
        <v>1417962.173999998</v>
      </c>
      <c r="K230" s="2">
        <f>geracao_mwh!L230</f>
        <v>124687.6730000002</v>
      </c>
      <c r="L230" s="2">
        <f>geracao_mwh!M230</f>
        <v>96432.679000000207</v>
      </c>
      <c r="M230" s="7">
        <f>co2e_mt!H230</f>
        <v>0.10120916158000043</v>
      </c>
      <c r="N230" s="7">
        <f>co2e_mt!K230</f>
        <v>1.7046704648509936</v>
      </c>
      <c r="O230" s="7">
        <f>co2e_mt!L230</f>
        <v>0.89543080191599178</v>
      </c>
      <c r="P230" s="7">
        <f>co2e_mt!P230</f>
        <v>0.18574109568000036</v>
      </c>
    </row>
    <row r="231" spans="1:16" x14ac:dyDescent="0.3">
      <c r="A231" s="6" t="s">
        <v>192</v>
      </c>
      <c r="B231" s="11">
        <f>co2e_mt!S231</f>
        <v>4.0273965365399933</v>
      </c>
      <c r="C231" s="2">
        <f>geracao_mwh!D231</f>
        <v>269326.76400000061</v>
      </c>
      <c r="D231" s="2">
        <f>geracao_mwh!E231</f>
        <v>906374.20500000066</v>
      </c>
      <c r="E231" s="2">
        <f>geracao_mwh!F231</f>
        <v>2175544.7340000081</v>
      </c>
      <c r="F231" s="2">
        <f>geracao_mwh!G231</f>
        <v>291953.92699999962</v>
      </c>
      <c r="G231" s="2">
        <f>geracao_mwh!H231</f>
        <v>3868918.5160000008</v>
      </c>
      <c r="H231" s="2">
        <f>geracao_mwh!I231</f>
        <v>36806011.822999574</v>
      </c>
      <c r="I231" s="2">
        <f>geracao_mwh!J231</f>
        <v>0</v>
      </c>
      <c r="J231" s="2">
        <f>geracao_mwh!K231</f>
        <v>1337455.1649999998</v>
      </c>
      <c r="K231" s="2">
        <f>geracao_mwh!L231</f>
        <v>290347.27900000039</v>
      </c>
      <c r="L231" s="2">
        <f>geracao_mwh!M231</f>
        <v>179494.74599999993</v>
      </c>
      <c r="M231" s="7">
        <f>co2e_mt!H231</f>
        <v>7.2228009276000121E-2</v>
      </c>
      <c r="N231" s="7">
        <f>co2e_mt!K231</f>
        <v>2.7875749779810013</v>
      </c>
      <c r="O231" s="7">
        <f>co2e_mt!L231</f>
        <v>0.77292624828299095</v>
      </c>
      <c r="P231" s="7">
        <f>co2e_mt!P231</f>
        <v>0.39466730100000025</v>
      </c>
    </row>
    <row r="232" spans="1:16" x14ac:dyDescent="0.3">
      <c r="A232" s="6" t="s">
        <v>193</v>
      </c>
      <c r="B232" s="11">
        <f>co2e_mt!S232</f>
        <v>3.6116188643959659</v>
      </c>
      <c r="C232" s="2">
        <f>geracao_mwh!D232</f>
        <v>496925.78200000001</v>
      </c>
      <c r="D232" s="2">
        <f>geracao_mwh!E232</f>
        <v>935971.53899999941</v>
      </c>
      <c r="E232" s="2">
        <f>geracao_mwh!F232</f>
        <v>2532265.4732299992</v>
      </c>
      <c r="F232" s="2">
        <f>geracao_mwh!G232</f>
        <v>327382.93699999969</v>
      </c>
      <c r="G232" s="2">
        <f>geracao_mwh!H232</f>
        <v>3039099.3149999878</v>
      </c>
      <c r="H232" s="2">
        <f>geracao_mwh!I232</f>
        <v>39727280.953999177</v>
      </c>
      <c r="I232" s="2">
        <f>geracao_mwh!J232</f>
        <v>0</v>
      </c>
      <c r="J232" s="2">
        <f>geracao_mwh!K232</f>
        <v>1284001.6820000005</v>
      </c>
      <c r="K232" s="2">
        <f>geracao_mwh!L232</f>
        <v>270748.73699999985</v>
      </c>
      <c r="L232" s="2">
        <f>geracao_mwh!M232</f>
        <v>55331.152000000009</v>
      </c>
      <c r="M232" s="7">
        <f>co2e_mt!H232</f>
        <v>8.9529079972989978E-2</v>
      </c>
      <c r="N232" s="7">
        <f>co2e_mt!K232</f>
        <v>2.4139097776289931</v>
      </c>
      <c r="O232" s="7">
        <f>co2e_mt!L232</f>
        <v>0.83427290003398269</v>
      </c>
      <c r="P232" s="7">
        <f>co2e_mt!P232</f>
        <v>0.27390710675999985</v>
      </c>
    </row>
    <row r="233" spans="1:16" x14ac:dyDescent="0.3">
      <c r="A233" s="6" t="s">
        <v>194</v>
      </c>
      <c r="B233" s="11">
        <f>co2e_mt!S233</f>
        <v>3.2475703384419883</v>
      </c>
      <c r="C233" s="2">
        <f>geracao_mwh!D233</f>
        <v>756300.21699999948</v>
      </c>
      <c r="D233" s="2">
        <f>geracao_mwh!E233</f>
        <v>952182.62099999562</v>
      </c>
      <c r="E233" s="2">
        <f>geracao_mwh!F233</f>
        <v>2572866.7230000342</v>
      </c>
      <c r="F233" s="2">
        <f>geracao_mwh!G233</f>
        <v>312906.24999999761</v>
      </c>
      <c r="G233" s="2">
        <f>geracao_mwh!H233</f>
        <v>2261734.5979999965</v>
      </c>
      <c r="H233" s="2">
        <f>geracao_mwh!I233</f>
        <v>37990775.552999698</v>
      </c>
      <c r="I233" s="2">
        <f>geracao_mwh!J233</f>
        <v>0</v>
      </c>
      <c r="J233" s="2">
        <f>geracao_mwh!K233</f>
        <v>1069632.2390000008</v>
      </c>
      <c r="K233" s="2">
        <f>geracao_mwh!L233</f>
        <v>298103.58199999999</v>
      </c>
      <c r="L233" s="2">
        <f>geracao_mwh!M233</f>
        <v>55814.4739999999</v>
      </c>
      <c r="M233" s="7">
        <f>co2e_mt!H233</f>
        <v>0.10013506654000032</v>
      </c>
      <c r="N233" s="7">
        <f>co2e_mt!K233</f>
        <v>2.052337818248994</v>
      </c>
      <c r="O233" s="7">
        <f>co2e_mt!L233</f>
        <v>0.79780628661299369</v>
      </c>
      <c r="P233" s="7">
        <f>co2e_mt!P233</f>
        <v>0.29729116703999992</v>
      </c>
    </row>
    <row r="234" spans="1:16" x14ac:dyDescent="0.3">
      <c r="A234" s="6" t="s">
        <v>195</v>
      </c>
      <c r="B234" s="11">
        <f>co2e_mt!S234</f>
        <v>2.9820348867829987</v>
      </c>
      <c r="C234" s="2">
        <f>geracao_mwh!D234</f>
        <v>1007685.2419999961</v>
      </c>
      <c r="D234" s="2">
        <f>geracao_mwh!E234</f>
        <v>829550.54200000083</v>
      </c>
      <c r="E234" s="2">
        <f>geracao_mwh!F234</f>
        <v>3812161.7830000091</v>
      </c>
      <c r="F234" s="2">
        <f>geracao_mwh!G234</f>
        <v>323412.81100000191</v>
      </c>
      <c r="G234" s="2">
        <f>geracao_mwh!H234</f>
        <v>2173258.2100000125</v>
      </c>
      <c r="H234" s="2">
        <f>geracao_mwh!I234</f>
        <v>36749366.995999642</v>
      </c>
      <c r="I234" s="2">
        <f>geracao_mwh!J234</f>
        <v>0</v>
      </c>
      <c r="J234" s="2">
        <f>geracao_mwh!K234</f>
        <v>772153.19299999962</v>
      </c>
      <c r="K234" s="2">
        <f>geracao_mwh!L234</f>
        <v>171324.70399999991</v>
      </c>
      <c r="L234" s="2">
        <f>geracao_mwh!M234</f>
        <v>64165.913999999953</v>
      </c>
      <c r="M234" s="7">
        <f>co2e_mt!H234</f>
        <v>0.125902478145</v>
      </c>
      <c r="N234" s="7">
        <f>co2e_mt!K234</f>
        <v>1.8865835826020068</v>
      </c>
      <c r="O234" s="7">
        <f>co2e_mt!L234</f>
        <v>0.77173670691599239</v>
      </c>
      <c r="P234" s="7">
        <f>co2e_mt!P234</f>
        <v>0.19781211911999991</v>
      </c>
    </row>
    <row r="235" spans="1:16" x14ac:dyDescent="0.3">
      <c r="A235" s="6" t="s">
        <v>196</v>
      </c>
      <c r="B235" s="11">
        <f>co2e_mt!S235</f>
        <v>2.5663261777339872</v>
      </c>
      <c r="C235" s="2">
        <f>geracao_mwh!D235</f>
        <v>1036200.3290000032</v>
      </c>
      <c r="D235" s="2">
        <f>geracao_mwh!E235</f>
        <v>534695.23099999921</v>
      </c>
      <c r="E235" s="2">
        <f>geracao_mwh!F235</f>
        <v>5076147.68899999</v>
      </c>
      <c r="F235" s="2">
        <f>geracao_mwh!G235</f>
        <v>320548.44599999988</v>
      </c>
      <c r="G235" s="2">
        <f>geracao_mwh!H235</f>
        <v>2340201.7159999935</v>
      </c>
      <c r="H235" s="2">
        <f>geracao_mwh!I235</f>
        <v>31875674.76799956</v>
      </c>
      <c r="I235" s="2">
        <f>geracao_mwh!J235</f>
        <v>0</v>
      </c>
      <c r="J235" s="2">
        <f>geracao_mwh!K235</f>
        <v>1426860.2520000003</v>
      </c>
      <c r="K235" s="2">
        <f>geracao_mwh!L235</f>
        <v>21742.779000000002</v>
      </c>
      <c r="L235" s="2">
        <f>geracao_mwh!M235</f>
        <v>64166.678000000022</v>
      </c>
      <c r="M235" s="7">
        <f>co2e_mt!H235</f>
        <v>0.15220510351900005</v>
      </c>
      <c r="N235" s="7">
        <f>co2e_mt!K235</f>
        <v>1.6725679602069961</v>
      </c>
      <c r="O235" s="7">
        <f>co2e_mt!L235</f>
        <v>0.66938917012799082</v>
      </c>
      <c r="P235" s="7">
        <f>co2e_mt!P235</f>
        <v>7.2163943880000025E-2</v>
      </c>
    </row>
    <row r="236" spans="1:16" x14ac:dyDescent="0.3">
      <c r="A236" s="6" t="s">
        <v>197</v>
      </c>
      <c r="B236" s="11">
        <f>co2e_mt!S236</f>
        <v>4.3347469836729839</v>
      </c>
      <c r="C236" s="2">
        <f>geracao_mwh!D236</f>
        <v>1072766.3729999966</v>
      </c>
      <c r="D236" s="2">
        <f>geracao_mwh!E236</f>
        <v>1541740.4100000064</v>
      </c>
      <c r="E236" s="2">
        <f>geracao_mwh!F236</f>
        <v>5047622.0550000444</v>
      </c>
      <c r="F236" s="2">
        <f>geracao_mwh!G236</f>
        <v>349024.85000000044</v>
      </c>
      <c r="G236" s="2">
        <f>geracao_mwh!H236</f>
        <v>3981426.5710000074</v>
      </c>
      <c r="H236" s="2">
        <f>geracao_mwh!I236</f>
        <v>30074841.387998752</v>
      </c>
      <c r="I236" s="2">
        <f>geracao_mwh!J236</f>
        <v>0</v>
      </c>
      <c r="J236" s="2">
        <f>geracao_mwh!K236</f>
        <v>1489606.0759999985</v>
      </c>
      <c r="K236" s="2">
        <f>geracao_mwh!L236</f>
        <v>29110.989999999842</v>
      </c>
      <c r="L236" s="2">
        <f>geracao_mwh!M236</f>
        <v>53203.254000000015</v>
      </c>
      <c r="M236" s="7">
        <f>co2e_mt!H236</f>
        <v>0.15577588564900041</v>
      </c>
      <c r="N236" s="7">
        <f>co2e_mt!K236</f>
        <v>3.4782554639160099</v>
      </c>
      <c r="O236" s="7">
        <f>co2e_mt!L236</f>
        <v>0.6315716691479738</v>
      </c>
      <c r="P236" s="7">
        <f>co2e_mt!P236</f>
        <v>6.9143964959999887E-2</v>
      </c>
    </row>
    <row r="237" spans="1:16" x14ac:dyDescent="0.3">
      <c r="A237" s="6" t="s">
        <v>198</v>
      </c>
      <c r="B237" s="11">
        <f>co2e_mt!S237</f>
        <v>4.8652601038699776</v>
      </c>
      <c r="C237" s="2">
        <f>geracao_mwh!D237</f>
        <v>1093653.7900000128</v>
      </c>
      <c r="D237" s="2">
        <f>geracao_mwh!E237</f>
        <v>1488017.1799999913</v>
      </c>
      <c r="E237" s="2">
        <f>geracao_mwh!F237</f>
        <v>6287175.8940000031</v>
      </c>
      <c r="F237" s="2">
        <f>geracao_mwh!G237</f>
        <v>395355.49400000076</v>
      </c>
      <c r="G237" s="2">
        <f>geracao_mwh!H237</f>
        <v>5216647.360000046</v>
      </c>
      <c r="H237" s="2">
        <f>geracao_mwh!I237</f>
        <v>27992113.018998239</v>
      </c>
      <c r="I237" s="2">
        <f>geracao_mwh!J237</f>
        <v>0</v>
      </c>
      <c r="J237" s="2">
        <f>geracao_mwh!K237</f>
        <v>1500407.2390000003</v>
      </c>
      <c r="K237" s="2">
        <f>geracao_mwh!L237</f>
        <v>27781.17099999986</v>
      </c>
      <c r="L237" s="2">
        <f>geracao_mwh!M237</f>
        <v>64505.795999999966</v>
      </c>
      <c r="M237" s="7">
        <f>co2e_mt!H237</f>
        <v>0.17510886405100073</v>
      </c>
      <c r="N237" s="7">
        <f>co2e_mt!K237</f>
        <v>4.0247958141400142</v>
      </c>
      <c r="O237" s="7">
        <f>co2e_mt!L237</f>
        <v>0.58783437339896305</v>
      </c>
      <c r="P237" s="7">
        <f>co2e_mt!P237</f>
        <v>7.752105227999985E-2</v>
      </c>
    </row>
    <row r="238" spans="1:16" x14ac:dyDescent="0.3">
      <c r="A238" s="6" t="s">
        <v>199</v>
      </c>
      <c r="B238" s="11">
        <f>co2e_mt!S238</f>
        <v>4.8046302659919968</v>
      </c>
      <c r="C238" s="2">
        <f>geracao_mwh!D238</f>
        <v>988790.47300000582</v>
      </c>
      <c r="D238" s="2">
        <f>geracao_mwh!E238</f>
        <v>1472342.1740000003</v>
      </c>
      <c r="E238" s="2">
        <f>geracao_mwh!F238</f>
        <v>5808611.7559999712</v>
      </c>
      <c r="F238" s="2">
        <f>geracao_mwh!G238</f>
        <v>422937.66600000003</v>
      </c>
      <c r="G238" s="2">
        <f>geracao_mwh!H238</f>
        <v>5110331.432000014</v>
      </c>
      <c r="H238" s="2">
        <f>geracao_mwh!I238</f>
        <v>29245572.601999529</v>
      </c>
      <c r="I238" s="2">
        <f>geracao_mwh!J238</f>
        <v>0</v>
      </c>
      <c r="J238" s="2">
        <f>geracao_mwh!K238</f>
        <v>1450156.9140000003</v>
      </c>
      <c r="K238" s="2">
        <f>geracao_mwh!L238</f>
        <v>33082.248999999982</v>
      </c>
      <c r="L238" s="2">
        <f>geracao_mwh!M238</f>
        <v>49144.217999999979</v>
      </c>
      <c r="M238" s="7">
        <f>co2e_mt!H238</f>
        <v>0.16396741694399994</v>
      </c>
      <c r="N238" s="7">
        <f>co2e_mt!K238</f>
        <v>3.9574355921260072</v>
      </c>
      <c r="O238" s="7">
        <f>co2e_mt!L238</f>
        <v>0.61415702464199007</v>
      </c>
      <c r="P238" s="7">
        <f>co2e_mt!P238</f>
        <v>6.9070232279999963E-2</v>
      </c>
    </row>
    <row r="239" spans="1:16" x14ac:dyDescent="0.3">
      <c r="A239" s="6" t="s">
        <v>200</v>
      </c>
      <c r="B239" s="11">
        <f>co2e_mt!S239</f>
        <v>5.2299237386099664</v>
      </c>
      <c r="C239" s="2">
        <f>geracao_mwh!D239</f>
        <v>984317.77700001793</v>
      </c>
      <c r="D239" s="2">
        <f>geracao_mwh!E239</f>
        <v>1540441.3149999958</v>
      </c>
      <c r="E239" s="2">
        <f>geracao_mwh!F239</f>
        <v>5904325.1760000596</v>
      </c>
      <c r="F239" s="2">
        <f>geracao_mwh!G239</f>
        <v>435631.52199999907</v>
      </c>
      <c r="G239" s="2">
        <f>geracao_mwh!H239</f>
        <v>5728912.7069999678</v>
      </c>
      <c r="H239" s="2">
        <f>geracao_mwh!I239</f>
        <v>31710778.861999255</v>
      </c>
      <c r="I239" s="2">
        <f>geracao_mwh!J239</f>
        <v>0</v>
      </c>
      <c r="J239" s="2">
        <f>geracao_mwh!K239</f>
        <v>1455352.5609999998</v>
      </c>
      <c r="K239" s="2">
        <f>geracao_mwh!L239</f>
        <v>52969.136000000239</v>
      </c>
      <c r="L239" s="2">
        <f>geracao_mwh!M239</f>
        <v>32949.388000000014</v>
      </c>
      <c r="M239" s="7">
        <f>co2e_mt!H239</f>
        <v>0.16559249043100166</v>
      </c>
      <c r="N239" s="7">
        <f>co2e_mt!K239</f>
        <v>4.3262333319169803</v>
      </c>
      <c r="O239" s="7">
        <f>co2e_mt!L239</f>
        <v>0.66592635610198436</v>
      </c>
      <c r="P239" s="7">
        <f>co2e_mt!P239</f>
        <v>7.2171560160000217E-2</v>
      </c>
    </row>
    <row r="240" spans="1:16" x14ac:dyDescent="0.3">
      <c r="A240" s="6" t="s">
        <v>201</v>
      </c>
      <c r="B240" s="11">
        <f>co2e_mt!S240</f>
        <v>5.202372345713993</v>
      </c>
      <c r="C240" s="2">
        <f>geracao_mwh!D240</f>
        <v>870089.68100000697</v>
      </c>
      <c r="D240" s="2">
        <f>geracao_mwh!E240</f>
        <v>1623638.5320000038</v>
      </c>
      <c r="E240" s="2">
        <f>geracao_mwh!F240</f>
        <v>5047455.5089999922</v>
      </c>
      <c r="F240" s="2">
        <f>geracao_mwh!G240</f>
        <v>410213.99400000036</v>
      </c>
      <c r="G240" s="2">
        <f>geracao_mwh!H240</f>
        <v>5626199.5779999653</v>
      </c>
      <c r="H240" s="2">
        <f>geracao_mwh!I240</f>
        <v>31038582.207000315</v>
      </c>
      <c r="I240" s="2">
        <f>geracao_mwh!J240</f>
        <v>0</v>
      </c>
      <c r="J240" s="2">
        <f>geracao_mwh!K240</f>
        <v>1445624.7320000001</v>
      </c>
      <c r="K240" s="2">
        <f>geracao_mwh!L240</f>
        <v>34898.953999999969</v>
      </c>
      <c r="L240" s="2">
        <f>geracao_mwh!M240</f>
        <v>17092.767000000011</v>
      </c>
      <c r="M240" s="7">
        <f>co2e_mt!H240</f>
        <v>0.14729390828700026</v>
      </c>
      <c r="N240" s="7">
        <f>co2e_mt!K240</f>
        <v>4.3595951654399876</v>
      </c>
      <c r="O240" s="7">
        <f>co2e_mt!L240</f>
        <v>0.65181022634700658</v>
      </c>
      <c r="P240" s="7">
        <f>co2e_mt!P240</f>
        <v>4.3673045639999984E-2</v>
      </c>
    </row>
    <row r="241" spans="1:16" x14ac:dyDescent="0.3">
      <c r="A241" s="6" t="s">
        <v>202</v>
      </c>
      <c r="B241" s="11">
        <f>co2e_mt!S241</f>
        <v>4.7928762993020104</v>
      </c>
      <c r="C241" s="2">
        <f>geracao_mwh!D241</f>
        <v>505005.06399998482</v>
      </c>
      <c r="D241" s="2">
        <f>geracao_mwh!E241</f>
        <v>1691031.9790000042</v>
      </c>
      <c r="E241" s="2">
        <f>geracao_mwh!F241</f>
        <v>4980091.8969999859</v>
      </c>
      <c r="F241" s="2">
        <f>geracao_mwh!G241</f>
        <v>436811.14300000027</v>
      </c>
      <c r="G241" s="2">
        <f>geracao_mwh!H241</f>
        <v>4542306.5119999954</v>
      </c>
      <c r="H241" s="2">
        <f>geracao_mwh!I241</f>
        <v>33890903.941000454</v>
      </c>
      <c r="I241" s="2">
        <f>geracao_mwh!J241</f>
        <v>0</v>
      </c>
      <c r="J241" s="2">
        <f>geracao_mwh!K241</f>
        <v>1479544.4640000018</v>
      </c>
      <c r="K241" s="2">
        <f>geracao_mwh!L241</f>
        <v>42962.338999999942</v>
      </c>
      <c r="L241" s="2">
        <f>geracao_mwh!M241</f>
        <v>18781.619999999984</v>
      </c>
      <c r="M241" s="7">
        <f>co2e_mt!H241</f>
        <v>0.12901841516999907</v>
      </c>
      <c r="N241" s="7">
        <f>co2e_mt!K241</f>
        <v>3.9002839758110017</v>
      </c>
      <c r="O241" s="7">
        <f>co2e_mt!L241</f>
        <v>0.71170898276100947</v>
      </c>
      <c r="P241" s="7">
        <f>co2e_mt!P241</f>
        <v>5.1864925559999941E-2</v>
      </c>
    </row>
    <row r="242" spans="1:16" x14ac:dyDescent="0.3">
      <c r="A242" s="6" t="s">
        <v>203</v>
      </c>
      <c r="B242" s="11">
        <f>co2e_mt!S242</f>
        <v>5.4519995578990192</v>
      </c>
      <c r="C242" s="2">
        <f>geracao_mwh!D242</f>
        <v>349381.01299999229</v>
      </c>
      <c r="D242" s="2">
        <f>geracao_mwh!E242</f>
        <v>1767726.0920000081</v>
      </c>
      <c r="E242" s="2">
        <f>geracao_mwh!F242</f>
        <v>2685623.67300004</v>
      </c>
      <c r="F242" s="2">
        <f>geracao_mwh!G242</f>
        <v>379341.3520000006</v>
      </c>
      <c r="G242" s="2">
        <f>geracao_mwh!H242</f>
        <v>5656003.7785000214</v>
      </c>
      <c r="H242" s="2">
        <f>geracao_mwh!I242</f>
        <v>38002834.142000027</v>
      </c>
      <c r="I242" s="2">
        <f>geracao_mwh!J242</f>
        <v>0</v>
      </c>
      <c r="J242" s="2">
        <f>geracao_mwh!K242</f>
        <v>1158648.0209999997</v>
      </c>
      <c r="K242" s="2">
        <f>geracao_mwh!L242</f>
        <v>43330.387999999963</v>
      </c>
      <c r="L242" s="2">
        <f>geracao_mwh!M242</f>
        <v>17590.283000000007</v>
      </c>
      <c r="M242" s="7">
        <f>co2e_mt!H242</f>
        <v>8.4455022834000137E-2</v>
      </c>
      <c r="N242" s="7">
        <f>co2e_mt!K242</f>
        <v>4.5183116544430177</v>
      </c>
      <c r="O242" s="7">
        <f>co2e_mt!L242</f>
        <v>0.79805951698200062</v>
      </c>
      <c r="P242" s="7">
        <f>co2e_mt!P242</f>
        <v>5.1173363639999976E-2</v>
      </c>
    </row>
    <row r="243" spans="1:16" x14ac:dyDescent="0.3">
      <c r="A243" s="6" t="s">
        <v>204</v>
      </c>
      <c r="B243" s="11">
        <f>co2e_mt!S243</f>
        <v>3.5516615060179939</v>
      </c>
      <c r="C243" s="2">
        <f>geracao_mwh!D243</f>
        <v>318593.78099999763</v>
      </c>
      <c r="D243" s="2">
        <f>geracao_mwh!E243</f>
        <v>1000854.5270000005</v>
      </c>
      <c r="E243" s="2">
        <f>geracao_mwh!F243</f>
        <v>2710305.1270000217</v>
      </c>
      <c r="F243" s="2">
        <f>geracao_mwh!G243</f>
        <v>357365.28399999975</v>
      </c>
      <c r="G243" s="2">
        <f>geracao_mwh!H243</f>
        <v>3349399.1599999759</v>
      </c>
      <c r="H243" s="2">
        <f>geracao_mwh!I243</f>
        <v>38257641.984000206</v>
      </c>
      <c r="I243" s="2">
        <f>geracao_mwh!J243</f>
        <v>0</v>
      </c>
      <c r="J243" s="2">
        <f>geracao_mwh!K243</f>
        <v>948638.2640000009</v>
      </c>
      <c r="K243" s="2">
        <f>geracao_mwh!L243</f>
        <v>30314.234999999888</v>
      </c>
      <c r="L243" s="2">
        <f>geracao_mwh!M243</f>
        <v>16218.864000000005</v>
      </c>
      <c r="M243" s="7">
        <f>co2e_mt!H243</f>
        <v>7.9499847907000154E-2</v>
      </c>
      <c r="N243" s="7">
        <f>co2e_mt!K243</f>
        <v>2.6296633732869892</v>
      </c>
      <c r="O243" s="7">
        <f>co2e_mt!L243</f>
        <v>0.80341048166400431</v>
      </c>
      <c r="P243" s="7">
        <f>co2e_mt!P243</f>
        <v>3.9087803159999907E-2</v>
      </c>
    </row>
    <row r="244" spans="1:16" x14ac:dyDescent="0.3">
      <c r="A244" s="6" t="s">
        <v>205</v>
      </c>
      <c r="B244" s="11">
        <f>co2e_mt!S244</f>
        <v>2.9257718055639961</v>
      </c>
      <c r="C244" s="2">
        <f>geracao_mwh!D244</f>
        <v>475987.98299999523</v>
      </c>
      <c r="D244" s="2">
        <f>geracao_mwh!E244</f>
        <v>643318.20000000007</v>
      </c>
      <c r="E244" s="2">
        <f>geracao_mwh!F244</f>
        <v>2215236.9189999998</v>
      </c>
      <c r="F244" s="2">
        <f>geracao_mwh!G244</f>
        <v>419482.93699999875</v>
      </c>
      <c r="G244" s="2">
        <f>geracao_mwh!H244</f>
        <v>2616896.5279999808</v>
      </c>
      <c r="H244" s="2">
        <f>geracao_mwh!I244</f>
        <v>40523657.359000288</v>
      </c>
      <c r="I244" s="2">
        <f>geracao_mwh!J244</f>
        <v>0</v>
      </c>
      <c r="J244" s="2">
        <f>geracao_mwh!K244</f>
        <v>1282120.8909999998</v>
      </c>
      <c r="K244" s="2">
        <f>geracao_mwh!L244</f>
        <v>4176.8449999999984</v>
      </c>
      <c r="L244" s="2">
        <f>geracao_mwh!M244</f>
        <v>80045.746999999974</v>
      </c>
      <c r="M244" s="7">
        <f>co2e_mt!H244</f>
        <v>8.8254792936999699E-2</v>
      </c>
      <c r="N244" s="7">
        <f>co2e_mt!K244</f>
        <v>1.9157732308079907</v>
      </c>
      <c r="O244" s="7">
        <f>co2e_mt!L244</f>
        <v>0.85099680453900606</v>
      </c>
      <c r="P244" s="7">
        <f>co2e_mt!P244</f>
        <v>7.074697727999997E-2</v>
      </c>
    </row>
    <row r="245" spans="1:16" x14ac:dyDescent="0.3">
      <c r="A245" s="6" t="s">
        <v>206</v>
      </c>
      <c r="B245" s="11">
        <f>co2e_mt!S245</f>
        <v>2.1102506467409801</v>
      </c>
      <c r="C245" s="2">
        <f>geracao_mwh!D245</f>
        <v>833919.21300000686</v>
      </c>
      <c r="D245" s="2">
        <f>geracao_mwh!E245</f>
        <v>202915.35899999944</v>
      </c>
      <c r="E245" s="2">
        <f>geracao_mwh!F245</f>
        <v>3039063.0660000322</v>
      </c>
      <c r="F245" s="2">
        <f>geracao_mwh!G245</f>
        <v>438444.34199999867</v>
      </c>
      <c r="G245" s="2">
        <f>geracao_mwh!H245</f>
        <v>2068551.7990000017</v>
      </c>
      <c r="H245" s="2">
        <f>geracao_mwh!I245</f>
        <v>32258891.119998984</v>
      </c>
      <c r="I245" s="2">
        <f>geracao_mwh!J245</f>
        <v>0</v>
      </c>
      <c r="J245" s="2">
        <f>geracao_mwh!K245</f>
        <v>1358751.6360000006</v>
      </c>
      <c r="K245" s="2">
        <f>geracao_mwh!L245</f>
        <v>7607.1380000000172</v>
      </c>
      <c r="L245" s="2">
        <f>geracao_mwh!M245</f>
        <v>117382.13300000013</v>
      </c>
      <c r="M245" s="7">
        <f>co2e_mt!H245</f>
        <v>0.11938849690800073</v>
      </c>
      <c r="N245" s="7">
        <f>co2e_mt!K245</f>
        <v>1.2084344486730003</v>
      </c>
      <c r="O245" s="7">
        <f>co2e_mt!L245</f>
        <v>0.67743671351997858</v>
      </c>
      <c r="P245" s="7">
        <f>co2e_mt!P245</f>
        <v>0.10499098764000012</v>
      </c>
    </row>
    <row r="246" spans="1:16" x14ac:dyDescent="0.3">
      <c r="A246" s="6" t="s">
        <v>207</v>
      </c>
      <c r="B246" s="11">
        <f>co2e_mt!S246</f>
        <v>2.3063364015959937</v>
      </c>
      <c r="C246" s="2">
        <f>geracao_mwh!D246</f>
        <v>1079309.9110000096</v>
      </c>
      <c r="D246" s="2">
        <f>geracao_mwh!E246</f>
        <v>478775.06800000026</v>
      </c>
      <c r="E246" s="2">
        <f>geracao_mwh!F246</f>
        <v>3764506.8270000033</v>
      </c>
      <c r="F246" s="2">
        <f>geracao_mwh!G246</f>
        <v>442067.47299999901</v>
      </c>
      <c r="G246" s="2">
        <f>geracao_mwh!H246</f>
        <v>1965848.8720000086</v>
      </c>
      <c r="H246" s="2">
        <f>geracao_mwh!I246</f>
        <v>31473563.433999453</v>
      </c>
      <c r="I246" s="2">
        <f>geracao_mwh!J246</f>
        <v>0</v>
      </c>
      <c r="J246" s="2">
        <f>geracao_mwh!K246</f>
        <v>1481693.3600000006</v>
      </c>
      <c r="K246" s="2">
        <f>geracao_mwh!L246</f>
        <v>7707.9590000000062</v>
      </c>
      <c r="L246" s="2">
        <f>geracao_mwh!M246</f>
        <v>72531.988000000027</v>
      </c>
      <c r="M246" s="7">
        <f>co2e_mt!H246</f>
        <v>0.14333361914200049</v>
      </c>
      <c r="N246" s="7">
        <f>co2e_mt!K246</f>
        <v>1.4346563948600044</v>
      </c>
      <c r="O246" s="7">
        <f>co2e_mt!L246</f>
        <v>0.66094483211398858</v>
      </c>
      <c r="P246" s="7">
        <f>co2e_mt!P246</f>
        <v>6.7401555480000028E-2</v>
      </c>
    </row>
    <row r="247" spans="1:16" x14ac:dyDescent="0.3">
      <c r="A247" s="6" t="s">
        <v>208</v>
      </c>
      <c r="B247" s="11">
        <f>co2e_mt!S247</f>
        <v>2.5972065486599947</v>
      </c>
      <c r="C247" s="2">
        <f>geracao_mwh!D247</f>
        <v>1109099.0680000004</v>
      </c>
      <c r="D247" s="2">
        <f>geracao_mwh!E247</f>
        <v>610747.00700000033</v>
      </c>
      <c r="E247" s="2">
        <f>geracao_mwh!F247</f>
        <v>4842815.9800000032</v>
      </c>
      <c r="F247" s="2">
        <f>geracao_mwh!G247</f>
        <v>442659.85399999941</v>
      </c>
      <c r="G247" s="2">
        <f>geracao_mwh!H247</f>
        <v>2399894.5549999895</v>
      </c>
      <c r="H247" s="2">
        <f>geracao_mwh!I247</f>
        <v>30118870.358999975</v>
      </c>
      <c r="I247" s="2">
        <f>geracao_mwh!J247</f>
        <v>0</v>
      </c>
      <c r="J247" s="2">
        <f>geracao_mwh!K247</f>
        <v>1036979.6019999997</v>
      </c>
      <c r="K247" s="2">
        <f>geracao_mwh!L247</f>
        <v>3902.0360000000019</v>
      </c>
      <c r="L247" s="2">
        <f>geracao_mwh!M247</f>
        <v>36406.172999999995</v>
      </c>
      <c r="M247" s="7">
        <f>co2e_mt!H247</f>
        <v>0.15314486782400002</v>
      </c>
      <c r="N247" s="7">
        <f>co2e_mt!K247</f>
        <v>1.7777065077369951</v>
      </c>
      <c r="O247" s="7">
        <f>co2e_mt!L247</f>
        <v>0.6324962775389994</v>
      </c>
      <c r="P247" s="7">
        <f>co2e_mt!P247</f>
        <v>3.3858895559999991E-2</v>
      </c>
    </row>
    <row r="248" spans="1:16" x14ac:dyDescent="0.3">
      <c r="A248" s="6" t="s">
        <v>209</v>
      </c>
      <c r="B248" s="11">
        <f>co2e_mt!S248</f>
        <v>2.4780782185310049</v>
      </c>
      <c r="C248" s="2">
        <f>geracao_mwh!D248</f>
        <v>1181655.6440000013</v>
      </c>
      <c r="D248" s="2">
        <f>geracao_mwh!E248</f>
        <v>507278.99199999939</v>
      </c>
      <c r="E248" s="2">
        <f>geracao_mwh!F248</f>
        <v>5710243.9250000054</v>
      </c>
      <c r="F248" s="2">
        <f>geracao_mwh!G248</f>
        <v>476360.39999999956</v>
      </c>
      <c r="G248" s="2">
        <f>geracao_mwh!H248</f>
        <v>2227369.6080000023</v>
      </c>
      <c r="H248" s="2">
        <f>geracao_mwh!I248</f>
        <v>32694052.882000219</v>
      </c>
      <c r="I248" s="2">
        <f>geracao_mwh!J248</f>
        <v>0</v>
      </c>
      <c r="J248" s="2">
        <f>geracao_mwh!K248</f>
        <v>469185.75199999969</v>
      </c>
      <c r="K248" s="2">
        <f>geracao_mwh!L248</f>
        <v>1290.2599999999998</v>
      </c>
      <c r="L248" s="2">
        <f>geracao_mwh!M248</f>
        <v>45082.396000000059</v>
      </c>
      <c r="M248" s="7">
        <f>co2e_mt!H248</f>
        <v>0.1622621764890001</v>
      </c>
      <c r="N248" s="7">
        <f>co2e_mt!K248</f>
        <v>1.5902879004800003</v>
      </c>
      <c r="O248" s="7">
        <f>co2e_mt!L248</f>
        <v>0.68657511052200448</v>
      </c>
      <c r="P248" s="7">
        <f>co2e_mt!P248</f>
        <v>3.8953031040000051E-2</v>
      </c>
    </row>
    <row r="249" spans="1:16" x14ac:dyDescent="0.3">
      <c r="A249" s="6" t="s">
        <v>210</v>
      </c>
      <c r="B249" s="11">
        <f>co2e_mt!S249</f>
        <v>2.5395551485000101</v>
      </c>
      <c r="C249" s="2">
        <f>geracao_mwh!D249</f>
        <v>1086053.2779999846</v>
      </c>
      <c r="D249" s="2">
        <f>geracao_mwh!E249</f>
        <v>513325.49900000024</v>
      </c>
      <c r="E249" s="2">
        <f>geracao_mwh!F249</f>
        <v>6607650.6509999791</v>
      </c>
      <c r="F249" s="2">
        <f>geracao_mwh!G249</f>
        <v>505790.45800000138</v>
      </c>
      <c r="G249" s="2">
        <f>geracao_mwh!H249</f>
        <v>2338104.355000014</v>
      </c>
      <c r="H249" s="2">
        <f>geracao_mwh!I249</f>
        <v>32195047.103000194</v>
      </c>
      <c r="I249" s="2">
        <f>geracao_mwh!J249</f>
        <v>0</v>
      </c>
      <c r="J249" s="2">
        <f>geracao_mwh!K249</f>
        <v>872388.71500000136</v>
      </c>
      <c r="K249" s="2">
        <f>geracao_mwh!L249</f>
        <v>2492.5370000000003</v>
      </c>
      <c r="L249" s="2">
        <f>geracao_mwh!M249</f>
        <v>42551.923000000032</v>
      </c>
      <c r="M249" s="7">
        <f>co2e_mt!H249</f>
        <v>0.17546427190799899</v>
      </c>
      <c r="N249" s="7">
        <f>co2e_mt!K249</f>
        <v>1.650157541029007</v>
      </c>
      <c r="O249" s="7">
        <f>co2e_mt!L249</f>
        <v>0.67609598916300406</v>
      </c>
      <c r="P249" s="7">
        <f>co2e_mt!P249</f>
        <v>3.7837346400000027E-2</v>
      </c>
    </row>
    <row r="250" spans="1:16" x14ac:dyDescent="0.3">
      <c r="A250" s="6" t="s">
        <v>211</v>
      </c>
      <c r="B250" s="11">
        <f>co2e_mt!S250</f>
        <v>2.3987035424229912</v>
      </c>
      <c r="C250" s="2">
        <f>geracao_mwh!D250</f>
        <v>1097080.8480000033</v>
      </c>
      <c r="D250" s="2">
        <f>geracao_mwh!E250</f>
        <v>411815.60899999924</v>
      </c>
      <c r="E250" s="2">
        <f>geracao_mwh!F250</f>
        <v>6420482.0029999297</v>
      </c>
      <c r="F250" s="2">
        <f>geracao_mwh!G250</f>
        <v>542795.27400000102</v>
      </c>
      <c r="G250" s="2">
        <f>geracao_mwh!H250</f>
        <v>2143234.4900000053</v>
      </c>
      <c r="H250" s="2">
        <f>geracao_mwh!I250</f>
        <v>34076338.096999526</v>
      </c>
      <c r="I250" s="2">
        <f>geracao_mwh!J250</f>
        <v>0</v>
      </c>
      <c r="J250" s="2">
        <f>geracao_mwh!K250</f>
        <v>1341182.799999998</v>
      </c>
      <c r="K250" s="2">
        <f>geracao_mwh!L250</f>
        <v>1806.3000000000004</v>
      </c>
      <c r="L250" s="2">
        <f>geracao_mwh!M250</f>
        <v>55302.048000000039</v>
      </c>
      <c r="M250" s="7">
        <f>co2e_mt!H250</f>
        <v>0.1812900433169993</v>
      </c>
      <c r="N250" s="7">
        <f>co2e_mt!K250</f>
        <v>1.4538393867490018</v>
      </c>
      <c r="O250" s="7">
        <f>co2e_mt!L250</f>
        <v>0.71560310003699013</v>
      </c>
      <c r="P250" s="7">
        <f>co2e_mt!P250</f>
        <v>4.7971012320000034E-2</v>
      </c>
    </row>
    <row r="251" spans="1:16" x14ac:dyDescent="0.3">
      <c r="A251" s="6" t="s">
        <v>212</v>
      </c>
      <c r="B251" s="11">
        <f>co2e_mt!S251</f>
        <v>5.2970171201969771</v>
      </c>
      <c r="C251" s="2">
        <f>geracao_mwh!D251</f>
        <v>1067783.8289999941</v>
      </c>
      <c r="D251" s="2">
        <f>geracao_mwh!E251</f>
        <v>1489177.6419999967</v>
      </c>
      <c r="E251" s="2">
        <f>geracao_mwh!F251</f>
        <v>5541280.4220000077</v>
      </c>
      <c r="F251" s="2">
        <f>geracao_mwh!G251</f>
        <v>506317.30300000106</v>
      </c>
      <c r="G251" s="2">
        <f>geracao_mwh!H251</f>
        <v>5179543.4019999765</v>
      </c>
      <c r="H251" s="2">
        <f>geracao_mwh!I251</f>
        <v>33198606.394999713</v>
      </c>
      <c r="I251" s="2">
        <f>geracao_mwh!J251</f>
        <v>0</v>
      </c>
      <c r="J251" s="2">
        <f>geracao_mwh!K251</f>
        <v>1381018.3649999993</v>
      </c>
      <c r="K251" s="2">
        <f>geracao_mwh!L251</f>
        <v>328753.20499999961</v>
      </c>
      <c r="L251" s="2">
        <f>geracao_mwh!M251</f>
        <v>176764.87299999988</v>
      </c>
      <c r="M251" s="7">
        <f>co2e_mt!H251</f>
        <v>0.16728628736799983</v>
      </c>
      <c r="N251" s="7">
        <f>co2e_mt!K251</f>
        <v>4.0079249130139853</v>
      </c>
      <c r="O251" s="7">
        <f>co2e_mt!L251</f>
        <v>0.69717073429499399</v>
      </c>
      <c r="P251" s="7">
        <f>co2e_mt!P251</f>
        <v>0.42463518551999957</v>
      </c>
    </row>
    <row r="252" spans="1:16" x14ac:dyDescent="0.3">
      <c r="A252" s="6" t="s">
        <v>213</v>
      </c>
      <c r="B252" s="11">
        <f>co2e_mt!S252</f>
        <v>5.8817666668130011</v>
      </c>
      <c r="C252" s="2">
        <f>geracao_mwh!D252</f>
        <v>901729.81700000027</v>
      </c>
      <c r="D252" s="2">
        <f>geracao_mwh!E252</f>
        <v>1480389.7089999998</v>
      </c>
      <c r="E252" s="2">
        <f>geracao_mwh!F252</f>
        <v>4959528.0170000214</v>
      </c>
      <c r="F252" s="2">
        <f>geracao_mwh!G252</f>
        <v>445437.18099999998</v>
      </c>
      <c r="G252" s="2">
        <f>geracao_mwh!H252</f>
        <v>6022585.3200000012</v>
      </c>
      <c r="H252" s="2">
        <f>geracao_mwh!I252</f>
        <v>29327855.676000081</v>
      </c>
      <c r="I252" s="2">
        <f>geracao_mwh!J252</f>
        <v>0</v>
      </c>
      <c r="J252" s="2">
        <f>geracao_mwh!K252</f>
        <v>1340054.7400000002</v>
      </c>
      <c r="K252" s="2">
        <f>geracao_mwh!L252</f>
        <v>516825.97899999755</v>
      </c>
      <c r="L252" s="2">
        <f>geracao_mwh!M252</f>
        <v>327336.88800000038</v>
      </c>
      <c r="M252" s="7">
        <f>co2e_mt!H252</f>
        <v>0.14793832510800028</v>
      </c>
      <c r="N252" s="7">
        <f>co2e_mt!K252</f>
        <v>4.408846564229</v>
      </c>
      <c r="O252" s="7">
        <f>co2e_mt!L252</f>
        <v>0.61588496919600166</v>
      </c>
      <c r="P252" s="7">
        <f>co2e_mt!P252</f>
        <v>0.70909680827999821</v>
      </c>
    </row>
    <row r="253" spans="1:16" x14ac:dyDescent="0.3">
      <c r="A253" s="6" t="s">
        <v>214</v>
      </c>
      <c r="B253" s="11">
        <f>co2e_mt!S253</f>
        <v>6.0880075955480129</v>
      </c>
      <c r="C253" s="2">
        <f>geracao_mwh!D253</f>
        <v>512917.2920000024</v>
      </c>
      <c r="D253" s="2">
        <f>geracao_mwh!E253</f>
        <v>1779262.5060000108</v>
      </c>
      <c r="E253" s="2">
        <f>geracao_mwh!F253</f>
        <v>5414912.7059999714</v>
      </c>
      <c r="F253" s="2">
        <f>geracao_mwh!G253</f>
        <v>457104.20799999894</v>
      </c>
      <c r="G253" s="2">
        <f>geracao_mwh!H253</f>
        <v>6030856.5770000182</v>
      </c>
      <c r="H253" s="2">
        <f>geracao_mwh!I253</f>
        <v>32543576.041999705</v>
      </c>
      <c r="I253" s="2">
        <f>geracao_mwh!J253</f>
        <v>0</v>
      </c>
      <c r="J253" s="2">
        <f>geracao_mwh!K253</f>
        <v>1378191.4640000002</v>
      </c>
      <c r="K253" s="2">
        <f>geracao_mwh!L253</f>
        <v>413256.60500000004</v>
      </c>
      <c r="L253" s="2">
        <f>geracao_mwh!M253</f>
        <v>250930.17999999947</v>
      </c>
      <c r="M253" s="7">
        <f>co2e_mt!H253</f>
        <v>0.13463753433799971</v>
      </c>
      <c r="N253" s="7">
        <f>co2e_mt!K253</f>
        <v>4.7120380649280191</v>
      </c>
      <c r="O253" s="7">
        <f>co2e_mt!L253</f>
        <v>0.68341509688199376</v>
      </c>
      <c r="P253" s="7">
        <f>co2e_mt!P253</f>
        <v>0.55791689939999967</v>
      </c>
    </row>
    <row r="254" spans="1:16" x14ac:dyDescent="0.3">
      <c r="A254" s="6" t="s">
        <v>215</v>
      </c>
      <c r="B254" s="11">
        <f>co2e_mt!S254</f>
        <v>6.1506966230710125</v>
      </c>
      <c r="C254" s="2">
        <f>geracao_mwh!D254</f>
        <v>291538.10200000874</v>
      </c>
      <c r="D254" s="2">
        <f>geracao_mwh!E254</f>
        <v>1601137.2580000067</v>
      </c>
      <c r="E254" s="2">
        <f>geracao_mwh!F254</f>
        <v>5356499.2909999983</v>
      </c>
      <c r="F254" s="2">
        <f>geracao_mwh!G254</f>
        <v>507612.56300000066</v>
      </c>
      <c r="G254" s="2">
        <f>geracao_mwh!H254</f>
        <v>5869750.5759999976</v>
      </c>
      <c r="H254" s="2">
        <f>geracao_mwh!I254</f>
        <v>34376214.609000407</v>
      </c>
      <c r="I254" s="2">
        <f>geracao_mwh!J254</f>
        <v>0</v>
      </c>
      <c r="J254" s="2">
        <f>geracao_mwh!K254</f>
        <v>1375287.6239999973</v>
      </c>
      <c r="K254" s="2">
        <f>geracao_mwh!L254</f>
        <v>718760.82699999854</v>
      </c>
      <c r="L254" s="2">
        <f>geracao_mwh!M254</f>
        <v>291784.8749999993</v>
      </c>
      <c r="M254" s="7">
        <f>co2e_mt!H254</f>
        <v>0.12450055140800041</v>
      </c>
      <c r="N254" s="7">
        <f>co2e_mt!K254</f>
        <v>4.455437175194005</v>
      </c>
      <c r="O254" s="7">
        <f>co2e_mt!L254</f>
        <v>0.72190050678900852</v>
      </c>
      <c r="P254" s="7">
        <f>co2e_mt!P254</f>
        <v>0.84885838967999816</v>
      </c>
    </row>
    <row r="255" spans="1:16" x14ac:dyDescent="0.3">
      <c r="A255" s="6" t="s">
        <v>78</v>
      </c>
      <c r="B255" s="11">
        <f>co2e_mt!S255</f>
        <v>4.2386772368780141</v>
      </c>
      <c r="C255" s="2">
        <f>geracao_mwh!D255</f>
        <v>236097.26200000863</v>
      </c>
      <c r="D255" s="2">
        <f>geracao_mwh!E255</f>
        <v>1261537.1450000023</v>
      </c>
      <c r="E255" s="2">
        <f>geracao_mwh!F255</f>
        <v>3463660.9820000627</v>
      </c>
      <c r="F255" s="2">
        <f>geracao_mwh!G255</f>
        <v>405105.4609999996</v>
      </c>
      <c r="G255" s="2">
        <f>geracao_mwh!H255</f>
        <v>3837334.3320000181</v>
      </c>
      <c r="H255" s="2">
        <f>geracao_mwh!I255</f>
        <v>34966420.591000058</v>
      </c>
      <c r="I255" s="2">
        <f>geracao_mwh!J255</f>
        <v>0</v>
      </c>
      <c r="J255" s="2">
        <f>geracao_mwh!K255</f>
        <v>1238813.3689999999</v>
      </c>
      <c r="K255" s="2">
        <f>geracao_mwh!L255</f>
        <v>241722.61800000031</v>
      </c>
      <c r="L255" s="2">
        <f>geracao_mwh!M255</f>
        <v>98527.951000000117</v>
      </c>
      <c r="M255" s="7">
        <f>co2e_mt!H255</f>
        <v>9.0828759010001259E-2</v>
      </c>
      <c r="N255" s="7">
        <f>co2e_mt!K255</f>
        <v>3.1277431674970111</v>
      </c>
      <c r="O255" s="7">
        <f>co2e_mt!L255</f>
        <v>0.73429483241100124</v>
      </c>
      <c r="P255" s="7">
        <f>co2e_mt!P255</f>
        <v>0.28581047796000036</v>
      </c>
    </row>
    <row r="256" spans="1:16" x14ac:dyDescent="0.3">
      <c r="A256" s="6" t="s">
        <v>80</v>
      </c>
      <c r="B256" s="11">
        <f>co2e_mt!S256</f>
        <v>4.0289763220489752</v>
      </c>
      <c r="C256" s="2">
        <f>geracao_mwh!D256</f>
        <v>240030.2039999988</v>
      </c>
      <c r="D256" s="2">
        <f>geracao_mwh!E256</f>
        <v>779020.91899999988</v>
      </c>
      <c r="E256" s="2">
        <f>geracao_mwh!F256</f>
        <v>4032722.0180000011</v>
      </c>
      <c r="F256" s="2">
        <f>geracao_mwh!G256</f>
        <v>634787.68699999794</v>
      </c>
      <c r="G256" s="2">
        <f>geracao_mwh!H256</f>
        <v>4312033.8879999733</v>
      </c>
      <c r="H256" s="2">
        <f>geracao_mwh!I256</f>
        <v>40894459.390999451</v>
      </c>
      <c r="I256" s="2">
        <f>geracao_mwh!J256</f>
        <v>0</v>
      </c>
      <c r="J256" s="2">
        <f>geracao_mwh!K256</f>
        <v>1373720.1360000011</v>
      </c>
      <c r="K256" s="2">
        <f>geracao_mwh!L256</f>
        <v>202762.09600000002</v>
      </c>
      <c r="L256" s="2">
        <f>geracao_mwh!M256</f>
        <v>17098.708999999999</v>
      </c>
      <c r="M256" s="7">
        <f>co2e_mt!H256</f>
        <v>0.11006118915099988</v>
      </c>
      <c r="N256" s="7">
        <f>co2e_mt!K256</f>
        <v>2.875448409486987</v>
      </c>
      <c r="O256" s="7">
        <f>co2e_mt!L256</f>
        <v>0.85878364721098854</v>
      </c>
      <c r="P256" s="7">
        <f>co2e_mt!P256</f>
        <v>0.18468307620000002</v>
      </c>
    </row>
    <row r="257" spans="1:16" x14ac:dyDescent="0.3">
      <c r="A257" s="6" t="s">
        <v>82</v>
      </c>
      <c r="B257" s="11">
        <f>co2e_mt!S257</f>
        <v>3.9083246509550214</v>
      </c>
      <c r="C257" s="2">
        <f>geracao_mwh!D257</f>
        <v>669043.33300000115</v>
      </c>
      <c r="D257" s="2">
        <f>geracao_mwh!E257</f>
        <v>740975.60900000005</v>
      </c>
      <c r="E257" s="2">
        <f>geracao_mwh!F257</f>
        <v>4513712.2150000101</v>
      </c>
      <c r="F257" s="2">
        <f>geracao_mwh!G257</f>
        <v>641438.99800000107</v>
      </c>
      <c r="G257" s="2">
        <f>geracao_mwh!H257</f>
        <v>4193699.1240000455</v>
      </c>
      <c r="H257" s="2">
        <f>geracao_mwh!I257</f>
        <v>35332834.339999937</v>
      </c>
      <c r="I257" s="2">
        <f>geracao_mwh!J257</f>
        <v>0</v>
      </c>
      <c r="J257" s="2">
        <f>geracao_mwh!K257</f>
        <v>1110495.8890000004</v>
      </c>
      <c r="K257" s="2">
        <f>geracao_mwh!L257</f>
        <v>162653.9040000003</v>
      </c>
      <c r="L257" s="2">
        <f>geracao_mwh!M257</f>
        <v>136148.39999999991</v>
      </c>
      <c r="M257" s="7">
        <f>co2e_mt!H257</f>
        <v>0.13548683558200025</v>
      </c>
      <c r="N257" s="7">
        <f>co2e_mt!K257</f>
        <v>2.7798543588730222</v>
      </c>
      <c r="O257" s="7">
        <f>co2e_mt!L257</f>
        <v>0.74198952113999883</v>
      </c>
      <c r="P257" s="7">
        <f>co2e_mt!P257</f>
        <v>0.25099393536000014</v>
      </c>
    </row>
    <row r="258" spans="1:16" x14ac:dyDescent="0.3">
      <c r="A258" s="6" t="s">
        <v>84</v>
      </c>
      <c r="B258" s="11">
        <f>co2e_mt!S258</f>
        <v>4.2997888024750024</v>
      </c>
      <c r="C258" s="2">
        <f>geracao_mwh!D258</f>
        <v>954270.46999999555</v>
      </c>
      <c r="D258" s="2">
        <f>geracao_mwh!E258</f>
        <v>1059848.267999999</v>
      </c>
      <c r="E258" s="2">
        <f>geracao_mwh!F258</f>
        <v>5293499.6850000201</v>
      </c>
      <c r="F258" s="2">
        <f>geracao_mwh!G258</f>
        <v>700597.11000000138</v>
      </c>
      <c r="G258" s="2">
        <f>geracao_mwh!H258</f>
        <v>4333720.2420000276</v>
      </c>
      <c r="H258" s="2">
        <f>geracao_mwh!I258</f>
        <v>33616530.629999489</v>
      </c>
      <c r="I258" s="2">
        <f>geracao_mwh!J258</f>
        <v>0</v>
      </c>
      <c r="J258" s="2">
        <f>geracao_mwh!K258</f>
        <v>1078741.129999999</v>
      </c>
      <c r="K258" s="2">
        <f>geracao_mwh!L258</f>
        <v>216812.17300000039</v>
      </c>
      <c r="L258" s="2">
        <f>geracao_mwh!M258</f>
        <v>97662.392000000051</v>
      </c>
      <c r="M258" s="7">
        <f>co2e_mt!H258</f>
        <v>0.16258687076500006</v>
      </c>
      <c r="N258" s="7">
        <f>co2e_mt!K258</f>
        <v>3.1670961538800126</v>
      </c>
      <c r="O258" s="7">
        <f>co2e_mt!L258</f>
        <v>0.7059471432299893</v>
      </c>
      <c r="P258" s="7">
        <f>co2e_mt!P258</f>
        <v>0.26415863460000033</v>
      </c>
    </row>
    <row r="259" spans="1:16" x14ac:dyDescent="0.3">
      <c r="A259" s="6" t="s">
        <v>86</v>
      </c>
      <c r="B259" s="11">
        <f>co2e_mt!S259</f>
        <v>6.373159525949978</v>
      </c>
      <c r="C259" s="2">
        <f>geracao_mwh!D259</f>
        <v>1041493.3789999997</v>
      </c>
      <c r="D259" s="2">
        <f>geracao_mwh!E259</f>
        <v>1583648.400999998</v>
      </c>
      <c r="E259" s="2">
        <f>geracao_mwh!F259</f>
        <v>5833402.7230000272</v>
      </c>
      <c r="F259" s="2">
        <f>geracao_mwh!G259</f>
        <v>726632.59600000002</v>
      </c>
      <c r="G259" s="2">
        <f>geracao_mwh!H259</f>
        <v>5718815.5109999627</v>
      </c>
      <c r="H259" s="2">
        <f>geracao_mwh!I259</f>
        <v>27810533.470999982</v>
      </c>
      <c r="I259" s="2">
        <f>geracao_mwh!J259</f>
        <v>0</v>
      </c>
      <c r="J259" s="2">
        <f>geracao_mwh!K259</f>
        <v>578932.38899999997</v>
      </c>
      <c r="K259" s="2">
        <f>geracao_mwh!L259</f>
        <v>1146626.982999997</v>
      </c>
      <c r="L259" s="2">
        <f>geracao_mwh!M259</f>
        <v>348371.49500000023</v>
      </c>
      <c r="M259" s="7">
        <f>co2e_mt!H259</f>
        <v>0.16876321379200038</v>
      </c>
      <c r="N259" s="7">
        <f>co2e_mt!K259</f>
        <v>4.3645763877469799</v>
      </c>
      <c r="O259" s="7">
        <f>co2e_mt!L259</f>
        <v>0.58402120289099968</v>
      </c>
      <c r="P259" s="7">
        <f>co2e_mt!P259</f>
        <v>1.2557987215199975</v>
      </c>
    </row>
    <row r="260" spans="1:16" x14ac:dyDescent="0.3">
      <c r="A260" s="6" t="s">
        <v>88</v>
      </c>
      <c r="B260" s="11">
        <f>co2e_mt!S260</f>
        <v>6.7348114144039508</v>
      </c>
      <c r="C260" s="2">
        <f>geracao_mwh!D260</f>
        <v>1203885.8370000024</v>
      </c>
      <c r="D260" s="2">
        <f>geracao_mwh!E260</f>
        <v>1552713.1779999959</v>
      </c>
      <c r="E260" s="2">
        <f>geracao_mwh!F260</f>
        <v>7224245.3920000494</v>
      </c>
      <c r="F260" s="2">
        <f>geracao_mwh!G260</f>
        <v>767360.73400000331</v>
      </c>
      <c r="G260" s="2">
        <f>geracao_mwh!H260</f>
        <v>6788424.1629999075</v>
      </c>
      <c r="H260" s="2">
        <f>geracao_mwh!I260</f>
        <v>25666549.925000124</v>
      </c>
      <c r="I260" s="2">
        <f>geracao_mwh!J260</f>
        <v>0</v>
      </c>
      <c r="J260" s="2">
        <f>geracao_mwh!K260</f>
        <v>788646.27700000012</v>
      </c>
      <c r="K260" s="2">
        <f>geracao_mwh!L260</f>
        <v>1058264.8089999964</v>
      </c>
      <c r="L260" s="2">
        <f>geracao_mwh!M260</f>
        <v>301982.41099999985</v>
      </c>
      <c r="M260" s="7">
        <f>co2e_mt!H260</f>
        <v>0.19976616678300091</v>
      </c>
      <c r="N260" s="7">
        <f>co2e_mt!K260</f>
        <v>4.853440034395951</v>
      </c>
      <c r="O260" s="7">
        <f>co2e_mt!L260</f>
        <v>0.53899754842500258</v>
      </c>
      <c r="P260" s="7">
        <f>co2e_mt!P260</f>
        <v>1.1426076647999968</v>
      </c>
    </row>
    <row r="261" spans="1:16" x14ac:dyDescent="0.3">
      <c r="A261" s="6" t="s">
        <v>216</v>
      </c>
      <c r="B261" s="11">
        <f>co2e_mt!S261</f>
        <v>7.3279029915119906</v>
      </c>
      <c r="C261" s="2">
        <f>geracao_mwh!D261</f>
        <v>1180637.4399999972</v>
      </c>
      <c r="D261" s="2">
        <f>geracao_mwh!E261</f>
        <v>1810363.068</v>
      </c>
      <c r="E261" s="2">
        <f>geracao_mwh!F261</f>
        <v>8203455.9390000552</v>
      </c>
      <c r="F261" s="2">
        <f>geracao_mwh!G261</f>
        <v>814567.60400000005</v>
      </c>
      <c r="G261" s="2">
        <f>geracao_mwh!H261</f>
        <v>6872449.4699999811</v>
      </c>
      <c r="H261" s="2">
        <f>geracao_mwh!I261</f>
        <v>24427658.68000003</v>
      </c>
      <c r="I261" s="2">
        <f>geracao_mwh!J261</f>
        <v>0</v>
      </c>
      <c r="J261" s="2">
        <f>geracao_mwh!K261</f>
        <v>1488641.6249999995</v>
      </c>
      <c r="K261" s="2">
        <f>geracao_mwh!L261</f>
        <v>1396732.3059999999</v>
      </c>
      <c r="L261" s="2">
        <f>geracao_mwh!M261</f>
        <v>317936.10299999954</v>
      </c>
      <c r="M261" s="7">
        <f>co2e_mt!H261</f>
        <v>0.22241682218400055</v>
      </c>
      <c r="N261" s="7">
        <f>co2e_mt!K261</f>
        <v>5.1521838734879903</v>
      </c>
      <c r="O261" s="7">
        <f>co2e_mt!L261</f>
        <v>0.51298083228000058</v>
      </c>
      <c r="P261" s="7">
        <f>co2e_mt!P261</f>
        <v>1.4403214635599992</v>
      </c>
    </row>
    <row r="262" spans="1:16" x14ac:dyDescent="0.3">
      <c r="A262" s="6" t="s">
        <v>217</v>
      </c>
      <c r="B262" s="11">
        <f>co2e_mt!S262</f>
        <v>7.1157212975769726</v>
      </c>
      <c r="C262" s="2">
        <f>geracao_mwh!D262</f>
        <v>1115629.4920000064</v>
      </c>
      <c r="D262" s="2">
        <f>geracao_mwh!E262</f>
        <v>1680310.3609999965</v>
      </c>
      <c r="E262" s="2">
        <f>geracao_mwh!F262</f>
        <v>7918059.3100000173</v>
      </c>
      <c r="F262" s="2">
        <f>geracao_mwh!G262</f>
        <v>961286.44700000167</v>
      </c>
      <c r="G262" s="2">
        <f>geracao_mwh!H262</f>
        <v>6542493.6719999714</v>
      </c>
      <c r="H262" s="2">
        <f>geracao_mwh!I262</f>
        <v>25410031.183999397</v>
      </c>
      <c r="I262" s="2">
        <f>geracao_mwh!J262</f>
        <v>0</v>
      </c>
      <c r="J262" s="2">
        <f>geracao_mwh!K262</f>
        <v>1445740.024999999</v>
      </c>
      <c r="K262" s="2">
        <f>geracao_mwh!L262</f>
        <v>1390315.2220000036</v>
      </c>
      <c r="L262" s="2">
        <f>geracao_mwh!M262</f>
        <v>394673.59299999929</v>
      </c>
      <c r="M262" s="7">
        <f>co2e_mt!H262</f>
        <v>0.22107744216000061</v>
      </c>
      <c r="N262" s="7">
        <f>co2e_mt!K262</f>
        <v>4.8616425959529828</v>
      </c>
      <c r="O262" s="7">
        <f>co2e_mt!L262</f>
        <v>0.5336106548639874</v>
      </c>
      <c r="P262" s="7">
        <f>co2e_mt!P262</f>
        <v>1.4993906046000023</v>
      </c>
    </row>
    <row r="263" spans="1:16" x14ac:dyDescent="0.3">
      <c r="A263" s="6" t="s">
        <v>218</v>
      </c>
      <c r="B263" s="11">
        <f>co2e_mt!S263</f>
        <v>7.7112538035718927</v>
      </c>
      <c r="C263" s="2">
        <f>geracao_mwh!D263</f>
        <v>365620.46899999987</v>
      </c>
      <c r="D263" s="2">
        <f>geracao_mwh!E263</f>
        <v>1727801.7049999959</v>
      </c>
      <c r="E263" s="2">
        <f>geracao_mwh!F263</f>
        <v>7291714.0729998853</v>
      </c>
      <c r="F263" s="2">
        <f>geracao_mwh!G263</f>
        <v>941361.72709143639</v>
      </c>
      <c r="G263" s="2">
        <f>geracao_mwh!H263</f>
        <v>7643189.3909999728</v>
      </c>
      <c r="H263" s="2">
        <f>geracao_mwh!I263</f>
        <v>25948882.364998847</v>
      </c>
      <c r="I263" s="2">
        <f>geracao_mwh!J263</f>
        <v>0</v>
      </c>
      <c r="J263" s="2">
        <f>geracao_mwh!K263</f>
        <v>1410450.8779999979</v>
      </c>
      <c r="K263" s="2">
        <f>geracao_mwh!L263</f>
        <v>1366504.0300000042</v>
      </c>
      <c r="L263" s="2">
        <f>geracao_mwh!M263</f>
        <v>478244.4940000003</v>
      </c>
      <c r="M263" s="7">
        <f>co2e_mt!H263</f>
        <v>0.17261896301593024</v>
      </c>
      <c r="N263" s="7">
        <f>co2e_mt!K263</f>
        <v>5.4441195507309823</v>
      </c>
      <c r="O263" s="7">
        <f>co2e_mt!L263</f>
        <v>0.54492652966497579</v>
      </c>
      <c r="P263" s="7">
        <f>co2e_mt!P263</f>
        <v>1.549588760160004</v>
      </c>
    </row>
    <row r="264" spans="1:16" x14ac:dyDescent="0.3">
      <c r="A264" s="6" t="s">
        <v>219</v>
      </c>
      <c r="B264" s="11">
        <f>co2e_mt!S264</f>
        <v>6.8690607780419786</v>
      </c>
      <c r="C264" s="2">
        <f>geracao_mwh!D264</f>
        <v>608176.26499999745</v>
      </c>
      <c r="D264" s="2">
        <f>geracao_mwh!E264</f>
        <v>1530662.3310000028</v>
      </c>
      <c r="E264" s="2">
        <f>geracao_mwh!F264</f>
        <v>5920985.1760000279</v>
      </c>
      <c r="F264" s="2">
        <f>geracao_mwh!G264</f>
        <v>873503.82900000154</v>
      </c>
      <c r="G264" s="2">
        <f>geracao_mwh!H264</f>
        <v>6928392.4039999982</v>
      </c>
      <c r="H264" s="2">
        <f>geracao_mwh!I264</f>
        <v>29691320.421998739</v>
      </c>
      <c r="I264" s="2">
        <f>geracao_mwh!J264</f>
        <v>0</v>
      </c>
      <c r="J264" s="2">
        <f>geracao_mwh!K264</f>
        <v>1318674.6300000001</v>
      </c>
      <c r="K264" s="2">
        <f>geracao_mwh!L264</f>
        <v>1011303.7770000028</v>
      </c>
      <c r="L264" s="2">
        <f>geracao_mwh!M264</f>
        <v>396850.91300000064</v>
      </c>
      <c r="M264" s="7">
        <f>co2e_mt!H264</f>
        <v>0.16330140790500031</v>
      </c>
      <c r="N264" s="7">
        <f>co2e_mt!K264</f>
        <v>4.8993917016750022</v>
      </c>
      <c r="O264" s="7">
        <f>co2e_mt!L264</f>
        <v>0.62351772886197354</v>
      </c>
      <c r="P264" s="7">
        <f>co2e_mt!P264</f>
        <v>1.1828499396000027</v>
      </c>
    </row>
    <row r="265" spans="1:16" x14ac:dyDescent="0.3">
      <c r="A265" s="6" t="s">
        <v>220</v>
      </c>
      <c r="B265" s="11">
        <f>co2e_mt!S265</f>
        <v>5.3950422330504999</v>
      </c>
      <c r="C265" s="2">
        <f>geracao_mwh!D265</f>
        <v>262575.1549999945</v>
      </c>
      <c r="D265" s="2">
        <f>geracao_mwh!E265</f>
        <v>1161469.6299999994</v>
      </c>
      <c r="E265" s="2">
        <f>geracao_mwh!F265</f>
        <v>6041040.8224999988</v>
      </c>
      <c r="F265" s="2">
        <f>geracao_mwh!G265</f>
        <v>851341.63099999819</v>
      </c>
      <c r="G265" s="2">
        <f>geracao_mwh!H265</f>
        <v>5858974.974999968</v>
      </c>
      <c r="H265" s="2">
        <f>geracao_mwh!I265</f>
        <v>34653466.945000798</v>
      </c>
      <c r="I265" s="2">
        <f>geracao_mwh!J265</f>
        <v>0</v>
      </c>
      <c r="J265" s="2">
        <f>geracao_mwh!K265</f>
        <v>1487202.3200000024</v>
      </c>
      <c r="K265" s="2">
        <f>geracao_mwh!L265</f>
        <v>325140.28899999906</v>
      </c>
      <c r="L265" s="2">
        <f>geracao_mwh!M265</f>
        <v>280928.43799999979</v>
      </c>
      <c r="M265" s="7">
        <f>co2e_mt!H265</f>
        <v>0.14812875904549966</v>
      </c>
      <c r="N265" s="7">
        <f>co2e_mt!K265</f>
        <v>4.0100929374799836</v>
      </c>
      <c r="O265" s="7">
        <f>co2e_mt!L265</f>
        <v>0.72772280584501681</v>
      </c>
      <c r="P265" s="7">
        <f>co2e_mt!P265</f>
        <v>0.50909773067999908</v>
      </c>
    </row>
    <row r="266" spans="1:16" x14ac:dyDescent="0.3">
      <c r="A266" s="6" t="s">
        <v>65</v>
      </c>
      <c r="B266" s="11">
        <f>co2e_mt!S266</f>
        <v>4.3905140411399994</v>
      </c>
      <c r="C266" s="2">
        <f>geracao_mwh!D266</f>
        <v>192909.63899999947</v>
      </c>
      <c r="D266" s="2">
        <f>geracao_mwh!E266</f>
        <v>696701.96499999939</v>
      </c>
      <c r="E266" s="2">
        <f>geracao_mwh!F266</f>
        <v>4642784.9240000136</v>
      </c>
      <c r="F266" s="2">
        <f>geracao_mwh!G266</f>
        <v>914669.76999999897</v>
      </c>
      <c r="G266" s="2">
        <f>geracao_mwh!H266</f>
        <v>4828564.5989999883</v>
      </c>
      <c r="H266" s="2">
        <f>geracao_mwh!I266</f>
        <v>39192611.080000252</v>
      </c>
      <c r="I266" s="2">
        <f>geracao_mwh!J266</f>
        <v>0</v>
      </c>
      <c r="J266" s="2">
        <f>geracao_mwh!K266</f>
        <v>1484694.6670000006</v>
      </c>
      <c r="K266" s="2">
        <f>geracao_mwh!L266</f>
        <v>129028.84800000003</v>
      </c>
      <c r="L266" s="2">
        <f>geracao_mwh!M266</f>
        <v>340457.83099999966</v>
      </c>
      <c r="M266" s="7">
        <f>co2e_mt!H266</f>
        <v>0.1290193360210001</v>
      </c>
      <c r="N266" s="7">
        <f>co2e_mt!K266</f>
        <v>3.0440810620789942</v>
      </c>
      <c r="O266" s="7">
        <f>co2e_mt!L266</f>
        <v>0.82304483268000528</v>
      </c>
      <c r="P266" s="7">
        <f>co2e_mt!P266</f>
        <v>0.39436881035999977</v>
      </c>
    </row>
    <row r="267" spans="1:16" x14ac:dyDescent="0.3">
      <c r="A267" s="6" t="s">
        <v>66</v>
      </c>
      <c r="B267" s="11">
        <f>co2e_mt!S267</f>
        <v>3.1397433703149944</v>
      </c>
      <c r="C267" s="2">
        <f>geracao_mwh!D267</f>
        <v>175717.11899999826</v>
      </c>
      <c r="D267" s="2">
        <f>geracao_mwh!E267</f>
        <v>523149.36000000103</v>
      </c>
      <c r="E267" s="2">
        <f>geracao_mwh!F267</f>
        <v>4525591.2540000221</v>
      </c>
      <c r="F267" s="2">
        <f>geracao_mwh!G267</f>
        <v>887525.6780000024</v>
      </c>
      <c r="G267" s="2">
        <f>geracao_mwh!H267</f>
        <v>2905553.3109999979</v>
      </c>
      <c r="H267" s="2">
        <f>geracao_mwh!I267</f>
        <v>38157459.723999701</v>
      </c>
      <c r="I267" s="2">
        <f>geracao_mwh!J267</f>
        <v>0</v>
      </c>
      <c r="J267" s="2">
        <f>geracao_mwh!K267</f>
        <v>1267475.5970000008</v>
      </c>
      <c r="K267" s="2">
        <f>geracao_mwh!L267</f>
        <v>92739.67300000001</v>
      </c>
      <c r="L267" s="2">
        <f>geracao_mwh!M267</f>
        <v>240658.58200000002</v>
      </c>
      <c r="M267" s="7">
        <f>co2e_mt!H267</f>
        <v>0.12261076340500031</v>
      </c>
      <c r="N267" s="7">
        <f>co2e_mt!K267</f>
        <v>1.935771418506</v>
      </c>
      <c r="O267" s="7">
        <f>co2e_mt!L267</f>
        <v>0.80130665420399383</v>
      </c>
      <c r="P267" s="7">
        <f>co2e_mt!P267</f>
        <v>0.28005453420000004</v>
      </c>
    </row>
    <row r="268" spans="1:16" x14ac:dyDescent="0.3">
      <c r="A268" s="6" t="s">
        <v>67</v>
      </c>
      <c r="B268" s="11">
        <f>co2e_mt!S268</f>
        <v>3.0061227185600248</v>
      </c>
      <c r="C268" s="2">
        <f>geracao_mwh!D268</f>
        <v>211206.84099999824</v>
      </c>
      <c r="D268" s="2">
        <f>geracao_mwh!E268</f>
        <v>587858.73799999966</v>
      </c>
      <c r="E268" s="2">
        <f>geracao_mwh!F268</f>
        <v>5325963.2020001132</v>
      </c>
      <c r="F268" s="2">
        <f>geracao_mwh!G268</f>
        <v>1033617.9700000036</v>
      </c>
      <c r="G268" s="2">
        <f>geracao_mwh!H268</f>
        <v>2246132.460999988</v>
      </c>
      <c r="H268" s="2">
        <f>geracao_mwh!I268</f>
        <v>43129554.834001407</v>
      </c>
      <c r="I268" s="2">
        <f>geracao_mwh!J268</f>
        <v>0</v>
      </c>
      <c r="J268" s="2">
        <f>geracao_mwh!K268</f>
        <v>1476862.3780000028</v>
      </c>
      <c r="K268" s="2">
        <f>geracao_mwh!L268</f>
        <v>82137.090999999855</v>
      </c>
      <c r="L268" s="2">
        <f>geracao_mwh!M268</f>
        <v>246993.90099999998</v>
      </c>
      <c r="M268" s="7">
        <f>co2e_mt!H268</f>
        <v>0.14386506098200158</v>
      </c>
      <c r="N268" s="7">
        <f>co2e_mt!K268</f>
        <v>1.6800669727839939</v>
      </c>
      <c r="O268" s="7">
        <f>co2e_mt!L268</f>
        <v>0.90572065151402958</v>
      </c>
      <c r="P268" s="7">
        <f>co2e_mt!P268</f>
        <v>0.27647003327999986</v>
      </c>
    </row>
    <row r="269" spans="1:16" x14ac:dyDescent="0.3">
      <c r="A269" s="6" t="s">
        <v>68</v>
      </c>
      <c r="B269" s="11">
        <f>co2e_mt!S269</f>
        <v>1.8628602280319888</v>
      </c>
      <c r="C269" s="2">
        <f>geracao_mwh!D269</f>
        <v>502784.27600000153</v>
      </c>
      <c r="D269" s="2">
        <f>geracao_mwh!E269</f>
        <v>252316.33300000019</v>
      </c>
      <c r="E269" s="2">
        <f>geracao_mwh!F269</f>
        <v>4965047.0960001657</v>
      </c>
      <c r="F269" s="2">
        <f>geracao_mwh!G269</f>
        <v>1005253.0600000023</v>
      </c>
      <c r="G269" s="2">
        <f>geracao_mwh!H269</f>
        <v>1164275.4829999916</v>
      </c>
      <c r="H269" s="2">
        <f>geracao_mwh!I269</f>
        <v>39309946.333999537</v>
      </c>
      <c r="I269" s="2">
        <f>geracao_mwh!J269</f>
        <v>0</v>
      </c>
      <c r="J269" s="2">
        <f>geracao_mwh!K269</f>
        <v>1437665.8189999978</v>
      </c>
      <c r="K269" s="2">
        <f>geracao_mwh!L269</f>
        <v>78829.254999999976</v>
      </c>
      <c r="L269" s="2">
        <f>geracao_mwh!M269</f>
        <v>145.613</v>
      </c>
      <c r="M269" s="7">
        <f>co2e_mt!H269</f>
        <v>0.15260593182700233</v>
      </c>
      <c r="N269" s="7">
        <f>co2e_mt!K269</f>
        <v>0.81840653407099617</v>
      </c>
      <c r="O269" s="7">
        <f>co2e_mt!L269</f>
        <v>0.82550887301399023</v>
      </c>
      <c r="P269" s="7">
        <f>co2e_mt!P269</f>
        <v>6.633888911999998E-2</v>
      </c>
    </row>
    <row r="270" spans="1:16" x14ac:dyDescent="0.3">
      <c r="A270" s="6" t="s">
        <v>69</v>
      </c>
      <c r="B270" s="11">
        <f>co2e_mt!S270</f>
        <v>2.0599603734455001</v>
      </c>
      <c r="C270" s="2">
        <f>geracao_mwh!D270</f>
        <v>944697.21899999853</v>
      </c>
      <c r="D270" s="2">
        <f>geracao_mwh!E270</f>
        <v>500023.70600000006</v>
      </c>
      <c r="E270" s="2">
        <f>geracao_mwh!F270</f>
        <v>5818921.0284999069</v>
      </c>
      <c r="F270" s="2">
        <f>geracao_mwh!G270</f>
        <v>1004282.4329999971</v>
      </c>
      <c r="G270" s="2">
        <f>geracao_mwh!H270</f>
        <v>1138835.6649999849</v>
      </c>
      <c r="H270" s="2">
        <f>geracao_mwh!I270</f>
        <v>37250508.85900043</v>
      </c>
      <c r="I270" s="2">
        <f>geracao_mwh!J270</f>
        <v>0</v>
      </c>
      <c r="J270" s="2">
        <f>geracao_mwh!K270</f>
        <v>1441556.0010000002</v>
      </c>
      <c r="K270" s="2">
        <f>geracao_mwh!L270</f>
        <v>44045.765000000029</v>
      </c>
      <c r="L270" s="2">
        <f>geracao_mwh!M270</f>
        <v>10.452999999999999</v>
      </c>
      <c r="M270" s="7">
        <f>co2e_mt!H270</f>
        <v>0.18669460139049859</v>
      </c>
      <c r="N270" s="7">
        <f>co2e_mt!K270</f>
        <v>1.0539978628959927</v>
      </c>
      <c r="O270" s="7">
        <f>co2e_mt!L270</f>
        <v>0.782260686039009</v>
      </c>
      <c r="P270" s="7">
        <f>co2e_mt!P270</f>
        <v>3.7007223120000023E-2</v>
      </c>
    </row>
    <row r="271" spans="1:16" x14ac:dyDescent="0.3">
      <c r="A271" s="6" t="s">
        <v>70</v>
      </c>
      <c r="B271" s="11">
        <f>co2e_mt!S271</f>
        <v>2.4708660835219933</v>
      </c>
      <c r="C271" s="2">
        <f>geracao_mwh!D271</f>
        <v>984369.57400000561</v>
      </c>
      <c r="D271" s="2">
        <f>geracao_mwh!E271</f>
        <v>682151.99600000062</v>
      </c>
      <c r="E271" s="2">
        <f>geracao_mwh!F271</f>
        <v>5774772.175000065</v>
      </c>
      <c r="F271" s="2">
        <f>geracao_mwh!G271</f>
        <v>977980.51999999885</v>
      </c>
      <c r="G271" s="2">
        <f>geracao_mwh!H271</f>
        <v>1761810.4820000057</v>
      </c>
      <c r="H271" s="2">
        <f>geracao_mwh!I271</f>
        <v>34532204.953999475</v>
      </c>
      <c r="I271" s="2">
        <f>geracao_mwh!J271</f>
        <v>0</v>
      </c>
      <c r="J271" s="2">
        <f>geracao_mwh!K271</f>
        <v>741752.04899999942</v>
      </c>
      <c r="K271" s="2">
        <f>geracao_mwh!L271</f>
        <v>34119.692999999956</v>
      </c>
      <c r="L271" s="2">
        <f>geracao_mwh!M271</f>
        <v>0</v>
      </c>
      <c r="M271" s="7">
        <f>co2e_mt!H271</f>
        <v>0.17795519512000108</v>
      </c>
      <c r="N271" s="7">
        <f>co2e_mt!K271</f>
        <v>1.5390740422480034</v>
      </c>
      <c r="O271" s="7">
        <f>co2e_mt!L271</f>
        <v>0.72517630403398892</v>
      </c>
      <c r="P271" s="7">
        <f>co2e_mt!P271</f>
        <v>2.8660542119999962E-2</v>
      </c>
    </row>
    <row r="272" spans="1:16" x14ac:dyDescent="0.3">
      <c r="A272" s="6" t="s">
        <v>71</v>
      </c>
      <c r="B272" s="11">
        <f>co2e_mt!S272</f>
        <v>2.4276389853239859</v>
      </c>
      <c r="C272" s="2">
        <f>geracao_mwh!D272</f>
        <v>1148399.8889999785</v>
      </c>
      <c r="D272" s="2">
        <f>geracao_mwh!E272</f>
        <v>716738.33899999969</v>
      </c>
      <c r="E272" s="2">
        <f>geracao_mwh!F272</f>
        <v>8161031.192000268</v>
      </c>
      <c r="F272" s="2">
        <f>geracao_mwh!G272</f>
        <v>1142322.2210000097</v>
      </c>
      <c r="G272" s="2">
        <f>geracao_mwh!H272</f>
        <v>1519528.0850000076</v>
      </c>
      <c r="H272" s="2">
        <f>geracao_mwh!I272</f>
        <v>33937509.350999035</v>
      </c>
      <c r="I272" s="2">
        <f>geracao_mwh!J272</f>
        <v>0</v>
      </c>
      <c r="J272" s="2">
        <f>geracao_mwh!K272</f>
        <v>635785.12899999926</v>
      </c>
      <c r="K272" s="2">
        <f>geracao_mwh!L272</f>
        <v>42631.309999999903</v>
      </c>
      <c r="L272" s="2">
        <f>geracao_mwh!M272</f>
        <v>0</v>
      </c>
      <c r="M272" s="7">
        <f>co2e_mt!H272</f>
        <v>0.22319526190400274</v>
      </c>
      <c r="N272" s="7">
        <f>co2e_mt!K272</f>
        <v>1.4559457266490032</v>
      </c>
      <c r="O272" s="7">
        <f>co2e_mt!L272</f>
        <v>0.71268769637097973</v>
      </c>
      <c r="P272" s="7">
        <f>co2e_mt!P272</f>
        <v>3.5810300399999918E-2</v>
      </c>
    </row>
    <row r="273" spans="1:16" x14ac:dyDescent="0.3">
      <c r="A273" s="6" t="s">
        <v>72</v>
      </c>
      <c r="B273" s="11">
        <f>co2e_mt!S273</f>
        <v>2.5182543355150044</v>
      </c>
      <c r="C273" s="2">
        <f>geracao_mwh!D273</f>
        <v>1048038.0449999803</v>
      </c>
      <c r="D273" s="2">
        <f>geracao_mwh!E273</f>
        <v>747688.01599999855</v>
      </c>
      <c r="E273" s="2">
        <f>geracao_mwh!F273</f>
        <v>9153487.4229999147</v>
      </c>
      <c r="F273" s="2">
        <f>geracao_mwh!G273</f>
        <v>1282265.1600000025</v>
      </c>
      <c r="G273" s="2">
        <f>geracao_mwh!H273</f>
        <v>1646443.8899999887</v>
      </c>
      <c r="H273" s="2">
        <f>geracao_mwh!I273</f>
        <v>32596805.715000652</v>
      </c>
      <c r="I273" s="2">
        <f>geracao_mwh!J273</f>
        <v>0</v>
      </c>
      <c r="J273" s="2">
        <f>geracao_mwh!K273</f>
        <v>1182331.8049999992</v>
      </c>
      <c r="K273" s="2">
        <f>geracao_mwh!L273</f>
        <v>48943.988999999994</v>
      </c>
      <c r="L273" s="2">
        <f>geracao_mwh!M273</f>
        <v>0</v>
      </c>
      <c r="M273" s="7">
        <f>co2e_mt!H273</f>
        <v>0.24400103018399794</v>
      </c>
      <c r="N273" s="7">
        <f>co2e_mt!K273</f>
        <v>1.548607434555993</v>
      </c>
      <c r="O273" s="7">
        <f>co2e_mt!L273</f>
        <v>0.68453292001501365</v>
      </c>
      <c r="P273" s="7">
        <f>co2e_mt!P273</f>
        <v>4.1112950759999996E-2</v>
      </c>
    </row>
    <row r="274" spans="1:16" x14ac:dyDescent="0.3">
      <c r="A274" s="6" t="s">
        <v>73</v>
      </c>
      <c r="B274" s="11">
        <f>co2e_mt!S274</f>
        <v>2.4808984090040056</v>
      </c>
      <c r="C274" s="2">
        <f>geracao_mwh!D274</f>
        <v>964316.37199998391</v>
      </c>
      <c r="D274" s="2">
        <f>geracao_mwh!E274</f>
        <v>705393.35600000026</v>
      </c>
      <c r="E274" s="2">
        <f>geracao_mwh!F274</f>
        <v>9073832.7720001191</v>
      </c>
      <c r="F274" s="2">
        <f>geracao_mwh!G274</f>
        <v>1374053.168999987</v>
      </c>
      <c r="G274" s="2">
        <f>geracao_mwh!H274</f>
        <v>1666511.682000014</v>
      </c>
      <c r="H274" s="2">
        <f>geracao_mwh!I274</f>
        <v>31762733.837999921</v>
      </c>
      <c r="I274" s="2">
        <f>geracao_mwh!J274</f>
        <v>0</v>
      </c>
      <c r="J274" s="2">
        <f>geracao_mwh!K274</f>
        <v>1103195.0270000007</v>
      </c>
      <c r="K274" s="2">
        <f>geracao_mwh!L274</f>
        <v>67056.514999999927</v>
      </c>
      <c r="L274" s="2">
        <f>geracao_mwh!M274</f>
        <v>0</v>
      </c>
      <c r="M274" s="7">
        <f>co2e_mt!H274</f>
        <v>0.24153009899800015</v>
      </c>
      <c r="N274" s="7">
        <f>co2e_mt!K274</f>
        <v>1.5160234268080071</v>
      </c>
      <c r="O274" s="7">
        <f>co2e_mt!L274</f>
        <v>0.66701741059799824</v>
      </c>
      <c r="P274" s="7">
        <f>co2e_mt!P274</f>
        <v>5.6327472599999942E-2</v>
      </c>
    </row>
    <row r="275" spans="1:16" x14ac:dyDescent="0.3">
      <c r="A275" s="6" t="s">
        <v>74</v>
      </c>
      <c r="B275" s="11">
        <f>co2e_mt!S275</f>
        <v>2.5367627722359938</v>
      </c>
      <c r="C275" s="2">
        <f>geracao_mwh!D275</f>
        <v>822476.55499999446</v>
      </c>
      <c r="D275" s="2">
        <f>geracao_mwh!E275</f>
        <v>675967.02900000068</v>
      </c>
      <c r="E275" s="2">
        <f>geracao_mwh!F275</f>
        <v>9549743.3000001516</v>
      </c>
      <c r="F275" s="2">
        <f>geracao_mwh!G275</f>
        <v>1493053.6449999777</v>
      </c>
      <c r="G275" s="2">
        <f>geracao_mwh!H275</f>
        <v>1779017.1639999957</v>
      </c>
      <c r="H275" s="2">
        <f>geracao_mwh!I275</f>
        <v>33169743.143999733</v>
      </c>
      <c r="I275" s="2">
        <f>geracao_mwh!J275</f>
        <v>0</v>
      </c>
      <c r="J275" s="2">
        <f>geracao_mwh!K275</f>
        <v>1493123.8879999996</v>
      </c>
      <c r="K275" s="2">
        <f>geracao_mwh!L275</f>
        <v>57649.36599999998</v>
      </c>
      <c r="L275" s="2">
        <f>geracao_mwh!M275</f>
        <v>0</v>
      </c>
      <c r="M275" s="7">
        <f>co2e_mt!H275</f>
        <v>0.2505273610390007</v>
      </c>
      <c r="N275" s="7">
        <f>co2e_mt!K275</f>
        <v>1.5412453377329987</v>
      </c>
      <c r="O275" s="7">
        <f>co2e_mt!L275</f>
        <v>0.69656460602399439</v>
      </c>
      <c r="P275" s="7">
        <f>co2e_mt!P275</f>
        <v>4.8425467439999988E-2</v>
      </c>
    </row>
    <row r="276" spans="1:16" x14ac:dyDescent="0.3">
      <c r="A276" s="6" t="s">
        <v>75</v>
      </c>
      <c r="B276" s="11">
        <f>co2e_mt!S276</f>
        <v>2.4098897750229824</v>
      </c>
      <c r="C276" s="2">
        <f>geracao_mwh!D276</f>
        <v>672106.05199999548</v>
      </c>
      <c r="D276" s="2">
        <f>geracao_mwh!E276</f>
        <v>597657.03100000008</v>
      </c>
      <c r="E276" s="2">
        <f>geracao_mwh!F276</f>
        <v>6117196.7630000785</v>
      </c>
      <c r="F276" s="2">
        <f>geracao_mwh!G276</f>
        <v>1249786.5130000107</v>
      </c>
      <c r="G276" s="2">
        <f>geracao_mwh!H276</f>
        <v>1717699.0809999951</v>
      </c>
      <c r="H276" s="2">
        <f>geracao_mwh!I276</f>
        <v>36296658.195999205</v>
      </c>
      <c r="I276" s="2">
        <f>geracao_mwh!J276</f>
        <v>1004.2019999999998</v>
      </c>
      <c r="J276" s="2">
        <f>geracao_mwh!K276</f>
        <v>816124.5959999999</v>
      </c>
      <c r="K276" s="2">
        <f>geracao_mwh!L276</f>
        <v>41591.034999999945</v>
      </c>
      <c r="L276" s="2">
        <f>geracao_mwh!M276</f>
        <v>0</v>
      </c>
      <c r="M276" s="7">
        <f>co2e_mt!H276</f>
        <v>0.17882351243000125</v>
      </c>
      <c r="N276" s="7">
        <f>co2e_mt!K276</f>
        <v>1.4330564413969977</v>
      </c>
      <c r="O276" s="7">
        <f>co2e_mt!L276</f>
        <v>0.76222982211598345</v>
      </c>
      <c r="P276" s="7">
        <f>co2e_mt!P276</f>
        <v>3.5779999079999951E-2</v>
      </c>
    </row>
    <row r="277" spans="1:16" x14ac:dyDescent="0.3">
      <c r="A277" s="6" t="s">
        <v>76</v>
      </c>
      <c r="B277" s="11">
        <f>co2e_mt!S277</f>
        <v>2.1966941589459594</v>
      </c>
      <c r="C277" s="2">
        <f>geracao_mwh!D277</f>
        <v>306650.58000000188</v>
      </c>
      <c r="D277" s="2">
        <f>geracao_mwh!E277</f>
        <v>209905.47599999962</v>
      </c>
      <c r="E277" s="2">
        <f>geracao_mwh!F277</f>
        <v>6462597.27100005</v>
      </c>
      <c r="F277" s="2">
        <f>geracao_mwh!G277</f>
        <v>1348495.9299999967</v>
      </c>
      <c r="G277" s="2">
        <f>geracao_mwh!H277</f>
        <v>1978251.1589999932</v>
      </c>
      <c r="H277" s="2">
        <f>geracao_mwh!I277</f>
        <v>38617606.288998224</v>
      </c>
      <c r="I277" s="2">
        <f>geracao_mwh!J277</f>
        <v>7848.5080000000016</v>
      </c>
      <c r="J277" s="2">
        <f>geracao_mwh!K277</f>
        <v>1470297.5180000034</v>
      </c>
      <c r="K277" s="2">
        <f>geracao_mwh!L277</f>
        <v>33471.523999999983</v>
      </c>
      <c r="L277" s="2">
        <f>geracao_mwh!M277</f>
        <v>2870.6759999999999</v>
      </c>
      <c r="M277" s="7">
        <f>co2e_mt!H277</f>
        <v>0.17705878740700065</v>
      </c>
      <c r="N277" s="7">
        <f>co2e_mt!K277</f>
        <v>1.1715454447499962</v>
      </c>
      <c r="O277" s="7">
        <f>co2e_mt!L277</f>
        <v>0.81096973206896261</v>
      </c>
      <c r="P277" s="7">
        <f>co2e_mt!P277</f>
        <v>3.7120194719999985E-2</v>
      </c>
    </row>
    <row r="278" spans="1:16" x14ac:dyDescent="0.3">
      <c r="A278" s="6" t="s">
        <v>53</v>
      </c>
      <c r="B278" s="11">
        <f>co2e_mt!S278</f>
        <v>2.2931211172450121</v>
      </c>
      <c r="C278" s="2">
        <f>geracao_mwh!D278</f>
        <v>225045.19100000392</v>
      </c>
      <c r="D278" s="2">
        <f>geracao_mwh!E278</f>
        <v>393204.99099999992</v>
      </c>
      <c r="E278" s="2">
        <f>geracao_mwh!F278</f>
        <v>6387675.145000034</v>
      </c>
      <c r="F278" s="2">
        <f>geracao_mwh!G278</f>
        <v>1462580.6869999978</v>
      </c>
      <c r="G278" s="2">
        <f>geracao_mwh!H278</f>
        <v>1723932.1320000037</v>
      </c>
      <c r="H278" s="2">
        <f>geracao_mwh!I278</f>
        <v>40838463.99900046</v>
      </c>
      <c r="I278" s="2">
        <f>geracao_mwh!J278</f>
        <v>5001.2090000000026</v>
      </c>
      <c r="J278" s="2">
        <f>geracao_mwh!K278</f>
        <v>1492829.6250000014</v>
      </c>
      <c r="K278" s="2">
        <f>geracao_mwh!L278</f>
        <v>20090.790999999987</v>
      </c>
      <c r="L278" s="2">
        <f>geracao_mwh!M278</f>
        <v>7103.5710000000008</v>
      </c>
      <c r="M278" s="7">
        <f>co2e_mt!H278</f>
        <v>0.17703988148300057</v>
      </c>
      <c r="N278" s="7">
        <f>co2e_mt!K278</f>
        <v>1.2314292121430017</v>
      </c>
      <c r="O278" s="7">
        <f>co2e_mt!L278</f>
        <v>0.85760774397900963</v>
      </c>
      <c r="P278" s="7">
        <f>co2e_mt!P278</f>
        <v>2.7044279639999991E-2</v>
      </c>
    </row>
    <row r="279" spans="1:16" x14ac:dyDescent="0.3">
      <c r="A279" s="6" t="s">
        <v>54</v>
      </c>
      <c r="B279" s="11">
        <f>co2e_mt!S279</f>
        <v>1.932256770143006</v>
      </c>
      <c r="C279" s="2">
        <f>geracao_mwh!D279</f>
        <v>178527.07000000423</v>
      </c>
      <c r="D279" s="2">
        <f>geracao_mwh!E279</f>
        <v>352507.65199999965</v>
      </c>
      <c r="E279" s="2">
        <f>geracao_mwh!F279</f>
        <v>6562083.1390000256</v>
      </c>
      <c r="F279" s="2">
        <f>geracao_mwh!G279</f>
        <v>1477968.9659999942</v>
      </c>
      <c r="G279" s="2">
        <f>geracao_mwh!H279</f>
        <v>1167370.7299999977</v>
      </c>
      <c r="H279" s="2">
        <f>geracao_mwh!I279</f>
        <v>38794731.486000352</v>
      </c>
      <c r="I279" s="2">
        <f>geracao_mwh!J279</f>
        <v>4383.8640000000005</v>
      </c>
      <c r="J279" s="2">
        <f>geracao_mwh!K279</f>
        <v>1163653.5199999979</v>
      </c>
      <c r="K279" s="2">
        <f>geracao_mwh!L279</f>
        <v>18243.702000000019</v>
      </c>
      <c r="L279" s="2">
        <f>geracao_mwh!M279</f>
        <v>6056.273000000001</v>
      </c>
      <c r="M279" s="7">
        <f>co2e_mt!H279</f>
        <v>0.17327064974500025</v>
      </c>
      <c r="N279" s="7">
        <f>co2e_mt!K279</f>
        <v>0.9202023344319985</v>
      </c>
      <c r="O279" s="7">
        <f>co2e_mt!L279</f>
        <v>0.81468936120600732</v>
      </c>
      <c r="P279" s="7">
        <f>co2e_mt!P279</f>
        <v>2.4094424760000017E-2</v>
      </c>
    </row>
    <row r="280" spans="1:16" x14ac:dyDescent="0.3">
      <c r="A280" s="6" t="s">
        <v>55</v>
      </c>
      <c r="B280" s="11">
        <f>co2e_mt!S280</f>
        <v>2.4114280608190199</v>
      </c>
      <c r="C280" s="2">
        <f>geracao_mwh!D280</f>
        <v>253532.22800000585</v>
      </c>
      <c r="D280" s="2">
        <f>geracao_mwh!E280</f>
        <v>668828.27100000018</v>
      </c>
      <c r="E280" s="2">
        <f>geracao_mwh!F280</f>
        <v>6120941.1699999347</v>
      </c>
      <c r="F280" s="2">
        <f>geracao_mwh!G280</f>
        <v>1533041.1249999905</v>
      </c>
      <c r="G280" s="2">
        <f>geracao_mwh!H280</f>
        <v>1213065.3399999982</v>
      </c>
      <c r="H280" s="2">
        <f>geracao_mwh!I280</f>
        <v>44976523.823001005</v>
      </c>
      <c r="I280" s="2">
        <f>geracao_mwh!J280</f>
        <v>5981.6909999999934</v>
      </c>
      <c r="J280" s="2">
        <f>geracao_mwh!K280</f>
        <v>1279239.1679999984</v>
      </c>
      <c r="K280" s="2">
        <f>geracao_mwh!L280</f>
        <v>21553.153999999991</v>
      </c>
      <c r="L280" s="2">
        <f>geracao_mwh!M280</f>
        <v>11235.89</v>
      </c>
      <c r="M280" s="7">
        <f>co2e_mt!H280</f>
        <v>0.17530678862499904</v>
      </c>
      <c r="N280" s="7">
        <f>co2e_mt!K280</f>
        <v>1.2590468545109994</v>
      </c>
      <c r="O280" s="7">
        <f>co2e_mt!L280</f>
        <v>0.94450700028302115</v>
      </c>
      <c r="P280" s="7">
        <f>co2e_mt!P280</f>
        <v>3.2567417399999986E-2</v>
      </c>
    </row>
    <row r="281" spans="1:16" x14ac:dyDescent="0.3">
      <c r="A281" s="6" t="s">
        <v>56</v>
      </c>
      <c r="B281" s="11">
        <f>co2e_mt!S281</f>
        <v>2.374333867376011</v>
      </c>
      <c r="C281" s="2">
        <f>geracao_mwh!D281</f>
        <v>561175.53399999929</v>
      </c>
      <c r="D281" s="2">
        <f>geracao_mwh!E281</f>
        <v>575352.92900000117</v>
      </c>
      <c r="E281" s="2">
        <f>geracao_mwh!F281</f>
        <v>4853266.2340000402</v>
      </c>
      <c r="F281" s="2">
        <f>geracao_mwh!G281</f>
        <v>1613629.724999984</v>
      </c>
      <c r="G281" s="2">
        <f>geracao_mwh!H281</f>
        <v>1575248.199000003</v>
      </c>
      <c r="H281" s="2">
        <f>geracao_mwh!I281</f>
        <v>39063389.416000411</v>
      </c>
      <c r="I281" s="2">
        <f>geracao_mwh!J281</f>
        <v>5801.0609999999979</v>
      </c>
      <c r="J281" s="2">
        <f>geracao_mwh!K281</f>
        <v>1387234.9639999983</v>
      </c>
      <c r="K281" s="2">
        <f>geracao_mwh!L281</f>
        <v>22113.550999999996</v>
      </c>
      <c r="L281" s="2">
        <f>geracao_mwh!M281</f>
        <v>11144.984999999997</v>
      </c>
      <c r="M281" s="7">
        <f>co2e_mt!H281</f>
        <v>0.17969372151699975</v>
      </c>
      <c r="N281" s="7">
        <f>co2e_mt!K281</f>
        <v>1.3414989066430028</v>
      </c>
      <c r="O281" s="7">
        <f>co2e_mt!L281</f>
        <v>0.82033117773600872</v>
      </c>
      <c r="P281" s="7">
        <f>co2e_mt!P281</f>
        <v>3.2810061479999986E-2</v>
      </c>
    </row>
    <row r="282" spans="1:16" x14ac:dyDescent="0.3">
      <c r="A282" s="6" t="s">
        <v>57</v>
      </c>
      <c r="B282" s="11">
        <f>co2e_mt!S282</f>
        <v>2.2031852782399728</v>
      </c>
      <c r="C282" s="2">
        <f>geracao_mwh!D282</f>
        <v>959032.86899998225</v>
      </c>
      <c r="D282" s="2">
        <f>geracao_mwh!E282</f>
        <v>502854.99000000046</v>
      </c>
      <c r="E282" s="2">
        <f>geracao_mwh!F282</f>
        <v>6878180.9159999434</v>
      </c>
      <c r="F282" s="2">
        <f>geracao_mwh!G282</f>
        <v>3758816.5150000001</v>
      </c>
      <c r="G282" s="2">
        <f>geracao_mwh!H282</f>
        <v>1193043.824999999</v>
      </c>
      <c r="H282" s="2">
        <f>geracao_mwh!I282</f>
        <v>36745486.924998783</v>
      </c>
      <c r="I282" s="2">
        <f>geracao_mwh!J282</f>
        <v>5343.2460000000028</v>
      </c>
      <c r="J282" s="2">
        <f>geracao_mwh!K282</f>
        <v>1492574.8180000009</v>
      </c>
      <c r="K282" s="2">
        <f>geracao_mwh!L282</f>
        <v>20593.127000000022</v>
      </c>
      <c r="L282" s="2">
        <f>geracao_mwh!M282</f>
        <v>7437.7520000000004</v>
      </c>
      <c r="M282" s="7">
        <f>co2e_mt!H282</f>
        <v>0.32031864387499831</v>
      </c>
      <c r="N282" s="7">
        <f>co2e_mt!K282</f>
        <v>1.08317714394</v>
      </c>
      <c r="O282" s="7">
        <f>co2e_mt!L282</f>
        <v>0.77165522542497433</v>
      </c>
      <c r="P282" s="7">
        <f>co2e_mt!P282</f>
        <v>2.803426500000002E-2</v>
      </c>
    </row>
    <row r="283" spans="1:16" x14ac:dyDescent="0.3">
      <c r="A283" s="6" t="s">
        <v>58</v>
      </c>
      <c r="B283" s="11">
        <f>co2e_mt!S283</f>
        <v>2.8009493778069965</v>
      </c>
      <c r="C283" s="2">
        <f>geracao_mwh!D283</f>
        <v>979992.37699998321</v>
      </c>
      <c r="D283" s="2">
        <f>geracao_mwh!E283</f>
        <v>715132.2050000017</v>
      </c>
      <c r="E283" s="2">
        <f>geracao_mwh!F283</f>
        <v>8576419.3150000721</v>
      </c>
      <c r="F283" s="2">
        <f>geracao_mwh!G283</f>
        <v>3590290.1030000178</v>
      </c>
      <c r="G283" s="2">
        <f>geracao_mwh!H283</f>
        <v>2196556.4959999882</v>
      </c>
      <c r="H283" s="2">
        <f>geracao_mwh!I283</f>
        <v>31332275.543000005</v>
      </c>
      <c r="I283" s="2">
        <f>geracao_mwh!J283</f>
        <v>4176.2380000000012</v>
      </c>
      <c r="J283" s="2">
        <f>geracao_mwh!K283</f>
        <v>1447130.995000001</v>
      </c>
      <c r="K283" s="2">
        <f>geracao_mwh!L283</f>
        <v>21532.997000000007</v>
      </c>
      <c r="L283" s="2">
        <f>geracao_mwh!M283</f>
        <v>2802.1520000000019</v>
      </c>
      <c r="M283" s="7">
        <f>co2e_mt!H283</f>
        <v>0.33564823206300087</v>
      </c>
      <c r="N283" s="7">
        <f>co2e_mt!K283</f>
        <v>1.7833737942609962</v>
      </c>
      <c r="O283" s="7">
        <f>co2e_mt!L283</f>
        <v>0.65797778640300009</v>
      </c>
      <c r="P283" s="7">
        <f>co2e_mt!P283</f>
        <v>2.3949565080000009E-2</v>
      </c>
    </row>
    <row r="284" spans="1:16" x14ac:dyDescent="0.3">
      <c r="A284" s="6" t="s">
        <v>59</v>
      </c>
      <c r="B284" s="11">
        <f>co2e_mt!S284</f>
        <v>2.6634035196269896</v>
      </c>
      <c r="C284" s="2">
        <f>geracao_mwh!D284</f>
        <v>1073113.8489999874</v>
      </c>
      <c r="D284" s="2">
        <f>geracao_mwh!E284</f>
        <v>833343.51699999813</v>
      </c>
      <c r="E284" s="2">
        <f>geracao_mwh!F284</f>
        <v>9945467.9889998958</v>
      </c>
      <c r="F284" s="2">
        <f>geracao_mwh!G284</f>
        <v>4133202.7930000103</v>
      </c>
      <c r="G284" s="2">
        <f>geracao_mwh!H284</f>
        <v>1588242.1049999963</v>
      </c>
      <c r="H284" s="2">
        <f>geracao_mwh!I284</f>
        <v>30999151.377999756</v>
      </c>
      <c r="I284" s="2">
        <f>geracao_mwh!J284</f>
        <v>3724.9570000000022</v>
      </c>
      <c r="J284" s="2">
        <f>geracao_mwh!K284</f>
        <v>1469504.0859999983</v>
      </c>
      <c r="K284" s="2">
        <f>geracao_mwh!L284</f>
        <v>22014.539999999997</v>
      </c>
      <c r="L284" s="2">
        <f>geracao_mwh!M284</f>
        <v>3349.2410000000013</v>
      </c>
      <c r="M284" s="7">
        <f>co2e_mt!H284</f>
        <v>0.38192427722199845</v>
      </c>
      <c r="N284" s="7">
        <f>co2e_mt!K284</f>
        <v>1.6060625235469961</v>
      </c>
      <c r="O284" s="7">
        <f>co2e_mt!L284</f>
        <v>0.65098217893799493</v>
      </c>
      <c r="P284" s="7">
        <f>co2e_mt!P284</f>
        <v>2.4434539919999998E-2</v>
      </c>
    </row>
    <row r="285" spans="1:16" x14ac:dyDescent="0.3">
      <c r="A285" s="6" t="s">
        <v>60</v>
      </c>
      <c r="B285" s="11">
        <f>co2e_mt!S285</f>
        <v>2.6220578512639889</v>
      </c>
      <c r="C285" s="2">
        <f>geracao_mwh!D285</f>
        <v>1110545.7359999733</v>
      </c>
      <c r="D285" s="2">
        <f>geracao_mwh!E285</f>
        <v>768811.0699999996</v>
      </c>
      <c r="E285" s="2">
        <f>geracao_mwh!F285</f>
        <v>9125533.6360000707</v>
      </c>
      <c r="F285" s="2">
        <f>geracao_mwh!G285</f>
        <v>4653854.574000014</v>
      </c>
      <c r="G285" s="2">
        <f>geracao_mwh!H285</f>
        <v>1496650.7810000074</v>
      </c>
      <c r="H285" s="2">
        <f>geracao_mwh!I285</f>
        <v>33186529.985999305</v>
      </c>
      <c r="I285" s="2">
        <f>geracao_mwh!J285</f>
        <v>5288.652000000001</v>
      </c>
      <c r="J285" s="2">
        <f>geracao_mwh!K285</f>
        <v>1494983.3399999966</v>
      </c>
      <c r="K285" s="2">
        <f>geracao_mwh!L285</f>
        <v>31890.881000000034</v>
      </c>
      <c r="L285" s="2">
        <f>geracao_mwh!M285</f>
        <v>1222.509</v>
      </c>
      <c r="M285" s="7">
        <f>co2e_mt!H285</f>
        <v>0.3959308456420001</v>
      </c>
      <c r="N285" s="7">
        <f>co2e_mt!K285</f>
        <v>1.4969521606360032</v>
      </c>
      <c r="O285" s="7">
        <f>co2e_mt!L285</f>
        <v>0.69691712970598552</v>
      </c>
      <c r="P285" s="7">
        <f>co2e_mt!P285</f>
        <v>3.2257715280000029E-2</v>
      </c>
    </row>
    <row r="286" spans="1:16" x14ac:dyDescent="0.3">
      <c r="A286" s="6" t="s">
        <v>61</v>
      </c>
      <c r="B286" s="11">
        <f>co2e_mt!S286</f>
        <v>2.4159764426039994</v>
      </c>
      <c r="C286" s="2">
        <f>geracao_mwh!D286</f>
        <v>1051577.6670000011</v>
      </c>
      <c r="D286" s="2">
        <f>geracao_mwh!E286</f>
        <v>574350.98099999945</v>
      </c>
      <c r="E286" s="2">
        <f>geracao_mwh!F286</f>
        <v>9179084.5680001397</v>
      </c>
      <c r="F286" s="2">
        <f>geracao_mwh!G286</f>
        <v>5079336.7460000208</v>
      </c>
      <c r="G286" s="2">
        <f>geracao_mwh!H286</f>
        <v>1395149.053000005</v>
      </c>
      <c r="H286" s="2">
        <f>geracao_mwh!I286</f>
        <v>33855687.211999752</v>
      </c>
      <c r="I286" s="2">
        <f>geracao_mwh!J286</f>
        <v>5712.6439999999975</v>
      </c>
      <c r="J286" s="2">
        <f>geracao_mwh!K286</f>
        <v>1226199.7989999996</v>
      </c>
      <c r="K286" s="2">
        <f>geracao_mwh!L286</f>
        <v>45184.522000000041</v>
      </c>
      <c r="L286" s="2">
        <f>geracao_mwh!M286</f>
        <v>1099.2909999999999</v>
      </c>
      <c r="M286" s="7">
        <f>co2e_mt!H286</f>
        <v>0.40836221553300273</v>
      </c>
      <c r="N286" s="7">
        <f>co2e_mt!K286</f>
        <v>1.252967771739002</v>
      </c>
      <c r="O286" s="7">
        <f>co2e_mt!L286</f>
        <v>0.71096943145199476</v>
      </c>
      <c r="P286" s="7">
        <f>co2e_mt!P286</f>
        <v>4.3677023880000027E-2</v>
      </c>
    </row>
    <row r="287" spans="1:16" x14ac:dyDescent="0.3">
      <c r="A287" s="6" t="s">
        <v>62</v>
      </c>
      <c r="B287" s="11">
        <f>co2e_mt!S287</f>
        <v>2.6824658929280076</v>
      </c>
      <c r="C287" s="2">
        <f>geracao_mwh!D287</f>
        <v>1030873.0649999657</v>
      </c>
      <c r="D287" s="2">
        <f>geracao_mwh!E287</f>
        <v>736396.42799999856</v>
      </c>
      <c r="E287" s="2">
        <f>geracao_mwh!F287</f>
        <v>9699445.6080000177</v>
      </c>
      <c r="F287" s="2">
        <f>geracao_mwh!G287</f>
        <v>5393291.45800009</v>
      </c>
      <c r="G287" s="2">
        <f>geracao_mwh!H287</f>
        <v>1441071.6540000034</v>
      </c>
      <c r="H287" s="2">
        <f>geracao_mwh!I287</f>
        <v>36581654.398000233</v>
      </c>
      <c r="I287" s="2">
        <f>geracao_mwh!J287</f>
        <v>5530.9340000000047</v>
      </c>
      <c r="J287" s="2">
        <f>geracao_mwh!K287</f>
        <v>360595.11999999965</v>
      </c>
      <c r="K287" s="2">
        <f>geracao_mwh!L287</f>
        <v>65463.025999999911</v>
      </c>
      <c r="L287" s="2">
        <f>geracao_mwh!M287</f>
        <v>982.27900000000022</v>
      </c>
      <c r="M287" s="7">
        <f>co2e_mt!H287</f>
        <v>0.41629746153800229</v>
      </c>
      <c r="N287" s="7">
        <f>co2e_mt!K287</f>
        <v>1.437493648272</v>
      </c>
      <c r="O287" s="7">
        <f>co2e_mt!L287</f>
        <v>0.76821474235800502</v>
      </c>
      <c r="P287" s="7">
        <f>co2e_mt!P287</f>
        <v>6.0460040759999924E-2</v>
      </c>
    </row>
    <row r="288" spans="1:16" x14ac:dyDescent="0.3">
      <c r="A288" s="6" t="s">
        <v>63</v>
      </c>
      <c r="B288" s="11">
        <f>co2e_mt!S288</f>
        <v>3.4251142298840085</v>
      </c>
      <c r="C288" s="2">
        <f>geracao_mwh!D288</f>
        <v>894115.7919999907</v>
      </c>
      <c r="D288" s="2">
        <f>geracao_mwh!E288</f>
        <v>866468.70399999956</v>
      </c>
      <c r="E288" s="2">
        <f>geracao_mwh!F288</f>
        <v>8073219.567000106</v>
      </c>
      <c r="F288" s="2">
        <f>geracao_mwh!G288</f>
        <v>5948958.2320000604</v>
      </c>
      <c r="G288" s="2">
        <f>geracao_mwh!H288</f>
        <v>2567127.179000013</v>
      </c>
      <c r="H288" s="2">
        <f>geracao_mwh!I288</f>
        <v>37136737.160999939</v>
      </c>
      <c r="I288" s="2">
        <f>geracao_mwh!J288</f>
        <v>6664.3590000000058</v>
      </c>
      <c r="J288" s="2">
        <f>geracao_mwh!K288</f>
        <v>447023.57799999928</v>
      </c>
      <c r="K288" s="2">
        <f>geracao_mwh!L288</f>
        <v>129577.15000000014</v>
      </c>
      <c r="L288" s="2">
        <f>geracao_mwh!M288</f>
        <v>3307.7549999999992</v>
      </c>
      <c r="M288" s="7">
        <f>co2e_mt!H288</f>
        <v>0.41306238604500345</v>
      </c>
      <c r="N288" s="7">
        <f>co2e_mt!K288</f>
        <v>2.1149589816980061</v>
      </c>
      <c r="O288" s="7">
        <f>co2e_mt!L288</f>
        <v>0.77987148038099874</v>
      </c>
      <c r="P288" s="7">
        <f>co2e_mt!P288</f>
        <v>0.11722138176000012</v>
      </c>
    </row>
    <row r="289" spans="1:16" x14ac:dyDescent="0.3">
      <c r="A289" s="6" t="s">
        <v>64</v>
      </c>
      <c r="B289" s="11">
        <f>co2e_mt!S289</f>
        <v>3.3611805311114029</v>
      </c>
      <c r="C289" s="2">
        <f>geracao_mwh!D289</f>
        <v>603911.86599999503</v>
      </c>
      <c r="D289" s="2">
        <f>geracao_mwh!E289</f>
        <v>645368.61700000113</v>
      </c>
      <c r="E289" s="2">
        <f>geracao_mwh!F289</f>
        <v>8274145.5100001236</v>
      </c>
      <c r="F289" s="2">
        <f>geracao_mwh!G289</f>
        <v>6066471.4009999642</v>
      </c>
      <c r="G289" s="2">
        <f>geracao_mwh!H289</f>
        <v>2858574.0730000199</v>
      </c>
      <c r="H289" s="2">
        <f>geracao_mwh!I289</f>
        <v>38608568.189399645</v>
      </c>
      <c r="I289" s="2">
        <f>geracao_mwh!J289</f>
        <v>5693.6330000000034</v>
      </c>
      <c r="J289" s="2">
        <f>geracao_mwh!K289</f>
        <v>1242753.878000001</v>
      </c>
      <c r="K289" s="2">
        <f>geracao_mwh!L289</f>
        <v>107433.07899999974</v>
      </c>
      <c r="L289" s="2">
        <f>geracao_mwh!M289</f>
        <v>4894.9960000000019</v>
      </c>
      <c r="M289" s="7">
        <f>co2e_mt!H289</f>
        <v>0.41598137931899981</v>
      </c>
      <c r="N289" s="7">
        <f>co2e_mt!K289</f>
        <v>2.0352809850950111</v>
      </c>
      <c r="O289" s="7">
        <f>co2e_mt!L289</f>
        <v>0.81077993197739251</v>
      </c>
      <c r="P289" s="7">
        <f>co2e_mt!P289</f>
        <v>9.9138234719999774E-2</v>
      </c>
    </row>
    <row r="290" spans="1:16" x14ac:dyDescent="0.3">
      <c r="A290" s="6" t="s">
        <v>41</v>
      </c>
      <c r="B290" s="11">
        <f>co2e_mt!S290</f>
        <v>3.1692425070120156</v>
      </c>
      <c r="C290" s="2">
        <f>geracao_mwh!D290</f>
        <v>299603.55800001835</v>
      </c>
      <c r="D290" s="2">
        <f>geracao_mwh!E290</f>
        <v>613767.48000000056</v>
      </c>
      <c r="E290" s="2">
        <f>geracao_mwh!F290</f>
        <v>5496652.7300000247</v>
      </c>
      <c r="F290" s="2">
        <f>geracao_mwh!G290</f>
        <v>5779142.4640000397</v>
      </c>
      <c r="G290" s="2">
        <f>geracao_mwh!H290</f>
        <v>2620028.4799999837</v>
      </c>
      <c r="H290" s="2">
        <f>geracao_mwh!I290</f>
        <v>41807075.99700094</v>
      </c>
      <c r="I290" s="2">
        <f>geracao_mwh!J290</f>
        <v>5338.7309999999961</v>
      </c>
      <c r="J290" s="2">
        <f>geracao_mwh!K290</f>
        <v>1447149.5889999995</v>
      </c>
      <c r="K290" s="2">
        <f>geracao_mwh!L290</f>
        <v>47003.550000000054</v>
      </c>
      <c r="L290" s="2">
        <f>geracao_mwh!M290</f>
        <v>6261.1489999999985</v>
      </c>
      <c r="M290" s="7">
        <f>co2e_mt!H290</f>
        <v>0.35435194111500301</v>
      </c>
      <c r="N290" s="7">
        <f>co2e_mt!K290</f>
        <v>1.8877150887599927</v>
      </c>
      <c r="O290" s="7">
        <f>co2e_mt!L290</f>
        <v>0.87794859593701968</v>
      </c>
      <c r="P290" s="7">
        <f>co2e_mt!P290</f>
        <v>4.9226881200000044E-2</v>
      </c>
    </row>
    <row r="291" spans="1:16" x14ac:dyDescent="0.3">
      <c r="A291" s="6" t="s">
        <v>42</v>
      </c>
      <c r="B291" s="11">
        <f>co2e_mt!S291</f>
        <v>2.8166740851910212</v>
      </c>
      <c r="C291" s="2">
        <f>geracao_mwh!D291</f>
        <v>313451.10900000593</v>
      </c>
      <c r="D291" s="2">
        <f>geracao_mwh!E291</f>
        <v>810019.16500000085</v>
      </c>
      <c r="E291" s="2">
        <f>geracao_mwh!F291</f>
        <v>6248023.9640000314</v>
      </c>
      <c r="F291" s="2">
        <f>geracao_mwh!G291</f>
        <v>5549854.0540000256</v>
      </c>
      <c r="G291" s="2">
        <f>geracao_mwh!H291</f>
        <v>1543730.2830000049</v>
      </c>
      <c r="H291" s="2">
        <f>geracao_mwh!I291</f>
        <v>41158039.608000748</v>
      </c>
      <c r="I291" s="2">
        <f>geracao_mwh!J291</f>
        <v>5545.5460000000039</v>
      </c>
      <c r="J291" s="2">
        <f>geracao_mwh!K291</f>
        <v>1383340.8859999976</v>
      </c>
      <c r="K291" s="2">
        <f>geracao_mwh!L291</f>
        <v>29231.974000000031</v>
      </c>
      <c r="L291" s="2">
        <f>geracao_mwh!M291</f>
        <v>9415.6070000000072</v>
      </c>
      <c r="M291" s="7">
        <f>co2e_mt!H291</f>
        <v>0.35415092504000178</v>
      </c>
      <c r="N291" s="7">
        <f>co2e_mt!K291</f>
        <v>1.5610821017030032</v>
      </c>
      <c r="O291" s="7">
        <f>co2e_mt!L291</f>
        <v>0.86431883176801572</v>
      </c>
      <c r="P291" s="7">
        <f>co2e_mt!P291</f>
        <v>3.7122226680000037E-2</v>
      </c>
    </row>
    <row r="292" spans="1:16" x14ac:dyDescent="0.3">
      <c r="A292" s="6" t="s">
        <v>43</v>
      </c>
      <c r="B292" s="11">
        <f>co2e_mt!S292</f>
        <v>2.688939292638016</v>
      </c>
      <c r="C292" s="2">
        <f>geracao_mwh!D292</f>
        <v>464671.68700001691</v>
      </c>
      <c r="D292" s="2">
        <f>geracao_mwh!E292</f>
        <v>556531.59300000023</v>
      </c>
      <c r="E292" s="2">
        <f>geracao_mwh!F292</f>
        <v>5210013.5039999504</v>
      </c>
      <c r="F292" s="2">
        <f>geracao_mwh!G292</f>
        <v>5942193.8050000649</v>
      </c>
      <c r="G292" s="2">
        <f>geracao_mwh!H292</f>
        <v>1531374.8379999953</v>
      </c>
      <c r="H292" s="2">
        <f>geracao_mwh!I292</f>
        <v>45319554.445000693</v>
      </c>
      <c r="I292" s="2">
        <f>geracao_mwh!J292</f>
        <v>6799.9709999999959</v>
      </c>
      <c r="J292" s="2">
        <f>geracao_mwh!K292</f>
        <v>1400648.9770000004</v>
      </c>
      <c r="K292" s="2">
        <f>geracao_mwh!L292</f>
        <v>72297.462</v>
      </c>
      <c r="L292" s="2">
        <f>geracao_mwh!M292</f>
        <v>4565.0429999999969</v>
      </c>
      <c r="M292" s="7">
        <f>co2e_mt!H292</f>
        <v>0.36561587359200298</v>
      </c>
      <c r="N292" s="7">
        <f>co2e_mt!K292</f>
        <v>1.301336295860998</v>
      </c>
      <c r="O292" s="7">
        <f>co2e_mt!L292</f>
        <v>0.95171064334501454</v>
      </c>
      <c r="P292" s="7">
        <f>co2e_mt!P292</f>
        <v>7.0276479839999989E-2</v>
      </c>
    </row>
    <row r="293" spans="1:16" x14ac:dyDescent="0.3">
      <c r="A293" s="6" t="s">
        <v>44</v>
      </c>
      <c r="B293" s="11">
        <f>co2e_mt!S293</f>
        <v>2.1740899907730138</v>
      </c>
      <c r="C293" s="2">
        <f>geracao_mwh!D293</f>
        <v>712086.44700001774</v>
      </c>
      <c r="D293" s="2">
        <f>geracao_mwh!E293</f>
        <v>207504.80300000007</v>
      </c>
      <c r="E293" s="2">
        <f>geracao_mwh!F293</f>
        <v>5894657.680999903</v>
      </c>
      <c r="F293" s="2">
        <f>geracao_mwh!G293</f>
        <v>5630334.417000005</v>
      </c>
      <c r="G293" s="2">
        <f>geracao_mwh!H293</f>
        <v>1404223.2830000028</v>
      </c>
      <c r="H293" s="2">
        <f>geracao_mwh!I293</f>
        <v>40914898.064000636</v>
      </c>
      <c r="I293" s="2">
        <f>geracao_mwh!J293</f>
        <v>6158.5300000000007</v>
      </c>
      <c r="J293" s="2">
        <f>geracao_mwh!K293</f>
        <v>1434791.6999999997</v>
      </c>
      <c r="K293" s="2">
        <f>geracao_mwh!L293</f>
        <v>49413.661999999364</v>
      </c>
      <c r="L293" s="2">
        <f>geracao_mwh!M293</f>
        <v>4304.7019999999966</v>
      </c>
      <c r="M293" s="7">
        <f>co2e_mt!H293</f>
        <v>0.37441571712799981</v>
      </c>
      <c r="N293" s="7">
        <f>co2e_mt!K293</f>
        <v>0.89016482334100144</v>
      </c>
      <c r="O293" s="7">
        <f>co2e_mt!L293</f>
        <v>0.85921285934401326</v>
      </c>
      <c r="P293" s="7">
        <f>co2e_mt!P293</f>
        <v>5.0296590959999464E-2</v>
      </c>
    </row>
    <row r="294" spans="1:16" x14ac:dyDescent="0.3">
      <c r="A294" s="6" t="s">
        <v>45</v>
      </c>
      <c r="B294" s="11">
        <f>co2e_mt!S294</f>
        <v>2.2585894325180185</v>
      </c>
      <c r="C294" s="2">
        <f>geracao_mwh!D294</f>
        <v>1036787.4850000209</v>
      </c>
      <c r="D294" s="2">
        <f>geracao_mwh!E294</f>
        <v>415646.68</v>
      </c>
      <c r="E294" s="2">
        <f>geracao_mwh!F294</f>
        <v>8751061.9289998356</v>
      </c>
      <c r="F294" s="2">
        <f>geracao_mwh!G294</f>
        <v>5508900.0219999813</v>
      </c>
      <c r="G294" s="2">
        <f>geracao_mwh!H294</f>
        <v>1192595.2019999959</v>
      </c>
      <c r="H294" s="2">
        <f>geracao_mwh!I294</f>
        <v>37427924.024001054</v>
      </c>
      <c r="I294" s="2">
        <f>geracao_mwh!J294</f>
        <v>5903.645000000005</v>
      </c>
      <c r="J294" s="2">
        <f>geracao_mwh!K294</f>
        <v>1265158.7229999995</v>
      </c>
      <c r="K294" s="2">
        <f>geracao_mwh!L294</f>
        <v>20622.043999999933</v>
      </c>
      <c r="L294" s="2">
        <f>geracao_mwh!M294</f>
        <v>40061.114000000001</v>
      </c>
      <c r="M294" s="7">
        <f>co2e_mt!H294</f>
        <v>0.42100651864199812</v>
      </c>
      <c r="N294" s="7">
        <f>co2e_mt!K294</f>
        <v>0.99566359485199807</v>
      </c>
      <c r="O294" s="7">
        <f>co2e_mt!L294</f>
        <v>0.78598640450402213</v>
      </c>
      <c r="P294" s="7">
        <f>co2e_mt!P294</f>
        <v>5.5932914519999946E-2</v>
      </c>
    </row>
    <row r="295" spans="1:16" x14ac:dyDescent="0.3">
      <c r="A295" s="6" t="s">
        <v>46</v>
      </c>
      <c r="B295" s="11">
        <f>co2e_mt!S295</f>
        <v>2.3494824886189853</v>
      </c>
      <c r="C295" s="2">
        <f>geracao_mwh!D295</f>
        <v>1077344.0609999693</v>
      </c>
      <c r="D295" s="2">
        <f>geracao_mwh!E295</f>
        <v>541868.91000000015</v>
      </c>
      <c r="E295" s="2">
        <f>geracao_mwh!F295</f>
        <v>9592099.3619999848</v>
      </c>
      <c r="F295" s="2">
        <f>geracao_mwh!G295</f>
        <v>5123569.1130000716</v>
      </c>
      <c r="G295" s="2">
        <f>geracao_mwh!H295</f>
        <v>1414397.6479999914</v>
      </c>
      <c r="H295" s="2">
        <f>geracao_mwh!I295</f>
        <v>32353430.267999411</v>
      </c>
      <c r="I295" s="2">
        <f>geracao_mwh!J295</f>
        <v>1723.9899999999998</v>
      </c>
      <c r="J295" s="2">
        <f>geracao_mwh!K295</f>
        <v>1440311.1919999979</v>
      </c>
      <c r="K295" s="2">
        <f>geracao_mwh!L295</f>
        <v>21323.37300000004</v>
      </c>
      <c r="L295" s="2">
        <f>geracao_mwh!M295</f>
        <v>1352.3</v>
      </c>
      <c r="M295" s="7">
        <f>co2e_mt!H295</f>
        <v>0.41975670023300127</v>
      </c>
      <c r="N295" s="7">
        <f>co2e_mt!K295</f>
        <v>1.2298080358379959</v>
      </c>
      <c r="O295" s="7">
        <f>co2e_mt!L295</f>
        <v>0.67942203562798764</v>
      </c>
      <c r="P295" s="7">
        <f>co2e_mt!P295</f>
        <v>2.0495716920000032E-2</v>
      </c>
    </row>
    <row r="296" spans="1:16" x14ac:dyDescent="0.3">
      <c r="A296" s="6" t="s">
        <v>47</v>
      </c>
      <c r="B296" s="11">
        <f>co2e_mt!S296</f>
        <v>3.0534374760579834</v>
      </c>
      <c r="C296" s="2">
        <f>geracao_mwh!D296</f>
        <v>1078012.9319999965</v>
      </c>
      <c r="D296" s="2">
        <f>geracao_mwh!E296</f>
        <v>666165.84600000107</v>
      </c>
      <c r="E296" s="2">
        <f>geracao_mwh!F296</f>
        <v>10917113.658000132</v>
      </c>
      <c r="F296" s="2">
        <f>geracao_mwh!G296</f>
        <v>5563417.7659999914</v>
      </c>
      <c r="G296" s="2">
        <f>geracao_mwh!H296</f>
        <v>2504161.5550000016</v>
      </c>
      <c r="H296" s="2">
        <f>geracao_mwh!I296</f>
        <v>31610175.176999066</v>
      </c>
      <c r="I296" s="2">
        <f>geracao_mwh!J296</f>
        <v>3468.6130000000007</v>
      </c>
      <c r="J296" s="2">
        <f>geracao_mwh!K296</f>
        <v>1491835.2530000005</v>
      </c>
      <c r="K296" s="2">
        <f>geracao_mwh!L296</f>
        <v>48556.996000000057</v>
      </c>
      <c r="L296" s="2">
        <f>geracao_mwh!M296</f>
        <v>6509.2689999999975</v>
      </c>
      <c r="M296" s="7">
        <f>co2e_mt!H296</f>
        <v>0.45659997224500121</v>
      </c>
      <c r="N296" s="7">
        <f>co2e_mt!K296</f>
        <v>1.8838545275760019</v>
      </c>
      <c r="O296" s="7">
        <f>co2e_mt!L296</f>
        <v>0.66381367871698038</v>
      </c>
      <c r="P296" s="7">
        <f>co2e_mt!P296</f>
        <v>4.9169297520000051E-2</v>
      </c>
    </row>
    <row r="297" spans="1:16" x14ac:dyDescent="0.3">
      <c r="A297" s="6" t="s">
        <v>48</v>
      </c>
      <c r="B297" s="11">
        <f>co2e_mt!S297</f>
        <v>3.6847551731709829</v>
      </c>
      <c r="C297" s="2">
        <f>geracao_mwh!D297</f>
        <v>1084835.3699999861</v>
      </c>
      <c r="D297" s="2">
        <f>geracao_mwh!E297</f>
        <v>889848.02500000084</v>
      </c>
      <c r="E297" s="2">
        <f>geracao_mwh!F297</f>
        <v>11884514.446999833</v>
      </c>
      <c r="F297" s="2">
        <f>geracao_mwh!G297</f>
        <v>6393456.7190000527</v>
      </c>
      <c r="G297" s="2">
        <f>geracao_mwh!H297</f>
        <v>3229597.5679999818</v>
      </c>
      <c r="H297" s="2">
        <f>geracao_mwh!I297</f>
        <v>30137297.081999611</v>
      </c>
      <c r="I297" s="2">
        <f>geracao_mwh!J297</f>
        <v>4666.9279999999981</v>
      </c>
      <c r="J297" s="2">
        <f>geracao_mwh!K297</f>
        <v>1492515.2560000008</v>
      </c>
      <c r="K297" s="2">
        <f>geracao_mwh!L297</f>
        <v>88635.546999999846</v>
      </c>
      <c r="L297" s="2">
        <f>geracao_mwh!M297</f>
        <v>9457.2620000000006</v>
      </c>
      <c r="M297" s="7">
        <f>co2e_mt!H297</f>
        <v>0.5052314642959993</v>
      </c>
      <c r="N297" s="7">
        <f>co2e_mt!K297</f>
        <v>2.4603222910729921</v>
      </c>
      <c r="O297" s="7">
        <f>co2e_mt!L297</f>
        <v>0.63288323872199181</v>
      </c>
      <c r="P297" s="7">
        <f>co2e_mt!P297</f>
        <v>8.631817907999989E-2</v>
      </c>
    </row>
    <row r="298" spans="1:16" x14ac:dyDescent="0.3">
      <c r="A298" s="6" t="s">
        <v>49</v>
      </c>
      <c r="B298" s="11">
        <f>co2e_mt!S298</f>
        <v>4.5799574679530215</v>
      </c>
      <c r="C298" s="2">
        <f>geracao_mwh!D298</f>
        <v>1195675.645</v>
      </c>
      <c r="D298" s="2">
        <f>geracao_mwh!E298</f>
        <v>983201.75799999828</v>
      </c>
      <c r="E298" s="2">
        <f>geracao_mwh!F298</f>
        <v>11830532.459999982</v>
      </c>
      <c r="F298" s="2">
        <f>geracao_mwh!G298</f>
        <v>6759343.928000018</v>
      </c>
      <c r="G298" s="2">
        <f>geracao_mwh!H298</f>
        <v>4794739.4630000563</v>
      </c>
      <c r="H298" s="2">
        <f>geracao_mwh!I298</f>
        <v>28711235.538999781</v>
      </c>
      <c r="I298" s="2">
        <f>geracao_mwh!J298</f>
        <v>5143.9339999999956</v>
      </c>
      <c r="J298" s="2">
        <f>geracao_mwh!K298</f>
        <v>1426853.777999999</v>
      </c>
      <c r="K298" s="2">
        <f>geracao_mwh!L298</f>
        <v>123644.63899999997</v>
      </c>
      <c r="L298" s="2">
        <f>geracao_mwh!M298</f>
        <v>34806.950000000019</v>
      </c>
      <c r="M298" s="7">
        <f>co2e_mt!H298</f>
        <v>0.52517294353800059</v>
      </c>
      <c r="N298" s="7">
        <f>co2e_mt!K298</f>
        <v>3.3144283387760258</v>
      </c>
      <c r="O298" s="7">
        <f>co2e_mt!L298</f>
        <v>0.6029359463189955</v>
      </c>
      <c r="P298" s="7">
        <f>co2e_mt!P298</f>
        <v>0.13742023931999997</v>
      </c>
    </row>
    <row r="299" spans="1:16" x14ac:dyDescent="0.3">
      <c r="A299" s="6" t="s">
        <v>50</v>
      </c>
      <c r="B299" s="11">
        <f>co2e_mt!S299</f>
        <v>5.5036684921859829</v>
      </c>
      <c r="C299" s="2">
        <f>geracao_mwh!D299</f>
        <v>980584.71400000353</v>
      </c>
      <c r="D299" s="2">
        <f>geracao_mwh!E299</f>
        <v>1726091.5539999993</v>
      </c>
      <c r="E299" s="2">
        <f>geracao_mwh!F299</f>
        <v>10750731.018000118</v>
      </c>
      <c r="F299" s="2">
        <f>geracao_mwh!G299</f>
        <v>7619338.9020000203</v>
      </c>
      <c r="G299" s="2">
        <f>geracao_mwh!H299</f>
        <v>5179389.1029999917</v>
      </c>
      <c r="H299" s="2">
        <f>geracao_mwh!I299</f>
        <v>29937512.051999293</v>
      </c>
      <c r="I299" s="2">
        <f>geracao_mwh!J299</f>
        <v>2228.171000000003</v>
      </c>
      <c r="J299" s="2">
        <f>geracao_mwh!K299</f>
        <v>1485279.7980000011</v>
      </c>
      <c r="K299" s="2">
        <f>geracao_mwh!L299</f>
        <v>86953.126999999979</v>
      </c>
      <c r="L299" s="2">
        <f>geracao_mwh!M299</f>
        <v>20687.596000000009</v>
      </c>
      <c r="M299" s="7">
        <f>co2e_mt!H299</f>
        <v>0.53769011852200255</v>
      </c>
      <c r="N299" s="7">
        <f>co2e_mt!K299</f>
        <v>4.2450007496119948</v>
      </c>
      <c r="O299" s="7">
        <f>co2e_mt!L299</f>
        <v>0.62868775309198521</v>
      </c>
      <c r="P299" s="7">
        <f>co2e_mt!P299</f>
        <v>9.2289870959999992E-2</v>
      </c>
    </row>
    <row r="300" spans="1:16" x14ac:dyDescent="0.3">
      <c r="A300" s="6" t="s">
        <v>51</v>
      </c>
      <c r="B300" s="11">
        <f>co2e_mt!S300</f>
        <v>3.8354343344339865</v>
      </c>
      <c r="C300" s="2">
        <f>geracao_mwh!D300</f>
        <v>810514.14199999149</v>
      </c>
      <c r="D300" s="2">
        <f>geracao_mwh!E300</f>
        <v>945107.15100000438</v>
      </c>
      <c r="E300" s="2">
        <f>geracao_mwh!F300</f>
        <v>10004584.201000025</v>
      </c>
      <c r="F300" s="2">
        <f>geracao_mwh!G300</f>
        <v>7327936.1140000019</v>
      </c>
      <c r="G300" s="2">
        <f>geracao_mwh!H300</f>
        <v>3317990.4230000284</v>
      </c>
      <c r="H300" s="2">
        <f>geracao_mwh!I300</f>
        <v>33189606.540998511</v>
      </c>
      <c r="I300" s="2">
        <f>geracao_mwh!J300</f>
        <v>1766.1079999999999</v>
      </c>
      <c r="J300" s="2">
        <f>geracao_mwh!K300</f>
        <v>691834.50499999931</v>
      </c>
      <c r="K300" s="2">
        <f>geracao_mwh!L300</f>
        <v>92238.70300000011</v>
      </c>
      <c r="L300" s="2">
        <f>geracao_mwh!M300</f>
        <v>5466.0959999999986</v>
      </c>
      <c r="M300" s="7">
        <f>co2e_mt!H300</f>
        <v>0.49630143146399996</v>
      </c>
      <c r="N300" s="7">
        <f>co2e_mt!K300</f>
        <v>2.5585956037290178</v>
      </c>
      <c r="O300" s="7">
        <f>co2e_mt!L300</f>
        <v>0.6969817373609688</v>
      </c>
      <c r="P300" s="7">
        <f>co2e_mt!P300</f>
        <v>8.3555561880000087E-2</v>
      </c>
    </row>
    <row r="301" spans="1:16" x14ac:dyDescent="0.3">
      <c r="A301" s="6" t="s">
        <v>52</v>
      </c>
      <c r="B301" s="11">
        <f>co2e_mt!S301</f>
        <v>3.4256209658949599</v>
      </c>
      <c r="C301" s="2">
        <f>geracao_mwh!D301</f>
        <v>445790.13500001346</v>
      </c>
      <c r="D301" s="2">
        <f>geracao_mwh!E301</f>
        <v>753159.87899999938</v>
      </c>
      <c r="E301" s="2">
        <f>geracao_mwh!F301</f>
        <v>9409209.7440002039</v>
      </c>
      <c r="F301" s="2">
        <f>geracao_mwh!G301</f>
        <v>7743110.8239999721</v>
      </c>
      <c r="G301" s="2">
        <f>geracao_mwh!H301</f>
        <v>2875883.4389999858</v>
      </c>
      <c r="H301" s="2">
        <f>geracao_mwh!I301</f>
        <v>35745017.25299836</v>
      </c>
      <c r="I301" s="2">
        <f>geracao_mwh!J301</f>
        <v>2719.9039999999986</v>
      </c>
      <c r="J301" s="2">
        <f>geracao_mwh!K301</f>
        <v>769563.56499999948</v>
      </c>
      <c r="K301" s="2">
        <f>geracao_mwh!L301</f>
        <v>24726.655999999984</v>
      </c>
      <c r="L301" s="2">
        <f>geracao_mwh!M301</f>
        <v>14129.996999999988</v>
      </c>
      <c r="M301" s="7">
        <f>co2e_mt!H301</f>
        <v>0.48845890546900217</v>
      </c>
      <c r="N301" s="7">
        <f>co2e_mt!K301</f>
        <v>2.1515923902329925</v>
      </c>
      <c r="O301" s="7">
        <f>co2e_mt!L301</f>
        <v>0.75064536231296553</v>
      </c>
      <c r="P301" s="7">
        <f>co2e_mt!P301</f>
        <v>3.4924307879999977E-2</v>
      </c>
    </row>
    <row r="302" spans="1:16" x14ac:dyDescent="0.3">
      <c r="A302" s="6" t="s">
        <v>221</v>
      </c>
      <c r="B302" s="13">
        <f>co2e_mt!S302</f>
        <v>2.7842877954510072</v>
      </c>
      <c r="C302" s="12">
        <f>geracao_mwh!D302</f>
        <v>231900.18500000102</v>
      </c>
      <c r="D302" s="12">
        <f>geracao_mwh!E302</f>
        <v>306080.33199999994</v>
      </c>
      <c r="E302" s="12">
        <f>geracao_mwh!F302</f>
        <v>5812282.6499999119</v>
      </c>
      <c r="F302" s="12">
        <f>geracao_mwh!G302</f>
        <v>7737088.3119999329</v>
      </c>
      <c r="G302" s="12">
        <f>geracao_mwh!H302</f>
        <v>2260029.3059999933</v>
      </c>
      <c r="H302" s="12">
        <f>geracao_mwh!I302</f>
        <v>43624918.003000706</v>
      </c>
      <c r="I302" s="12">
        <f>geracao_mwh!J302</f>
        <v>2971.4879999999966</v>
      </c>
      <c r="J302" s="12">
        <f>geracao_mwh!K302</f>
        <v>1357484.0380000011</v>
      </c>
      <c r="K302" s="12">
        <f>geracao_mwh!L302</f>
        <v>22435.64599999999</v>
      </c>
      <c r="L302" s="12">
        <f>geracao_mwh!M302</f>
        <v>4882.4949999999999</v>
      </c>
      <c r="M302" s="7">
        <f>co2e_mt!H302</f>
        <v>0.43796057397999599</v>
      </c>
      <c r="N302" s="7">
        <f>co2e_mt!K302</f>
        <v>1.4047606550479965</v>
      </c>
      <c r="O302" s="7">
        <f>co2e_mt!L302</f>
        <v>0.91612327806301486</v>
      </c>
      <c r="P302" s="7">
        <f>co2e_mt!P302</f>
        <v>2.544328835999999E-2</v>
      </c>
    </row>
    <row r="303" spans="1:16" x14ac:dyDescent="0.3">
      <c r="A303" s="6" t="s">
        <v>222</v>
      </c>
      <c r="B303" s="13">
        <f>co2e_mt!S303</f>
        <v>2.7062503308829897</v>
      </c>
      <c r="C303" s="12">
        <f>geracao_mwh!D303</f>
        <v>287585.60600001056</v>
      </c>
      <c r="D303" s="12">
        <f>geracao_mwh!E303</f>
        <v>630697.55899999954</v>
      </c>
      <c r="E303" s="12">
        <f>geracao_mwh!F303</f>
        <v>7324084.7499999814</v>
      </c>
      <c r="F303" s="12">
        <f>geracao_mwh!G303</f>
        <v>7356471.3610000229</v>
      </c>
      <c r="G303" s="12">
        <f>geracao_mwh!H303</f>
        <v>1521269.933</v>
      </c>
      <c r="H303" s="12">
        <f>geracao_mwh!I303</f>
        <v>41338288.5839995</v>
      </c>
      <c r="I303" s="12">
        <f>geracao_mwh!J303</f>
        <v>2028.3180000000018</v>
      </c>
      <c r="J303" s="12">
        <f>geracao_mwh!K303</f>
        <v>1330426.2089999972</v>
      </c>
      <c r="K303" s="12">
        <f>geracao_mwh!L303</f>
        <v>15828.762000000002</v>
      </c>
      <c r="L303" s="12">
        <f>geracao_mwh!M303</f>
        <v>10344.662999999997</v>
      </c>
      <c r="M303" s="7">
        <f>co2e_mt!H303</f>
        <v>0.44379136250200124</v>
      </c>
      <c r="N303" s="7">
        <f>co2e_mt!K303</f>
        <v>1.3706654439969994</v>
      </c>
      <c r="O303" s="7">
        <f>co2e_mt!L303</f>
        <v>0.86810406026398934</v>
      </c>
      <c r="P303" s="7">
        <f>co2e_mt!P303</f>
        <v>2.368946412E-2</v>
      </c>
    </row>
    <row r="304" spans="1:16" x14ac:dyDescent="0.3">
      <c r="A304" s="6" t="s">
        <v>223</v>
      </c>
      <c r="B304" s="13">
        <f>co2e_mt!S304</f>
        <v>2.6795672649460114</v>
      </c>
      <c r="C304" s="12">
        <f>geracao_mwh!D304</f>
        <v>361263.58900001505</v>
      </c>
      <c r="D304" s="12">
        <f>geracao_mwh!E304</f>
        <v>487989.22000000061</v>
      </c>
      <c r="E304" s="12">
        <f>geracao_mwh!F304</f>
        <v>8322738.5270001916</v>
      </c>
      <c r="F304" s="12">
        <f>geracao_mwh!G304</f>
        <v>8532550.4189999662</v>
      </c>
      <c r="G304" s="12">
        <f>geracao_mwh!H304</f>
        <v>1572228.8230000059</v>
      </c>
      <c r="H304" s="12">
        <f>geracao_mwh!I304</f>
        <v>42507682.365000285</v>
      </c>
      <c r="I304" s="12">
        <f>geracao_mwh!J304</f>
        <v>1479.0259999999992</v>
      </c>
      <c r="J304" s="12">
        <f>geracao_mwh!K304</f>
        <v>1443183.8389999999</v>
      </c>
      <c r="K304" s="12">
        <f>geracao_mwh!L304</f>
        <v>12207.677000000011</v>
      </c>
      <c r="L304" s="12">
        <f>geracao_mwh!M304</f>
        <v>12126.574000000001</v>
      </c>
      <c r="M304" s="7">
        <f>co2e_mt!H304</f>
        <v>0.51264236540300179</v>
      </c>
      <c r="N304" s="7">
        <f>co2e_mt!K304</f>
        <v>1.2525804171980035</v>
      </c>
      <c r="O304" s="7">
        <f>co2e_mt!L304</f>
        <v>0.892661329665006</v>
      </c>
      <c r="P304" s="7">
        <f>co2e_mt!P304</f>
        <v>2.1683152680000008E-2</v>
      </c>
    </row>
    <row r="305" spans="1:16" x14ac:dyDescent="0.3">
      <c r="A305" s="6" t="s">
        <v>224</v>
      </c>
      <c r="B305" s="13">
        <f>co2e_mt!S305</f>
        <v>2.7647861918440038</v>
      </c>
      <c r="C305" s="12">
        <f>geracao_mwh!D305</f>
        <v>554322.0190000009</v>
      </c>
      <c r="D305" s="12">
        <f>geracao_mwh!E305</f>
        <v>624979.96600000001</v>
      </c>
      <c r="E305" s="12">
        <f>geracao_mwh!F305</f>
        <v>7461279.3279999634</v>
      </c>
      <c r="F305" s="12">
        <f>geracao_mwh!G305</f>
        <v>7191480.0559999803</v>
      </c>
      <c r="G305" s="12">
        <f>geracao_mwh!H305</f>
        <v>1829392.9040000024</v>
      </c>
      <c r="H305" s="12">
        <f>geracao_mwh!I305</f>
        <v>37362075.818000175</v>
      </c>
      <c r="I305" s="12">
        <f>geracao_mwh!J305</f>
        <v>1613.6869999999999</v>
      </c>
      <c r="J305" s="12">
        <f>geracao_mwh!K305</f>
        <v>1026404.512</v>
      </c>
      <c r="K305" s="12">
        <f>geracao_mwh!L305</f>
        <v>9446.7449999999972</v>
      </c>
      <c r="L305" s="12">
        <f>geracao_mwh!M305</f>
        <v>9290.0740000000042</v>
      </c>
      <c r="M305" s="7">
        <f>co2e_mt!H305</f>
        <v>0.44839827731599874</v>
      </c>
      <c r="N305" s="7">
        <f>co2e_mt!K305</f>
        <v>1.5146898973100011</v>
      </c>
      <c r="O305" s="7">
        <f>co2e_mt!L305</f>
        <v>0.78460359217800368</v>
      </c>
      <c r="P305" s="7">
        <f>co2e_mt!P305</f>
        <v>1.709442504E-2</v>
      </c>
    </row>
    <row r="306" spans="1:16" x14ac:dyDescent="0.3">
      <c r="A306" s="6" t="s">
        <v>225</v>
      </c>
      <c r="B306" s="13">
        <f>co2e_mt!S306</f>
        <v>2.7326105042250055</v>
      </c>
      <c r="C306" s="12">
        <f>geracao_mwh!D306</f>
        <v>873939.7119999954</v>
      </c>
      <c r="D306" s="12">
        <f>geracao_mwh!E306</f>
        <v>590826.72200000088</v>
      </c>
      <c r="E306" s="12">
        <f>geracao_mwh!F306</f>
        <v>10546522.789000116</v>
      </c>
      <c r="F306" s="12">
        <f>geracao_mwh!G306</f>
        <v>6752909.2219999908</v>
      </c>
      <c r="G306" s="12">
        <f>geracao_mwh!H306</f>
        <v>1941517.4679999908</v>
      </c>
      <c r="H306" s="12">
        <f>geracao_mwh!I306</f>
        <v>33354187.387000393</v>
      </c>
      <c r="I306" s="12">
        <f>geracao_mwh!J306</f>
        <v>1092.8860000000006</v>
      </c>
      <c r="J306" s="12">
        <f>geracao_mwh!K306</f>
        <v>1009487.3769999995</v>
      </c>
      <c r="K306" s="12">
        <f>geracao_mwh!L306</f>
        <v>9261.1450000000004</v>
      </c>
      <c r="L306" s="12">
        <f>geracao_mwh!M306</f>
        <v>2895.2989999999972</v>
      </c>
      <c r="M306" s="7">
        <f>co2e_mt!H306</f>
        <v>0.48604809372800084</v>
      </c>
      <c r="N306" s="7">
        <f>co2e_mt!K306</f>
        <v>1.5349950381699964</v>
      </c>
      <c r="O306" s="7">
        <f>co2e_mt!L306</f>
        <v>0.70043793512700825</v>
      </c>
      <c r="P306" s="7">
        <f>co2e_mt!P306</f>
        <v>1.1129437199999998E-2</v>
      </c>
    </row>
    <row r="307" spans="1:16" x14ac:dyDescent="0.3">
      <c r="A307" s="6" t="s">
        <v>226</v>
      </c>
      <c r="B307" s="13">
        <f>co2e_mt!S307</f>
        <v>3.1986944100510177</v>
      </c>
      <c r="C307" s="12">
        <f>geracao_mwh!D307</f>
        <v>932014.10000000661</v>
      </c>
      <c r="D307" s="12">
        <f>geracao_mwh!E307</f>
        <v>901841.1540000001</v>
      </c>
      <c r="E307" s="12">
        <f>geracao_mwh!F307</f>
        <v>10692393.773999974</v>
      </c>
      <c r="F307" s="12">
        <f>geracao_mwh!G307</f>
        <v>6186793.3880000096</v>
      </c>
      <c r="G307" s="12">
        <f>geracao_mwh!H307</f>
        <v>2427381.6749999961</v>
      </c>
      <c r="H307" s="12">
        <f>geracao_mwh!I307</f>
        <v>30292421.856000908</v>
      </c>
      <c r="I307" s="12">
        <f>geracao_mwh!J307</f>
        <v>1300.4370000000004</v>
      </c>
      <c r="J307" s="12">
        <f>geracao_mwh!K307</f>
        <v>980523.78500000143</v>
      </c>
      <c r="K307" s="12">
        <f>geracao_mwh!L307</f>
        <v>6076.9000000000015</v>
      </c>
      <c r="L307" s="12">
        <f>geracao_mwh!M307</f>
        <v>9120.6209999999974</v>
      </c>
      <c r="M307" s="7">
        <f>co2e_mt!H307</f>
        <v>0.46624477715100043</v>
      </c>
      <c r="N307" s="7">
        <f>co2e_mt!K307</f>
        <v>2.0824504892039983</v>
      </c>
      <c r="O307" s="7">
        <f>co2e_mt!L307</f>
        <v>0.63614085897601902</v>
      </c>
      <c r="P307" s="7">
        <f>co2e_mt!P307</f>
        <v>1.3858284720000001E-2</v>
      </c>
    </row>
    <row r="308" spans="1:16" x14ac:dyDescent="0.3">
      <c r="A308" s="6" t="s">
        <v>227</v>
      </c>
      <c r="B308" s="13">
        <f>co2e_mt!S308</f>
        <v>4.144591721200011</v>
      </c>
      <c r="C308" s="12">
        <f>geracao_mwh!D308</f>
        <v>882448.19599999732</v>
      </c>
      <c r="D308" s="12">
        <f>geracao_mwh!E308</f>
        <v>910971.99699999974</v>
      </c>
      <c r="E308" s="12">
        <f>geracao_mwh!F308</f>
        <v>11245328.122000119</v>
      </c>
      <c r="F308" s="12">
        <f>geracao_mwh!G308</f>
        <v>6852675.7820000295</v>
      </c>
      <c r="G308" s="12">
        <f>geracao_mwh!H308</f>
        <v>4342050.143000002</v>
      </c>
      <c r="H308" s="12">
        <f>geracao_mwh!I308</f>
        <v>28640181.475000348</v>
      </c>
      <c r="I308" s="12">
        <f>geracao_mwh!J308</f>
        <v>1887.3039999999985</v>
      </c>
      <c r="J308" s="12">
        <f>geracao_mwh!K308</f>
        <v>1295792.7420000017</v>
      </c>
      <c r="K308" s="12">
        <f>geracao_mwh!L308</f>
        <v>10944.041000000052</v>
      </c>
      <c r="L308" s="12">
        <f>geracao_mwh!M308</f>
        <v>7932.5069999999996</v>
      </c>
      <c r="M308" s="7">
        <f>co2e_mt!H308</f>
        <v>0.50358693605000271</v>
      </c>
      <c r="N308" s="7">
        <f>co2e_mt!K308</f>
        <v>3.0221193384950009</v>
      </c>
      <c r="O308" s="7">
        <f>co2e_mt!L308</f>
        <v>0.60144381097500732</v>
      </c>
      <c r="P308" s="7">
        <f>co2e_mt!P308</f>
        <v>1.7441635680000043E-2</v>
      </c>
    </row>
    <row r="309" spans="1:16" x14ac:dyDescent="0.3">
      <c r="A309" s="6" t="s">
        <v>228</v>
      </c>
      <c r="B309" s="13">
        <f>co2e_mt!S309</f>
        <v>4.4965874927009972</v>
      </c>
      <c r="C309" s="12">
        <f>geracao_mwh!D309</f>
        <v>934529.20099999872</v>
      </c>
      <c r="D309" s="12">
        <f>geracao_mwh!E309</f>
        <v>1154944.9130000002</v>
      </c>
      <c r="E309" s="12">
        <f>geracao_mwh!F309</f>
        <v>11687992.222999977</v>
      </c>
      <c r="F309" s="12">
        <f>geracao_mwh!G309</f>
        <v>7297560.8030000161</v>
      </c>
      <c r="G309" s="12">
        <f>geracao_mwh!H309</f>
        <v>4578354.2879999876</v>
      </c>
      <c r="H309" s="12">
        <f>geracao_mwh!I309</f>
        <v>26626255.602000136</v>
      </c>
      <c r="I309" s="12">
        <f>geracao_mwh!J309</f>
        <v>2005.521999999999</v>
      </c>
      <c r="J309" s="12">
        <f>geracao_mwh!K309</f>
        <v>1497307.3459999976</v>
      </c>
      <c r="K309" s="12">
        <f>geracao_mwh!L309</f>
        <v>15462.787000000018</v>
      </c>
      <c r="L309" s="12">
        <f>geracao_mwh!M309</f>
        <v>9265.6860000000033</v>
      </c>
      <c r="M309" s="7">
        <f>co2e_mt!H309</f>
        <v>0.53379952737800029</v>
      </c>
      <c r="N309" s="7">
        <f>co2e_mt!K309</f>
        <v>3.3811800418809943</v>
      </c>
      <c r="O309" s="7">
        <f>co2e_mt!L309</f>
        <v>0.55915136764200291</v>
      </c>
      <c r="P309" s="7">
        <f>co2e_mt!P309</f>
        <v>2.2456555800000017E-2</v>
      </c>
    </row>
    <row r="310" spans="1:16" x14ac:dyDescent="0.3">
      <c r="A310" s="6" t="s">
        <v>229</v>
      </c>
      <c r="B310" s="13">
        <f>co2e_mt!S310</f>
        <v>3.9255798686930041</v>
      </c>
      <c r="C310" s="12">
        <f>geracao_mwh!D310</f>
        <v>582893.33599999652</v>
      </c>
      <c r="D310" s="12">
        <f>geracao_mwh!E310</f>
        <v>1085700.3400000022</v>
      </c>
      <c r="E310" s="12">
        <f>geracao_mwh!F310</f>
        <v>12378193.982000036</v>
      </c>
      <c r="F310" s="12">
        <f>geracao_mwh!G310</f>
        <v>7682711.1029999768</v>
      </c>
      <c r="G310" s="12">
        <f>geracao_mwh!H310</f>
        <v>3542002.5899999905</v>
      </c>
      <c r="H310" s="12">
        <f>geracao_mwh!I310</f>
        <v>26849110.160000354</v>
      </c>
      <c r="I310" s="12">
        <f>geracao_mwh!J310</f>
        <v>1732.1470000000004</v>
      </c>
      <c r="J310" s="12">
        <f>geracao_mwh!K310</f>
        <v>1449266.7020000012</v>
      </c>
      <c r="K310" s="12">
        <f>geracao_mwh!L310</f>
        <v>6006.2434999999987</v>
      </c>
      <c r="L310" s="12">
        <f>geracao_mwh!M310</f>
        <v>7886.8909999999914</v>
      </c>
      <c r="M310" s="7">
        <f>co2e_mt!H310</f>
        <v>0.54042401979299926</v>
      </c>
      <c r="N310" s="7">
        <f>co2e_mt!K310</f>
        <v>2.8081992990799973</v>
      </c>
      <c r="O310" s="7">
        <f>co2e_mt!L310</f>
        <v>0.56383131336000747</v>
      </c>
      <c r="P310" s="7">
        <f>co2e_mt!P310</f>
        <v>1.3125236459999991E-2</v>
      </c>
    </row>
    <row r="311" spans="1:16" x14ac:dyDescent="0.3">
      <c r="A311" s="6" t="s">
        <v>230</v>
      </c>
      <c r="B311" s="13">
        <f>co2e_mt!S311</f>
        <v>4.7802386037720304</v>
      </c>
      <c r="C311" s="12">
        <f>geracao_mwh!D311</f>
        <v>246321.94900000287</v>
      </c>
      <c r="D311" s="12">
        <f>geracao_mwh!E311</f>
        <v>1128889.0109999964</v>
      </c>
      <c r="E311" s="12">
        <f>geracao_mwh!F311</f>
        <v>11842420.467000233</v>
      </c>
      <c r="F311" s="12">
        <f>geracao_mwh!G311</f>
        <v>8464726.5749999639</v>
      </c>
      <c r="G311" s="12">
        <f>geracao_mwh!H311</f>
        <v>5153963.9020000184</v>
      </c>
      <c r="H311" s="12">
        <f>geracao_mwh!I311</f>
        <v>28082307.090001114</v>
      </c>
      <c r="I311" s="12">
        <f>geracao_mwh!J311</f>
        <v>2421.925999999999</v>
      </c>
      <c r="J311" s="12">
        <f>geracao_mwh!K311</f>
        <v>1493915.8549999981</v>
      </c>
      <c r="K311" s="12">
        <f>geracao_mwh!L311</f>
        <v>332.05699999999996</v>
      </c>
      <c r="L311" s="12">
        <f>geracao_mwh!M311</f>
        <v>3795.3529999999992</v>
      </c>
      <c r="M311" s="7">
        <f>co2e_mt!H311</f>
        <v>0.55016435625900162</v>
      </c>
      <c r="N311" s="7">
        <f>co2e_mt!K311</f>
        <v>3.6348443563830051</v>
      </c>
      <c r="O311" s="7">
        <f>co2e_mt!L311</f>
        <v>0.5897284488900234</v>
      </c>
      <c r="P311" s="7">
        <f>co2e_mt!P311</f>
        <v>5.5014422399999978E-3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2CE8-E5EB-45B7-9C59-EEA24EB9F51C}">
  <dimension ref="A1:O407"/>
  <sheetViews>
    <sheetView workbookViewId="0">
      <pane ySplit="1" topLeftCell="A2" activePane="bottomLeft" state="frozen"/>
      <selection pane="bottomLeft" activeCell="G298" sqref="G298"/>
    </sheetView>
  </sheetViews>
  <sheetFormatPr defaultColWidth="8.88671875" defaultRowHeight="14.4" x14ac:dyDescent="0.3"/>
  <cols>
    <col min="1" max="1" width="8.77734375" style="3" bestFit="1" customWidth="1"/>
    <col min="2" max="2" width="7.44140625" style="3" bestFit="1" customWidth="1"/>
    <col min="3" max="3" width="5.44140625" style="3" bestFit="1" customWidth="1"/>
    <col min="4" max="5" width="10.44140625" style="3" bestFit="1" customWidth="1"/>
    <col min="6" max="6" width="11.44140625" style="3" bestFit="1" customWidth="1"/>
    <col min="7" max="8" width="10.44140625" style="3" bestFit="1" customWidth="1"/>
    <col min="9" max="9" width="11.44140625" style="3" bestFit="1" customWidth="1"/>
    <col min="10" max="10" width="13.21875" style="3" customWidth="1"/>
    <col min="11" max="11" width="10.44140625" style="3" bestFit="1" customWidth="1"/>
    <col min="12" max="12" width="16.109375" style="3" customWidth="1"/>
    <col min="13" max="13" width="10" style="3" bestFit="1" customWidth="1"/>
    <col min="14" max="14" width="12.21875" style="3" customWidth="1"/>
    <col min="15" max="15" width="13.21875" style="3" customWidth="1"/>
    <col min="16" max="16" width="11.44140625" style="3" bestFit="1" customWidth="1"/>
    <col min="17" max="16384" width="8.88671875" style="3"/>
  </cols>
  <sheetData>
    <row r="1" spans="1:15" s="1" customFormat="1" ht="43.2" x14ac:dyDescent="0.3">
      <c r="A1" s="5" t="s">
        <v>14</v>
      </c>
      <c r="B1" s="5" t="s">
        <v>0</v>
      </c>
      <c r="C1" s="5" t="s">
        <v>13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12</v>
      </c>
      <c r="K1" s="5" t="s">
        <v>7</v>
      </c>
      <c r="L1" s="5" t="s">
        <v>8</v>
      </c>
      <c r="M1" s="5" t="s">
        <v>9</v>
      </c>
      <c r="N1" s="8" t="s">
        <v>10</v>
      </c>
      <c r="O1" s="8" t="s">
        <v>11</v>
      </c>
    </row>
    <row r="2" spans="1:15" x14ac:dyDescent="0.3">
      <c r="A2" s="6">
        <v>1</v>
      </c>
      <c r="B2" s="6">
        <v>2000</v>
      </c>
      <c r="C2" s="6">
        <v>1</v>
      </c>
      <c r="D2" s="2">
        <v>50755.599999999984</v>
      </c>
      <c r="E2" s="2">
        <v>770965.7</v>
      </c>
      <c r="F2" s="2">
        <v>0</v>
      </c>
      <c r="G2" s="2">
        <v>0</v>
      </c>
      <c r="H2" s="2">
        <v>510249.60000000009</v>
      </c>
      <c r="I2" s="2">
        <v>27711264.8499997</v>
      </c>
      <c r="J2" s="2">
        <v>0</v>
      </c>
      <c r="K2" s="2">
        <v>418078.09999999992</v>
      </c>
      <c r="L2" s="2">
        <v>111911.10000000014</v>
      </c>
      <c r="M2" s="2">
        <v>0</v>
      </c>
      <c r="N2" s="2">
        <v>0</v>
      </c>
      <c r="O2" s="2">
        <v>0</v>
      </c>
    </row>
    <row r="3" spans="1:15" x14ac:dyDescent="0.3">
      <c r="A3" s="6">
        <v>2</v>
      </c>
      <c r="B3" s="6">
        <v>2000</v>
      </c>
      <c r="C3" s="6">
        <v>2</v>
      </c>
      <c r="D3" s="2">
        <v>11439.000000000002</v>
      </c>
      <c r="E3" s="2">
        <v>725440.2000000003</v>
      </c>
      <c r="F3" s="2">
        <v>0</v>
      </c>
      <c r="G3" s="2">
        <v>0</v>
      </c>
      <c r="H3" s="2">
        <v>580009.19999999972</v>
      </c>
      <c r="I3" s="2">
        <v>26849928.000000469</v>
      </c>
      <c r="J3" s="2">
        <v>0</v>
      </c>
      <c r="K3" s="2">
        <v>400043.1</v>
      </c>
      <c r="L3" s="2">
        <v>69115.599999999977</v>
      </c>
      <c r="M3" s="2">
        <v>0</v>
      </c>
      <c r="N3" s="2">
        <v>0</v>
      </c>
      <c r="O3" s="2">
        <v>0</v>
      </c>
    </row>
    <row r="4" spans="1:15" x14ac:dyDescent="0.3">
      <c r="A4" s="6">
        <v>3</v>
      </c>
      <c r="B4" s="6">
        <v>2000</v>
      </c>
      <c r="C4" s="6">
        <v>3</v>
      </c>
      <c r="D4" s="2">
        <v>3845.4</v>
      </c>
      <c r="E4" s="2">
        <v>685798.44999999914</v>
      </c>
      <c r="F4" s="2">
        <v>0</v>
      </c>
      <c r="G4" s="2">
        <v>0</v>
      </c>
      <c r="H4" s="2">
        <v>513065.18000000005</v>
      </c>
      <c r="I4" s="2">
        <v>28789383.893340014</v>
      </c>
      <c r="J4" s="2">
        <v>0</v>
      </c>
      <c r="K4" s="2">
        <v>400187.10000000003</v>
      </c>
      <c r="L4" s="2">
        <v>78197.350100000214</v>
      </c>
      <c r="M4" s="2">
        <v>0</v>
      </c>
      <c r="N4" s="2">
        <v>0</v>
      </c>
      <c r="O4" s="2">
        <v>0</v>
      </c>
    </row>
    <row r="5" spans="1:15" x14ac:dyDescent="0.3">
      <c r="A5" s="6">
        <v>4</v>
      </c>
      <c r="B5" s="6">
        <v>2000</v>
      </c>
      <c r="C5" s="6">
        <v>4</v>
      </c>
      <c r="D5" s="2">
        <v>3600</v>
      </c>
      <c r="E5" s="2">
        <v>675601.70000000007</v>
      </c>
      <c r="F5" s="2">
        <v>0</v>
      </c>
      <c r="G5" s="2">
        <v>0</v>
      </c>
      <c r="H5" s="2">
        <v>337403.1999999999</v>
      </c>
      <c r="I5" s="2">
        <v>27810598.89999992</v>
      </c>
      <c r="J5" s="2">
        <v>0</v>
      </c>
      <c r="K5" s="2">
        <v>358885.60000000003</v>
      </c>
      <c r="L5" s="2">
        <v>39287.100000000013</v>
      </c>
      <c r="M5" s="2">
        <v>0</v>
      </c>
      <c r="N5" s="2">
        <v>0</v>
      </c>
      <c r="O5" s="2">
        <v>0</v>
      </c>
    </row>
    <row r="6" spans="1:15" x14ac:dyDescent="0.3">
      <c r="A6" s="6">
        <v>5</v>
      </c>
      <c r="B6" s="6">
        <v>2000</v>
      </c>
      <c r="C6" s="6">
        <v>5</v>
      </c>
      <c r="D6" s="2">
        <v>4403.1000000000004</v>
      </c>
      <c r="E6" s="2">
        <v>725874.69999999809</v>
      </c>
      <c r="F6" s="2">
        <v>0</v>
      </c>
      <c r="G6" s="2">
        <v>0</v>
      </c>
      <c r="H6" s="2">
        <v>503225.49999999942</v>
      </c>
      <c r="I6" s="2">
        <v>28813391.99999987</v>
      </c>
      <c r="J6" s="2">
        <v>0</v>
      </c>
      <c r="K6" s="2">
        <v>0</v>
      </c>
      <c r="L6" s="2">
        <v>101455.5</v>
      </c>
      <c r="M6" s="2">
        <v>0</v>
      </c>
      <c r="N6" s="2">
        <v>0</v>
      </c>
      <c r="O6" s="2">
        <v>0</v>
      </c>
    </row>
    <row r="7" spans="1:15" x14ac:dyDescent="0.3">
      <c r="A7" s="6">
        <v>6</v>
      </c>
      <c r="B7" s="6">
        <v>2000</v>
      </c>
      <c r="C7" s="6">
        <v>6</v>
      </c>
      <c r="D7" s="2">
        <v>7536.9</v>
      </c>
      <c r="E7" s="2">
        <v>725001.50000000047</v>
      </c>
      <c r="F7" s="2">
        <v>0</v>
      </c>
      <c r="G7" s="2">
        <v>0</v>
      </c>
      <c r="H7" s="2">
        <v>574331.6</v>
      </c>
      <c r="I7" s="2">
        <v>27376412.299999986</v>
      </c>
      <c r="J7" s="2">
        <v>0</v>
      </c>
      <c r="K7" s="2">
        <v>11.1</v>
      </c>
      <c r="L7" s="2">
        <v>105998.40000000007</v>
      </c>
      <c r="M7" s="2">
        <v>0</v>
      </c>
      <c r="N7" s="2">
        <v>0</v>
      </c>
      <c r="O7" s="2">
        <v>0</v>
      </c>
    </row>
    <row r="8" spans="1:15" x14ac:dyDescent="0.3">
      <c r="A8" s="6">
        <v>7</v>
      </c>
      <c r="B8" s="6">
        <v>2000</v>
      </c>
      <c r="C8" s="6">
        <v>7</v>
      </c>
      <c r="D8" s="2">
        <v>5147.5</v>
      </c>
      <c r="E8" s="2">
        <v>607498.30000000075</v>
      </c>
      <c r="F8" s="2">
        <v>0</v>
      </c>
      <c r="G8" s="2">
        <v>0</v>
      </c>
      <c r="H8" s="2">
        <v>540092.50000000058</v>
      </c>
      <c r="I8" s="2">
        <v>27679250.029999848</v>
      </c>
      <c r="J8" s="2">
        <v>0</v>
      </c>
      <c r="K8" s="2">
        <v>67880.999999999971</v>
      </c>
      <c r="L8" s="2">
        <v>130207.00000000004</v>
      </c>
      <c r="M8" s="2">
        <v>0</v>
      </c>
      <c r="N8" s="2">
        <v>0</v>
      </c>
      <c r="O8" s="2">
        <v>0</v>
      </c>
    </row>
    <row r="9" spans="1:15" x14ac:dyDescent="0.3">
      <c r="A9" s="6">
        <v>8</v>
      </c>
      <c r="B9" s="6">
        <v>2000</v>
      </c>
      <c r="C9" s="6">
        <v>8</v>
      </c>
      <c r="D9" s="2">
        <v>8189.2000000000007</v>
      </c>
      <c r="E9" s="2">
        <v>627497.69999999914</v>
      </c>
      <c r="F9" s="2">
        <v>0</v>
      </c>
      <c r="G9" s="2">
        <v>0</v>
      </c>
      <c r="H9" s="2">
        <v>547118.20000000042</v>
      </c>
      <c r="I9" s="2">
        <v>27812268.499999683</v>
      </c>
      <c r="J9" s="2">
        <v>0</v>
      </c>
      <c r="K9" s="2">
        <v>672390.80000000028</v>
      </c>
      <c r="L9" s="2">
        <v>127640.70000000027</v>
      </c>
      <c r="M9" s="2">
        <v>0</v>
      </c>
      <c r="N9" s="2">
        <v>0</v>
      </c>
      <c r="O9" s="2">
        <v>0</v>
      </c>
    </row>
    <row r="10" spans="1:15" x14ac:dyDescent="0.3">
      <c r="A10" s="6">
        <v>9</v>
      </c>
      <c r="B10" s="6">
        <v>2000</v>
      </c>
      <c r="C10" s="6">
        <v>9</v>
      </c>
      <c r="D10" s="2">
        <v>18807.5</v>
      </c>
      <c r="E10" s="2">
        <v>397360.2</v>
      </c>
      <c r="F10" s="2">
        <v>0</v>
      </c>
      <c r="G10" s="2">
        <v>0</v>
      </c>
      <c r="H10" s="2">
        <v>500284.799999999</v>
      </c>
      <c r="I10" s="2">
        <v>27482979.380000111</v>
      </c>
      <c r="J10" s="2">
        <v>0</v>
      </c>
      <c r="K10" s="2">
        <v>781196.19999999949</v>
      </c>
      <c r="L10" s="2">
        <v>80393.230000000054</v>
      </c>
      <c r="M10" s="2">
        <v>0</v>
      </c>
      <c r="N10" s="2">
        <v>0</v>
      </c>
      <c r="O10" s="2">
        <v>0</v>
      </c>
    </row>
    <row r="11" spans="1:15" x14ac:dyDescent="0.3">
      <c r="A11" s="6">
        <v>10</v>
      </c>
      <c r="B11" s="6">
        <v>2000</v>
      </c>
      <c r="C11" s="6">
        <v>10</v>
      </c>
      <c r="D11" s="2">
        <v>3536.6999999999994</v>
      </c>
      <c r="E11" s="2">
        <v>337343.60000000009</v>
      </c>
      <c r="F11" s="2">
        <v>0</v>
      </c>
      <c r="G11" s="2">
        <v>0</v>
      </c>
      <c r="H11" s="2">
        <v>551283.49999999907</v>
      </c>
      <c r="I11" s="2">
        <v>30034719.410000172</v>
      </c>
      <c r="J11" s="2">
        <v>0</v>
      </c>
      <c r="K11" s="2">
        <v>544916.13959999953</v>
      </c>
      <c r="L11" s="2">
        <v>70470.700000000012</v>
      </c>
      <c r="M11" s="2">
        <v>0</v>
      </c>
      <c r="N11" s="2">
        <v>0</v>
      </c>
      <c r="O11" s="2">
        <v>0</v>
      </c>
    </row>
    <row r="12" spans="1:15" x14ac:dyDescent="0.3">
      <c r="A12" s="6">
        <v>11</v>
      </c>
      <c r="B12" s="6">
        <v>2000</v>
      </c>
      <c r="C12" s="6">
        <v>11</v>
      </c>
      <c r="D12" s="2">
        <v>3573.8999999999996</v>
      </c>
      <c r="E12" s="2">
        <v>489988.49999999977</v>
      </c>
      <c r="F12" s="2">
        <v>0</v>
      </c>
      <c r="G12" s="2">
        <v>0</v>
      </c>
      <c r="H12" s="2">
        <v>548469.99999999988</v>
      </c>
      <c r="I12" s="2">
        <v>27613932.590000134</v>
      </c>
      <c r="J12" s="2">
        <v>0</v>
      </c>
      <c r="K12" s="2">
        <v>1127845.1306000012</v>
      </c>
      <c r="L12" s="2">
        <v>100395.0000000001</v>
      </c>
      <c r="M12" s="2">
        <v>0</v>
      </c>
      <c r="N12" s="2">
        <v>0</v>
      </c>
      <c r="O12" s="2">
        <v>0</v>
      </c>
    </row>
    <row r="13" spans="1:15" x14ac:dyDescent="0.3">
      <c r="A13" s="6">
        <v>12</v>
      </c>
      <c r="B13" s="6">
        <v>2000</v>
      </c>
      <c r="C13" s="6">
        <v>12</v>
      </c>
      <c r="D13" s="2">
        <v>9228.7999999999993</v>
      </c>
      <c r="E13" s="2">
        <v>640149.79999999981</v>
      </c>
      <c r="F13" s="2">
        <v>0</v>
      </c>
      <c r="G13" s="2">
        <v>0</v>
      </c>
      <c r="H13" s="2">
        <v>673443.39999999944</v>
      </c>
      <c r="I13" s="2">
        <v>27617699.060000069</v>
      </c>
      <c r="J13" s="2">
        <v>0</v>
      </c>
      <c r="K13" s="2">
        <v>1224857.2830999994</v>
      </c>
      <c r="L13" s="2">
        <v>94221.499999999927</v>
      </c>
      <c r="M13" s="2">
        <v>0</v>
      </c>
      <c r="N13" s="2">
        <v>0</v>
      </c>
      <c r="O13" s="2">
        <v>0</v>
      </c>
    </row>
    <row r="14" spans="1:15" x14ac:dyDescent="0.3">
      <c r="A14" s="6">
        <v>13</v>
      </c>
      <c r="B14" s="6">
        <v>2001</v>
      </c>
      <c r="C14" s="6">
        <v>1</v>
      </c>
      <c r="D14" s="2">
        <v>4398.1000000000004</v>
      </c>
      <c r="E14" s="2">
        <v>593526.70000000228</v>
      </c>
      <c r="F14" s="2">
        <v>0</v>
      </c>
      <c r="G14" s="2">
        <v>0</v>
      </c>
      <c r="H14" s="2">
        <v>742412.30000000156</v>
      </c>
      <c r="I14" s="2">
        <v>28962382.719999608</v>
      </c>
      <c r="J14" s="2">
        <v>0</v>
      </c>
      <c r="K14" s="2">
        <v>1000797.1611999993</v>
      </c>
      <c r="L14" s="2">
        <v>81656.699999999895</v>
      </c>
      <c r="M14" s="2">
        <v>0</v>
      </c>
      <c r="N14" s="2">
        <v>0</v>
      </c>
      <c r="O14" s="2">
        <v>0</v>
      </c>
    </row>
    <row r="15" spans="1:15" x14ac:dyDescent="0.3">
      <c r="A15" s="6">
        <v>14</v>
      </c>
      <c r="B15" s="6">
        <v>2001</v>
      </c>
      <c r="C15" s="6">
        <v>2</v>
      </c>
      <c r="D15" s="2">
        <v>2984.2</v>
      </c>
      <c r="E15" s="2">
        <v>459373.90000000043</v>
      </c>
      <c r="F15" s="2">
        <v>0</v>
      </c>
      <c r="G15" s="2">
        <v>0</v>
      </c>
      <c r="H15" s="2">
        <v>790047.80000000133</v>
      </c>
      <c r="I15" s="2">
        <v>26913947.600000396</v>
      </c>
      <c r="J15" s="2">
        <v>0</v>
      </c>
      <c r="K15" s="2">
        <v>1121565.3299999975</v>
      </c>
      <c r="L15" s="2">
        <v>87770.100000000137</v>
      </c>
      <c r="M15" s="2">
        <v>0</v>
      </c>
      <c r="N15" s="2">
        <v>0</v>
      </c>
      <c r="O15" s="2">
        <v>0</v>
      </c>
    </row>
    <row r="16" spans="1:15" x14ac:dyDescent="0.3">
      <c r="A16" s="6">
        <v>15</v>
      </c>
      <c r="B16" s="6">
        <v>2001</v>
      </c>
      <c r="C16" s="6">
        <v>3</v>
      </c>
      <c r="D16" s="2">
        <v>3730.2999999999997</v>
      </c>
      <c r="E16" s="2">
        <v>586966.69999999891</v>
      </c>
      <c r="F16" s="2">
        <v>0</v>
      </c>
      <c r="G16" s="2">
        <v>0</v>
      </c>
      <c r="H16" s="2">
        <v>956483.5</v>
      </c>
      <c r="I16" s="2">
        <v>29808605.200000066</v>
      </c>
      <c r="J16" s="2">
        <v>0</v>
      </c>
      <c r="K16" s="2">
        <v>1273550.0700000019</v>
      </c>
      <c r="L16" s="2">
        <v>59248.100000000049</v>
      </c>
      <c r="M16" s="2">
        <v>0</v>
      </c>
      <c r="N16" s="2">
        <v>0</v>
      </c>
      <c r="O16" s="2">
        <v>0</v>
      </c>
    </row>
    <row r="17" spans="1:15" x14ac:dyDescent="0.3">
      <c r="A17" s="6">
        <v>16</v>
      </c>
      <c r="B17" s="6">
        <v>2001</v>
      </c>
      <c r="C17" s="6">
        <v>4</v>
      </c>
      <c r="D17" s="2">
        <v>2880</v>
      </c>
      <c r="E17" s="2">
        <v>589966.09999999823</v>
      </c>
      <c r="F17" s="2">
        <v>0</v>
      </c>
      <c r="G17" s="2">
        <v>0</v>
      </c>
      <c r="H17" s="2">
        <v>896897.88</v>
      </c>
      <c r="I17" s="2">
        <v>28110677.320000339</v>
      </c>
      <c r="J17" s="2">
        <v>0</v>
      </c>
      <c r="K17" s="2">
        <v>826548.82000000088</v>
      </c>
      <c r="L17" s="2">
        <v>99113.199999999895</v>
      </c>
      <c r="M17" s="2">
        <v>0</v>
      </c>
      <c r="N17" s="2">
        <v>0</v>
      </c>
      <c r="O17" s="2">
        <v>0</v>
      </c>
    </row>
    <row r="18" spans="1:15" x14ac:dyDescent="0.3">
      <c r="A18" s="6">
        <v>17</v>
      </c>
      <c r="B18" s="6">
        <v>2001</v>
      </c>
      <c r="C18" s="6">
        <v>5</v>
      </c>
      <c r="D18" s="2">
        <v>5385.4999999999982</v>
      </c>
      <c r="E18" s="2">
        <v>618171.30000000191</v>
      </c>
      <c r="F18" s="2">
        <v>0</v>
      </c>
      <c r="G18" s="2">
        <v>0</v>
      </c>
      <c r="H18" s="2">
        <v>1025980.4999999991</v>
      </c>
      <c r="I18" s="2">
        <v>26629075.960000318</v>
      </c>
      <c r="J18" s="2">
        <v>0</v>
      </c>
      <c r="K18" s="2">
        <v>789544.52999999945</v>
      </c>
      <c r="L18" s="2">
        <v>140834.3000000001</v>
      </c>
      <c r="M18" s="2">
        <v>0</v>
      </c>
      <c r="N18" s="2">
        <v>0</v>
      </c>
      <c r="O18" s="2">
        <v>0</v>
      </c>
    </row>
    <row r="19" spans="1:15" x14ac:dyDescent="0.3">
      <c r="A19" s="6">
        <v>18</v>
      </c>
      <c r="B19" s="6">
        <v>2001</v>
      </c>
      <c r="C19" s="6">
        <v>6</v>
      </c>
      <c r="D19" s="2">
        <v>14169.000000000004</v>
      </c>
      <c r="E19" s="2">
        <v>582638.39999999769</v>
      </c>
      <c r="F19" s="2">
        <v>0</v>
      </c>
      <c r="G19" s="2">
        <v>0</v>
      </c>
      <c r="H19" s="2">
        <v>885022.69999999763</v>
      </c>
      <c r="I19" s="2">
        <v>20979293.820000086</v>
      </c>
      <c r="J19" s="2">
        <v>0</v>
      </c>
      <c r="K19" s="2">
        <v>1172934.5899999978</v>
      </c>
      <c r="L19" s="2">
        <v>125893.70000000001</v>
      </c>
      <c r="M19" s="2">
        <v>0</v>
      </c>
      <c r="N19" s="2">
        <v>0</v>
      </c>
      <c r="O19" s="2">
        <v>0</v>
      </c>
    </row>
    <row r="20" spans="1:15" x14ac:dyDescent="0.3">
      <c r="A20" s="6">
        <v>19</v>
      </c>
      <c r="B20" s="6">
        <v>2001</v>
      </c>
      <c r="C20" s="6">
        <v>7</v>
      </c>
      <c r="D20" s="2">
        <v>5460.0999999999995</v>
      </c>
      <c r="E20" s="2">
        <v>451318.89999999985</v>
      </c>
      <c r="F20" s="2">
        <v>0</v>
      </c>
      <c r="G20" s="2">
        <v>0</v>
      </c>
      <c r="H20" s="2">
        <v>897429.09999999928</v>
      </c>
      <c r="I20" s="2">
        <v>21521666.609999713</v>
      </c>
      <c r="J20" s="2">
        <v>0</v>
      </c>
      <c r="K20" s="2">
        <v>1442627.4799999995</v>
      </c>
      <c r="L20" s="2">
        <v>90839.999999999927</v>
      </c>
      <c r="M20" s="2">
        <v>0</v>
      </c>
      <c r="N20" s="2">
        <v>0</v>
      </c>
      <c r="O20" s="2">
        <v>0</v>
      </c>
    </row>
    <row r="21" spans="1:15" x14ac:dyDescent="0.3">
      <c r="A21" s="6">
        <v>20</v>
      </c>
      <c r="B21" s="6">
        <v>2001</v>
      </c>
      <c r="C21" s="6">
        <v>8</v>
      </c>
      <c r="D21" s="2">
        <v>4617.9999999999991</v>
      </c>
      <c r="E21" s="2">
        <v>497269.40000000026</v>
      </c>
      <c r="F21" s="2">
        <v>0</v>
      </c>
      <c r="G21" s="2">
        <v>0</v>
      </c>
      <c r="H21" s="2">
        <v>1113643</v>
      </c>
      <c r="I21" s="2">
        <v>21557366.200000145</v>
      </c>
      <c r="J21" s="2">
        <v>0</v>
      </c>
      <c r="K21" s="2">
        <v>1421286.1700000013</v>
      </c>
      <c r="L21" s="2">
        <v>103096.09999999995</v>
      </c>
      <c r="M21" s="2">
        <v>0</v>
      </c>
      <c r="N21" s="2">
        <v>0</v>
      </c>
      <c r="O21" s="2">
        <v>0</v>
      </c>
    </row>
    <row r="22" spans="1:15" x14ac:dyDescent="0.3">
      <c r="A22" s="6">
        <v>21</v>
      </c>
      <c r="B22" s="6">
        <v>2001</v>
      </c>
      <c r="C22" s="6">
        <v>9</v>
      </c>
      <c r="D22" s="2">
        <v>5178</v>
      </c>
      <c r="E22" s="2">
        <v>531253.09999999881</v>
      </c>
      <c r="F22" s="2">
        <v>0</v>
      </c>
      <c r="G22" s="2">
        <v>0</v>
      </c>
      <c r="H22" s="2">
        <v>1045652.8700000014</v>
      </c>
      <c r="I22" s="2">
        <v>20601601.199999902</v>
      </c>
      <c r="J22" s="2">
        <v>0</v>
      </c>
      <c r="K22" s="2">
        <v>1409582.9299999934</v>
      </c>
      <c r="L22" s="2">
        <v>98667.5</v>
      </c>
      <c r="M22" s="2">
        <v>0</v>
      </c>
      <c r="N22" s="2">
        <v>0</v>
      </c>
      <c r="O22" s="2">
        <v>0</v>
      </c>
    </row>
    <row r="23" spans="1:15" x14ac:dyDescent="0.3">
      <c r="A23" s="6">
        <v>22</v>
      </c>
      <c r="B23" s="6">
        <v>2001</v>
      </c>
      <c r="C23" s="6">
        <v>10</v>
      </c>
      <c r="D23" s="2">
        <v>3891.2999999999997</v>
      </c>
      <c r="E23" s="2">
        <v>387752.89999999997</v>
      </c>
      <c r="F23" s="2">
        <v>0</v>
      </c>
      <c r="G23" s="2">
        <v>0</v>
      </c>
      <c r="H23" s="2">
        <v>1113950.810000004</v>
      </c>
      <c r="I23" s="2">
        <v>22637673.530000091</v>
      </c>
      <c r="J23" s="2">
        <v>0</v>
      </c>
      <c r="K23" s="2">
        <v>1441180.8690000011</v>
      </c>
      <c r="L23" s="2">
        <v>92254.900000000038</v>
      </c>
      <c r="M23" s="2">
        <v>0</v>
      </c>
      <c r="N23" s="2">
        <v>0</v>
      </c>
      <c r="O23" s="2">
        <v>0</v>
      </c>
    </row>
    <row r="24" spans="1:15" x14ac:dyDescent="0.3">
      <c r="A24" s="6">
        <v>23</v>
      </c>
      <c r="B24" s="6">
        <v>2001</v>
      </c>
      <c r="C24" s="6">
        <v>11</v>
      </c>
      <c r="D24" s="2">
        <v>3696.5</v>
      </c>
      <c r="E24" s="2">
        <v>434831.09999999742</v>
      </c>
      <c r="F24" s="2">
        <v>0</v>
      </c>
      <c r="G24" s="2">
        <v>0</v>
      </c>
      <c r="H24" s="2">
        <v>1324028.1200000062</v>
      </c>
      <c r="I24" s="2">
        <v>22074553.539999917</v>
      </c>
      <c r="J24" s="2">
        <v>0</v>
      </c>
      <c r="K24" s="2">
        <v>1069831.4800000032</v>
      </c>
      <c r="L24" s="2">
        <v>98130.79999999977</v>
      </c>
      <c r="M24" s="2">
        <v>0</v>
      </c>
      <c r="N24" s="2">
        <v>0</v>
      </c>
      <c r="O24" s="2">
        <v>0</v>
      </c>
    </row>
    <row r="25" spans="1:15" x14ac:dyDescent="0.3">
      <c r="A25" s="6">
        <v>24</v>
      </c>
      <c r="B25" s="6">
        <v>2001</v>
      </c>
      <c r="C25" s="6">
        <v>12</v>
      </c>
      <c r="D25" s="2">
        <v>3614.5</v>
      </c>
      <c r="E25" s="2">
        <v>448494.29999999993</v>
      </c>
      <c r="F25" s="2">
        <v>0</v>
      </c>
      <c r="G25" s="2">
        <v>0</v>
      </c>
      <c r="H25" s="2">
        <v>1306114.78</v>
      </c>
      <c r="I25" s="2">
        <v>22629794.839999739</v>
      </c>
      <c r="J25" s="2">
        <v>0</v>
      </c>
      <c r="K25" s="2">
        <v>1380725.6599999974</v>
      </c>
      <c r="L25" s="2">
        <v>88396.500000000116</v>
      </c>
      <c r="M25" s="2">
        <v>0</v>
      </c>
      <c r="N25" s="2">
        <v>0</v>
      </c>
      <c r="O25" s="2">
        <v>0</v>
      </c>
    </row>
    <row r="26" spans="1:15" x14ac:dyDescent="0.3">
      <c r="A26" s="6">
        <v>25</v>
      </c>
      <c r="B26" s="6">
        <v>2002</v>
      </c>
      <c r="C26" s="6">
        <v>1</v>
      </c>
      <c r="D26" s="2">
        <v>3720</v>
      </c>
      <c r="E26" s="2">
        <v>481468.30000000051</v>
      </c>
      <c r="F26" s="2">
        <v>0</v>
      </c>
      <c r="G26" s="2">
        <v>0</v>
      </c>
      <c r="H26" s="2">
        <v>1303040.2099999941</v>
      </c>
      <c r="I26" s="2">
        <v>23635930.779999651</v>
      </c>
      <c r="J26" s="2">
        <v>0</v>
      </c>
      <c r="K26" s="2">
        <v>1278871.3500000006</v>
      </c>
      <c r="L26" s="2">
        <v>86529.199999999924</v>
      </c>
      <c r="M26" s="2">
        <v>0</v>
      </c>
      <c r="N26" s="2">
        <v>0</v>
      </c>
      <c r="O26" s="2">
        <v>0</v>
      </c>
    </row>
    <row r="27" spans="1:15" x14ac:dyDescent="0.3">
      <c r="A27" s="6">
        <v>26</v>
      </c>
      <c r="B27" s="6">
        <v>2002</v>
      </c>
      <c r="C27" s="6">
        <v>2</v>
      </c>
      <c r="D27" s="2">
        <v>3360</v>
      </c>
      <c r="E27" s="2">
        <v>466962.69999999902</v>
      </c>
      <c r="F27" s="2">
        <v>0</v>
      </c>
      <c r="G27" s="2">
        <v>0</v>
      </c>
      <c r="H27" s="2">
        <v>969507.0700000003</v>
      </c>
      <c r="I27" s="2">
        <v>22632634.709999751</v>
      </c>
      <c r="J27" s="2">
        <v>0</v>
      </c>
      <c r="K27" s="2">
        <v>1206064.2600000033</v>
      </c>
      <c r="L27" s="2">
        <v>34628.000000000007</v>
      </c>
      <c r="M27" s="2">
        <v>363.6</v>
      </c>
      <c r="N27" s="2">
        <v>0</v>
      </c>
      <c r="O27" s="2">
        <v>0</v>
      </c>
    </row>
    <row r="28" spans="1:15" x14ac:dyDescent="0.3">
      <c r="A28" s="6">
        <v>27</v>
      </c>
      <c r="B28" s="6">
        <v>2002</v>
      </c>
      <c r="C28" s="6">
        <v>3</v>
      </c>
      <c r="D28" s="2">
        <v>3883.0999999999995</v>
      </c>
      <c r="E28" s="2">
        <v>558895.60000000149</v>
      </c>
      <c r="F28" s="2">
        <v>0</v>
      </c>
      <c r="G28" s="2">
        <v>0</v>
      </c>
      <c r="H28" s="2">
        <v>1248862.9800000079</v>
      </c>
      <c r="I28" s="2">
        <v>27235627.690000687</v>
      </c>
      <c r="J28" s="2">
        <v>0</v>
      </c>
      <c r="K28" s="2">
        <v>637968.9899999979</v>
      </c>
      <c r="L28" s="2">
        <v>14770.2</v>
      </c>
      <c r="M28" s="2">
        <v>123.03</v>
      </c>
      <c r="N28" s="2">
        <v>0</v>
      </c>
      <c r="O28" s="2">
        <v>0</v>
      </c>
    </row>
    <row r="29" spans="1:15" x14ac:dyDescent="0.3">
      <c r="A29" s="6">
        <v>28</v>
      </c>
      <c r="B29" s="6">
        <v>2002</v>
      </c>
      <c r="C29" s="6">
        <v>4</v>
      </c>
      <c r="D29" s="2">
        <v>3600</v>
      </c>
      <c r="E29" s="2">
        <v>451231.59999999945</v>
      </c>
      <c r="F29" s="2">
        <v>0</v>
      </c>
      <c r="G29" s="2">
        <v>0</v>
      </c>
      <c r="H29" s="2">
        <v>1140688.1699999978</v>
      </c>
      <c r="I29" s="2">
        <v>26537238.599999901</v>
      </c>
      <c r="J29" s="2">
        <v>0</v>
      </c>
      <c r="K29" s="2">
        <v>1143621.9000000039</v>
      </c>
      <c r="L29" s="2">
        <v>22601.000000000025</v>
      </c>
      <c r="M29" s="2">
        <v>1393.2231000000006</v>
      </c>
      <c r="N29" s="2">
        <v>0</v>
      </c>
      <c r="O29" s="2">
        <v>0</v>
      </c>
    </row>
    <row r="30" spans="1:15" x14ac:dyDescent="0.3">
      <c r="A30" s="6">
        <v>29</v>
      </c>
      <c r="B30" s="6">
        <v>2002</v>
      </c>
      <c r="C30" s="6">
        <v>5</v>
      </c>
      <c r="D30" s="2">
        <v>3636.8</v>
      </c>
      <c r="E30" s="2">
        <v>406472.20000000024</v>
      </c>
      <c r="F30" s="2">
        <v>0</v>
      </c>
      <c r="G30" s="2">
        <v>0</v>
      </c>
      <c r="H30" s="2">
        <v>1178954.6069999975</v>
      </c>
      <c r="I30" s="2">
        <v>26104956.66000016</v>
      </c>
      <c r="J30" s="2">
        <v>0</v>
      </c>
      <c r="K30" s="2">
        <v>1367538.2600000037</v>
      </c>
      <c r="L30" s="2">
        <v>34783.199999999968</v>
      </c>
      <c r="M30" s="2">
        <v>565.55999999999972</v>
      </c>
      <c r="N30" s="2">
        <v>0</v>
      </c>
      <c r="O30" s="2">
        <v>0</v>
      </c>
    </row>
    <row r="31" spans="1:15" x14ac:dyDescent="0.3">
      <c r="A31" s="6">
        <v>30</v>
      </c>
      <c r="B31" s="6">
        <v>2002</v>
      </c>
      <c r="C31" s="6">
        <v>6</v>
      </c>
      <c r="D31" s="2">
        <v>3286.7</v>
      </c>
      <c r="E31" s="2">
        <v>435733.70000000013</v>
      </c>
      <c r="F31" s="2">
        <v>0</v>
      </c>
      <c r="G31" s="2">
        <v>0</v>
      </c>
      <c r="H31" s="2">
        <v>977444.44810000213</v>
      </c>
      <c r="I31" s="2">
        <v>25161253.830000233</v>
      </c>
      <c r="J31" s="2">
        <v>0</v>
      </c>
      <c r="K31" s="2">
        <v>1305149.7300000002</v>
      </c>
      <c r="L31" s="2">
        <v>38599.69999999999</v>
      </c>
      <c r="M31" s="2">
        <v>580.39</v>
      </c>
      <c r="N31" s="2">
        <v>0</v>
      </c>
      <c r="O31" s="2">
        <v>0</v>
      </c>
    </row>
    <row r="32" spans="1:15" x14ac:dyDescent="0.3">
      <c r="A32" s="6">
        <v>31</v>
      </c>
      <c r="B32" s="6">
        <v>2002</v>
      </c>
      <c r="C32" s="6">
        <v>7</v>
      </c>
      <c r="D32" s="2">
        <v>2212.8000000000002</v>
      </c>
      <c r="E32" s="2">
        <v>434330.10000000219</v>
      </c>
      <c r="F32" s="2">
        <v>0</v>
      </c>
      <c r="G32" s="2">
        <v>0</v>
      </c>
      <c r="H32" s="2">
        <v>934996.96399999049</v>
      </c>
      <c r="I32" s="2">
        <v>26105915.970000271</v>
      </c>
      <c r="J32" s="2">
        <v>0</v>
      </c>
      <c r="K32" s="2">
        <v>1213972.4899999972</v>
      </c>
      <c r="L32" s="2">
        <v>37569.019999999968</v>
      </c>
      <c r="M32" s="2">
        <v>337.21800000000007</v>
      </c>
      <c r="N32" s="2">
        <v>0</v>
      </c>
      <c r="O32" s="2">
        <v>0</v>
      </c>
    </row>
    <row r="33" spans="1:15" x14ac:dyDescent="0.3">
      <c r="A33" s="6">
        <v>32</v>
      </c>
      <c r="B33" s="6">
        <v>2002</v>
      </c>
      <c r="C33" s="6">
        <v>8</v>
      </c>
      <c r="D33" s="2">
        <v>240</v>
      </c>
      <c r="E33" s="2">
        <v>352267.70000000019</v>
      </c>
      <c r="F33" s="2">
        <v>0</v>
      </c>
      <c r="G33" s="2">
        <v>0</v>
      </c>
      <c r="H33" s="2">
        <v>1055124.0899999966</v>
      </c>
      <c r="I33" s="2">
        <v>27187482.969999909</v>
      </c>
      <c r="J33" s="2">
        <v>0</v>
      </c>
      <c r="K33" s="2">
        <v>963706.73000000103</v>
      </c>
      <c r="L33" s="2">
        <v>36905.099999999969</v>
      </c>
      <c r="M33" s="2">
        <v>0.95079999999999998</v>
      </c>
      <c r="N33" s="2">
        <v>0</v>
      </c>
      <c r="O33" s="2">
        <v>0</v>
      </c>
    </row>
    <row r="34" spans="1:15" x14ac:dyDescent="0.3">
      <c r="A34" s="6">
        <v>33</v>
      </c>
      <c r="B34" s="6">
        <v>2002</v>
      </c>
      <c r="C34" s="6">
        <v>9</v>
      </c>
      <c r="D34" s="2">
        <v>0</v>
      </c>
      <c r="E34" s="2">
        <v>378167.99999999913</v>
      </c>
      <c r="F34" s="2">
        <v>0</v>
      </c>
      <c r="G34" s="2">
        <v>0</v>
      </c>
      <c r="H34" s="2">
        <v>997187.34000000043</v>
      </c>
      <c r="I34" s="2">
        <v>25885799.709999904</v>
      </c>
      <c r="J34" s="2">
        <v>0</v>
      </c>
      <c r="K34" s="2">
        <v>1155110.2099999995</v>
      </c>
      <c r="L34" s="2">
        <v>36681.939999999973</v>
      </c>
      <c r="M34" s="2">
        <v>805.02</v>
      </c>
      <c r="N34" s="2">
        <v>0</v>
      </c>
      <c r="O34" s="2">
        <v>0</v>
      </c>
    </row>
    <row r="35" spans="1:15" x14ac:dyDescent="0.3">
      <c r="A35" s="6">
        <v>34</v>
      </c>
      <c r="B35" s="6">
        <v>2002</v>
      </c>
      <c r="C35" s="6">
        <v>10</v>
      </c>
      <c r="D35" s="2">
        <v>198.94000000000003</v>
      </c>
      <c r="E35" s="2">
        <v>376640.20000000054</v>
      </c>
      <c r="F35" s="2">
        <v>0</v>
      </c>
      <c r="G35" s="2">
        <v>0</v>
      </c>
      <c r="H35" s="2">
        <v>880828.57710000209</v>
      </c>
      <c r="I35" s="2">
        <v>28930453.430000309</v>
      </c>
      <c r="J35" s="2">
        <v>0</v>
      </c>
      <c r="K35" s="2">
        <v>1189988.8700000076</v>
      </c>
      <c r="L35" s="2">
        <v>38273.660000000018</v>
      </c>
      <c r="M35" s="2">
        <v>14165.579999999998</v>
      </c>
      <c r="N35" s="2">
        <v>0</v>
      </c>
      <c r="O35" s="2">
        <v>0</v>
      </c>
    </row>
    <row r="36" spans="1:15" x14ac:dyDescent="0.3">
      <c r="A36" s="6">
        <v>35</v>
      </c>
      <c r="B36" s="6">
        <v>2002</v>
      </c>
      <c r="C36" s="6">
        <v>11</v>
      </c>
      <c r="D36" s="2">
        <v>720</v>
      </c>
      <c r="E36" s="2">
        <v>332669.29999999976</v>
      </c>
      <c r="F36" s="2">
        <v>0</v>
      </c>
      <c r="G36" s="2">
        <v>0</v>
      </c>
      <c r="H36" s="2">
        <v>603215.82000000437</v>
      </c>
      <c r="I36" s="2">
        <v>27809019.620000023</v>
      </c>
      <c r="J36" s="2">
        <v>0</v>
      </c>
      <c r="K36" s="2">
        <v>1135550.190000006</v>
      </c>
      <c r="L36" s="2">
        <v>38870.459999999985</v>
      </c>
      <c r="M36" s="2">
        <v>17341.990000000002</v>
      </c>
      <c r="N36" s="2">
        <v>0</v>
      </c>
      <c r="O36" s="2">
        <v>0</v>
      </c>
    </row>
    <row r="37" spans="1:15" x14ac:dyDescent="0.3">
      <c r="A37" s="6">
        <v>36</v>
      </c>
      <c r="B37" s="6">
        <v>2002</v>
      </c>
      <c r="C37" s="6">
        <v>12</v>
      </c>
      <c r="D37" s="2">
        <v>191.67999999999998</v>
      </c>
      <c r="E37" s="2">
        <v>361862.10000000102</v>
      </c>
      <c r="F37" s="2">
        <v>0</v>
      </c>
      <c r="G37" s="2">
        <v>0</v>
      </c>
      <c r="H37" s="2">
        <v>555175.14999999909</v>
      </c>
      <c r="I37" s="2">
        <v>28228199.489999954</v>
      </c>
      <c r="J37" s="2">
        <v>0</v>
      </c>
      <c r="K37" s="2">
        <v>1237623.1800000072</v>
      </c>
      <c r="L37" s="2">
        <v>35295.699999999997</v>
      </c>
      <c r="M37" s="2">
        <v>37085.249999999985</v>
      </c>
      <c r="N37" s="2">
        <v>0</v>
      </c>
      <c r="O37" s="2">
        <v>0</v>
      </c>
    </row>
    <row r="38" spans="1:15" x14ac:dyDescent="0.3">
      <c r="A38" s="6">
        <v>37</v>
      </c>
      <c r="B38" s="6">
        <v>2003</v>
      </c>
      <c r="C38" s="6">
        <v>1</v>
      </c>
      <c r="D38" s="2">
        <v>55.470000000000006</v>
      </c>
      <c r="E38" s="2">
        <v>363601.19999999856</v>
      </c>
      <c r="F38" s="2">
        <v>0</v>
      </c>
      <c r="G38" s="2">
        <v>0</v>
      </c>
      <c r="H38" s="2">
        <v>690795.24000000127</v>
      </c>
      <c r="I38" s="2">
        <v>28591271.680000052</v>
      </c>
      <c r="J38" s="2">
        <v>0</v>
      </c>
      <c r="K38" s="2">
        <v>1171615.9200000034</v>
      </c>
      <c r="L38" s="2">
        <v>22206.799999999977</v>
      </c>
      <c r="M38" s="2">
        <v>64.84</v>
      </c>
      <c r="N38" s="2">
        <v>0</v>
      </c>
      <c r="O38" s="2">
        <v>0</v>
      </c>
    </row>
    <row r="39" spans="1:15" x14ac:dyDescent="0.3">
      <c r="A39" s="6">
        <v>38</v>
      </c>
      <c r="B39" s="6">
        <v>2003</v>
      </c>
      <c r="C39" s="6">
        <v>2</v>
      </c>
      <c r="D39" s="2">
        <v>0</v>
      </c>
      <c r="E39" s="2">
        <v>368948.70000000054</v>
      </c>
      <c r="F39" s="2">
        <v>0</v>
      </c>
      <c r="G39" s="2">
        <v>0</v>
      </c>
      <c r="H39" s="2">
        <v>692801.44999999925</v>
      </c>
      <c r="I39" s="2">
        <v>27070140.959999993</v>
      </c>
      <c r="J39" s="2">
        <v>0</v>
      </c>
      <c r="K39" s="2">
        <v>1066026.7200000023</v>
      </c>
      <c r="L39" s="2">
        <v>0</v>
      </c>
      <c r="M39" s="2">
        <v>13825.399999999996</v>
      </c>
      <c r="N39" s="2">
        <v>0</v>
      </c>
      <c r="O39" s="2">
        <v>0</v>
      </c>
    </row>
    <row r="40" spans="1:15" x14ac:dyDescent="0.3">
      <c r="A40" s="6">
        <v>39</v>
      </c>
      <c r="B40" s="6">
        <v>2003</v>
      </c>
      <c r="C40" s="6">
        <v>3</v>
      </c>
      <c r="D40" s="2">
        <v>57.8</v>
      </c>
      <c r="E40" s="2">
        <v>429683.79999999964</v>
      </c>
      <c r="F40" s="2">
        <v>0</v>
      </c>
      <c r="G40" s="2">
        <v>0</v>
      </c>
      <c r="H40" s="2">
        <v>597972.87000000325</v>
      </c>
      <c r="I40" s="2">
        <v>29006180.700000294</v>
      </c>
      <c r="J40" s="2">
        <v>0</v>
      </c>
      <c r="K40" s="2">
        <v>1179884.9100000111</v>
      </c>
      <c r="L40" s="2">
        <v>470.76000000000005</v>
      </c>
      <c r="M40" s="2">
        <v>18596.640000000014</v>
      </c>
      <c r="N40" s="2">
        <v>0</v>
      </c>
      <c r="O40" s="2">
        <v>0</v>
      </c>
    </row>
    <row r="41" spans="1:15" x14ac:dyDescent="0.3">
      <c r="A41" s="6">
        <v>40</v>
      </c>
      <c r="B41" s="6">
        <v>2003</v>
      </c>
      <c r="C41" s="6">
        <v>4</v>
      </c>
      <c r="D41" s="2">
        <v>120</v>
      </c>
      <c r="E41" s="2">
        <v>434834.19999999949</v>
      </c>
      <c r="F41" s="2">
        <v>0</v>
      </c>
      <c r="G41" s="2">
        <v>0</v>
      </c>
      <c r="H41" s="2">
        <v>669313.65000000095</v>
      </c>
      <c r="I41" s="2">
        <v>28230909.583999846</v>
      </c>
      <c r="J41" s="2">
        <v>0</v>
      </c>
      <c r="K41" s="2">
        <v>734814.76000000199</v>
      </c>
      <c r="L41" s="2">
        <v>0</v>
      </c>
      <c r="M41" s="2">
        <v>336.30999999999995</v>
      </c>
      <c r="N41" s="2">
        <v>0</v>
      </c>
      <c r="O41" s="2">
        <v>0</v>
      </c>
    </row>
    <row r="42" spans="1:15" x14ac:dyDescent="0.3">
      <c r="A42" s="6">
        <v>41</v>
      </c>
      <c r="B42" s="6">
        <v>2003</v>
      </c>
      <c r="C42" s="6">
        <v>5</v>
      </c>
      <c r="D42" s="2">
        <v>0</v>
      </c>
      <c r="E42" s="2">
        <v>436261.80000000022</v>
      </c>
      <c r="F42" s="2">
        <v>0</v>
      </c>
      <c r="G42" s="2">
        <v>0</v>
      </c>
      <c r="H42" s="2">
        <v>627238.74299999909</v>
      </c>
      <c r="I42" s="2">
        <v>28213153.000000454</v>
      </c>
      <c r="J42" s="2">
        <v>0</v>
      </c>
      <c r="K42" s="2">
        <v>982746.62000000558</v>
      </c>
      <c r="L42" s="2">
        <v>3112.1000000000004</v>
      </c>
      <c r="M42" s="2">
        <v>0</v>
      </c>
      <c r="N42" s="2">
        <v>0</v>
      </c>
      <c r="O42" s="2">
        <v>0</v>
      </c>
    </row>
    <row r="43" spans="1:15" x14ac:dyDescent="0.3">
      <c r="A43" s="6">
        <v>42</v>
      </c>
      <c r="B43" s="6">
        <v>2003</v>
      </c>
      <c r="C43" s="6">
        <v>6</v>
      </c>
      <c r="D43" s="2">
        <v>0</v>
      </c>
      <c r="E43" s="2">
        <v>420149.20000000024</v>
      </c>
      <c r="F43" s="2">
        <v>0</v>
      </c>
      <c r="G43" s="2">
        <v>0</v>
      </c>
      <c r="H43" s="2">
        <v>851928.78199999954</v>
      </c>
      <c r="I43" s="2">
        <v>26502197.696999744</v>
      </c>
      <c r="J43" s="2">
        <v>0</v>
      </c>
      <c r="K43" s="2">
        <v>1323469.3400000059</v>
      </c>
      <c r="L43" s="2">
        <v>0</v>
      </c>
      <c r="M43" s="2">
        <v>27624.779999999988</v>
      </c>
      <c r="N43" s="2">
        <v>0</v>
      </c>
      <c r="O43" s="2">
        <v>0</v>
      </c>
    </row>
    <row r="44" spans="1:15" x14ac:dyDescent="0.3">
      <c r="A44" s="6">
        <v>43</v>
      </c>
      <c r="B44" s="6">
        <v>2003</v>
      </c>
      <c r="C44" s="6">
        <v>7</v>
      </c>
      <c r="D44" s="2">
        <v>0</v>
      </c>
      <c r="E44" s="2">
        <v>451579.80000000005</v>
      </c>
      <c r="F44" s="2">
        <v>0</v>
      </c>
      <c r="G44" s="2">
        <v>0</v>
      </c>
      <c r="H44" s="2">
        <v>832490.09999999707</v>
      </c>
      <c r="I44" s="2">
        <v>27434234.979999837</v>
      </c>
      <c r="J44" s="2">
        <v>0</v>
      </c>
      <c r="K44" s="2">
        <v>1375309.0300000007</v>
      </c>
      <c r="L44" s="2">
        <v>2506.8999999999996</v>
      </c>
      <c r="M44" s="2">
        <v>2001.0299999999997</v>
      </c>
      <c r="N44" s="2">
        <v>0</v>
      </c>
      <c r="O44" s="2">
        <v>0</v>
      </c>
    </row>
    <row r="45" spans="1:15" x14ac:dyDescent="0.3">
      <c r="A45" s="6">
        <v>44</v>
      </c>
      <c r="B45" s="6">
        <v>2003</v>
      </c>
      <c r="C45" s="6">
        <v>8</v>
      </c>
      <c r="D45" s="2">
        <v>0</v>
      </c>
      <c r="E45" s="2">
        <v>436668.50000000146</v>
      </c>
      <c r="F45" s="2">
        <v>0</v>
      </c>
      <c r="G45" s="2">
        <v>0</v>
      </c>
      <c r="H45" s="2">
        <v>851913.24000000127</v>
      </c>
      <c r="I45" s="2">
        <v>27770091.340000484</v>
      </c>
      <c r="J45" s="2">
        <v>0</v>
      </c>
      <c r="K45" s="2">
        <v>1088373.8900000036</v>
      </c>
      <c r="L45" s="2">
        <v>0</v>
      </c>
      <c r="M45" s="2">
        <v>1148.46</v>
      </c>
      <c r="N45" s="2">
        <v>0</v>
      </c>
      <c r="O45" s="2">
        <v>0</v>
      </c>
    </row>
    <row r="46" spans="1:15" x14ac:dyDescent="0.3">
      <c r="A46" s="6">
        <v>45</v>
      </c>
      <c r="B46" s="6">
        <v>2003</v>
      </c>
      <c r="C46" s="6">
        <v>9</v>
      </c>
      <c r="D46" s="2">
        <v>0</v>
      </c>
      <c r="E46" s="2">
        <v>439346.64999999997</v>
      </c>
      <c r="F46" s="2">
        <v>0</v>
      </c>
      <c r="G46" s="2">
        <v>0</v>
      </c>
      <c r="H46" s="2">
        <v>654469.21000000043</v>
      </c>
      <c r="I46" s="2">
        <v>28005096.750000406</v>
      </c>
      <c r="J46" s="2">
        <v>0</v>
      </c>
      <c r="K46" s="2">
        <v>977694.36000000103</v>
      </c>
      <c r="L46" s="2">
        <v>2684</v>
      </c>
      <c r="M46" s="2">
        <v>10909.890000000001</v>
      </c>
      <c r="N46" s="2">
        <v>0</v>
      </c>
      <c r="O46" s="2">
        <v>0</v>
      </c>
    </row>
    <row r="47" spans="1:15" x14ac:dyDescent="0.3">
      <c r="A47" s="6">
        <v>46</v>
      </c>
      <c r="B47" s="6">
        <v>2003</v>
      </c>
      <c r="C47" s="6">
        <v>10</v>
      </c>
      <c r="D47" s="2">
        <v>0</v>
      </c>
      <c r="E47" s="2">
        <v>459873.13000000024</v>
      </c>
      <c r="F47" s="2">
        <v>0</v>
      </c>
      <c r="G47" s="2">
        <v>0</v>
      </c>
      <c r="H47" s="2">
        <v>955663.17000000272</v>
      </c>
      <c r="I47" s="2">
        <v>29425695.900000095</v>
      </c>
      <c r="J47" s="2">
        <v>0</v>
      </c>
      <c r="K47" s="2">
        <v>823983.88999999943</v>
      </c>
      <c r="L47" s="2">
        <v>0</v>
      </c>
      <c r="M47" s="2">
        <v>82601.960000000006</v>
      </c>
      <c r="N47" s="2">
        <v>0</v>
      </c>
      <c r="O47" s="2">
        <v>0</v>
      </c>
    </row>
    <row r="48" spans="1:15" x14ac:dyDescent="0.3">
      <c r="A48" s="6">
        <v>47</v>
      </c>
      <c r="B48" s="6">
        <v>2003</v>
      </c>
      <c r="C48" s="6">
        <v>11</v>
      </c>
      <c r="D48" s="2">
        <v>103.69</v>
      </c>
      <c r="E48" s="2">
        <v>509583.66000000125</v>
      </c>
      <c r="F48" s="2">
        <v>0</v>
      </c>
      <c r="G48" s="2">
        <v>0</v>
      </c>
      <c r="H48" s="2">
        <v>1168618.4100000041</v>
      </c>
      <c r="I48" s="2">
        <v>27940502.21000025</v>
      </c>
      <c r="J48" s="2">
        <v>0</v>
      </c>
      <c r="K48" s="2">
        <v>1227371.2150999992</v>
      </c>
      <c r="L48" s="2">
        <v>3527.6999999999994</v>
      </c>
      <c r="M48" s="2">
        <v>33864.820000000007</v>
      </c>
      <c r="N48" s="2">
        <v>0</v>
      </c>
      <c r="O48" s="2">
        <v>0</v>
      </c>
    </row>
    <row r="49" spans="1:15" x14ac:dyDescent="0.3">
      <c r="A49" s="6">
        <v>48</v>
      </c>
      <c r="B49" s="6">
        <v>2003</v>
      </c>
      <c r="C49" s="6">
        <v>12</v>
      </c>
      <c r="D49" s="2">
        <v>272.94</v>
      </c>
      <c r="E49" s="2">
        <v>488509.99000000057</v>
      </c>
      <c r="F49" s="2">
        <v>0</v>
      </c>
      <c r="G49" s="2">
        <v>0</v>
      </c>
      <c r="H49" s="2">
        <v>1235404.690000003</v>
      </c>
      <c r="I49" s="2">
        <v>28596015.119999815</v>
      </c>
      <c r="J49" s="2">
        <v>0</v>
      </c>
      <c r="K49" s="2">
        <v>1385594.3599999868</v>
      </c>
      <c r="L49" s="2">
        <v>20154.579999999991</v>
      </c>
      <c r="M49" s="2">
        <v>21232.440000000006</v>
      </c>
      <c r="N49" s="2">
        <v>0</v>
      </c>
      <c r="O49" s="2">
        <v>0</v>
      </c>
    </row>
    <row r="50" spans="1:15" x14ac:dyDescent="0.3">
      <c r="A50" s="6">
        <v>49</v>
      </c>
      <c r="B50" s="6">
        <v>2004</v>
      </c>
      <c r="C50" s="6">
        <v>1</v>
      </c>
      <c r="D50" s="2">
        <v>0</v>
      </c>
      <c r="E50" s="2">
        <v>517766.9699999998</v>
      </c>
      <c r="F50" s="2">
        <v>0</v>
      </c>
      <c r="G50" s="2">
        <v>0</v>
      </c>
      <c r="H50" s="2">
        <v>1241639.0799999982</v>
      </c>
      <c r="I50" s="2">
        <v>28059208.900000125</v>
      </c>
      <c r="J50" s="2">
        <v>0</v>
      </c>
      <c r="K50" s="2">
        <v>1359756.099999995</v>
      </c>
      <c r="L50" s="2">
        <v>92254.738000000187</v>
      </c>
      <c r="M50" s="2">
        <v>190691.35999999917</v>
      </c>
      <c r="N50" s="2">
        <v>0</v>
      </c>
      <c r="O50" s="2">
        <v>0</v>
      </c>
    </row>
    <row r="51" spans="1:15" x14ac:dyDescent="0.3">
      <c r="A51" s="6">
        <v>50</v>
      </c>
      <c r="B51" s="6">
        <v>2004</v>
      </c>
      <c r="C51" s="6">
        <v>2</v>
      </c>
      <c r="D51" s="2">
        <v>0</v>
      </c>
      <c r="E51" s="2">
        <v>469749.97000000085</v>
      </c>
      <c r="F51" s="2">
        <v>0</v>
      </c>
      <c r="G51" s="2">
        <v>0</v>
      </c>
      <c r="H51" s="2">
        <v>1088165.3500000001</v>
      </c>
      <c r="I51" s="2">
        <v>27148306.240000106</v>
      </c>
      <c r="J51" s="2">
        <v>0</v>
      </c>
      <c r="K51" s="2">
        <v>1138962.44</v>
      </c>
      <c r="L51" s="2">
        <v>4131.2600000000011</v>
      </c>
      <c r="M51" s="2">
        <v>39054.189999999951</v>
      </c>
      <c r="N51" s="2">
        <v>0</v>
      </c>
      <c r="O51" s="2">
        <v>0</v>
      </c>
    </row>
    <row r="52" spans="1:15" x14ac:dyDescent="0.3">
      <c r="A52" s="6">
        <v>51</v>
      </c>
      <c r="B52" s="6">
        <v>2004</v>
      </c>
      <c r="C52" s="6">
        <v>3</v>
      </c>
      <c r="D52" s="2">
        <v>0</v>
      </c>
      <c r="E52" s="2">
        <v>446140.94000000181</v>
      </c>
      <c r="F52" s="2">
        <v>0</v>
      </c>
      <c r="G52" s="2">
        <v>0</v>
      </c>
      <c r="H52" s="2">
        <v>1185663.6301999977</v>
      </c>
      <c r="I52" s="2">
        <v>30522118.289999645</v>
      </c>
      <c r="J52" s="2">
        <v>0</v>
      </c>
      <c r="K52" s="2">
        <v>730685.40999999864</v>
      </c>
      <c r="L52" s="2">
        <v>0</v>
      </c>
      <c r="M52" s="2">
        <v>58049.129999999968</v>
      </c>
      <c r="N52" s="2">
        <v>0</v>
      </c>
      <c r="O52" s="2">
        <v>0</v>
      </c>
    </row>
    <row r="53" spans="1:15" x14ac:dyDescent="0.3">
      <c r="A53" s="6">
        <v>52</v>
      </c>
      <c r="B53" s="6">
        <v>2004</v>
      </c>
      <c r="C53" s="6">
        <v>4</v>
      </c>
      <c r="D53" s="2">
        <v>0</v>
      </c>
      <c r="E53" s="2">
        <v>507024.38999999978</v>
      </c>
      <c r="F53" s="2">
        <v>0</v>
      </c>
      <c r="G53" s="2">
        <v>0</v>
      </c>
      <c r="H53" s="2">
        <v>1293682.3399999917</v>
      </c>
      <c r="I53" s="2">
        <v>28928588.449999742</v>
      </c>
      <c r="J53" s="2">
        <v>0</v>
      </c>
      <c r="K53" s="2">
        <v>895125.35999999766</v>
      </c>
      <c r="L53" s="2">
        <v>5086.53</v>
      </c>
      <c r="M53" s="2">
        <v>62228.079999999951</v>
      </c>
      <c r="N53" s="2">
        <v>0</v>
      </c>
      <c r="O53" s="2">
        <v>0</v>
      </c>
    </row>
    <row r="54" spans="1:15" x14ac:dyDescent="0.3">
      <c r="A54" s="6">
        <v>53</v>
      </c>
      <c r="B54" s="6">
        <v>2004</v>
      </c>
      <c r="C54" s="6">
        <v>5</v>
      </c>
      <c r="D54" s="2">
        <v>0</v>
      </c>
      <c r="E54" s="2">
        <v>618614.21000000054</v>
      </c>
      <c r="F54" s="2">
        <v>0</v>
      </c>
      <c r="G54" s="2">
        <v>0</v>
      </c>
      <c r="H54" s="2">
        <v>950062.85000000009</v>
      </c>
      <c r="I54" s="2">
        <v>29672393.020000279</v>
      </c>
      <c r="J54" s="2">
        <v>0</v>
      </c>
      <c r="K54" s="2">
        <v>698433.15999999968</v>
      </c>
      <c r="L54" s="2">
        <v>0</v>
      </c>
      <c r="M54" s="2">
        <v>114038.26999999987</v>
      </c>
      <c r="N54" s="2">
        <v>0</v>
      </c>
      <c r="O54" s="2">
        <v>0</v>
      </c>
    </row>
    <row r="55" spans="1:15" x14ac:dyDescent="0.3">
      <c r="A55" s="6">
        <v>54</v>
      </c>
      <c r="B55" s="6">
        <v>2004</v>
      </c>
      <c r="C55" s="6">
        <v>6</v>
      </c>
      <c r="D55" s="2">
        <v>77</v>
      </c>
      <c r="E55" s="2">
        <v>653471.78999999829</v>
      </c>
      <c r="F55" s="2">
        <v>0</v>
      </c>
      <c r="G55" s="2">
        <v>0</v>
      </c>
      <c r="H55" s="2">
        <v>1002465.0839999994</v>
      </c>
      <c r="I55" s="2">
        <v>28346473.470000047</v>
      </c>
      <c r="J55" s="2">
        <v>0</v>
      </c>
      <c r="K55" s="2">
        <v>888149.94000000018</v>
      </c>
      <c r="L55" s="2">
        <v>3354.5000000000014</v>
      </c>
      <c r="M55" s="2">
        <v>89382.369999999937</v>
      </c>
      <c r="N55" s="2">
        <v>0</v>
      </c>
      <c r="O55" s="2">
        <v>0</v>
      </c>
    </row>
    <row r="56" spans="1:15" x14ac:dyDescent="0.3">
      <c r="A56" s="6">
        <v>55</v>
      </c>
      <c r="B56" s="6">
        <v>2004</v>
      </c>
      <c r="C56" s="6">
        <v>7</v>
      </c>
      <c r="D56" s="2">
        <v>0</v>
      </c>
      <c r="E56" s="2">
        <v>581614.03999999946</v>
      </c>
      <c r="F56" s="2">
        <v>0</v>
      </c>
      <c r="G56" s="2">
        <v>0</v>
      </c>
      <c r="H56" s="2">
        <v>921999.7947999991</v>
      </c>
      <c r="I56" s="2">
        <v>29567497.150000032</v>
      </c>
      <c r="J56" s="2">
        <v>0</v>
      </c>
      <c r="K56" s="2">
        <v>884087.94999999902</v>
      </c>
      <c r="L56" s="2">
        <v>0</v>
      </c>
      <c r="M56" s="2">
        <v>57849.699999999975</v>
      </c>
      <c r="N56" s="2">
        <v>0</v>
      </c>
      <c r="O56" s="2">
        <v>0</v>
      </c>
    </row>
    <row r="57" spans="1:15" x14ac:dyDescent="0.3">
      <c r="A57" s="6">
        <v>56</v>
      </c>
      <c r="B57" s="6">
        <v>2004</v>
      </c>
      <c r="C57" s="6">
        <v>8</v>
      </c>
      <c r="D57" s="2">
        <v>0</v>
      </c>
      <c r="E57" s="2">
        <v>579457.62999999919</v>
      </c>
      <c r="F57" s="2">
        <v>0</v>
      </c>
      <c r="G57" s="2">
        <v>0</v>
      </c>
      <c r="H57" s="2">
        <v>1022405.2199999967</v>
      </c>
      <c r="I57" s="2">
        <v>29863009.761000227</v>
      </c>
      <c r="J57" s="2">
        <v>0</v>
      </c>
      <c r="K57" s="2">
        <v>1049904.2000000014</v>
      </c>
      <c r="L57" s="2">
        <v>460.93000000000006</v>
      </c>
      <c r="M57" s="2">
        <v>94267.650000000081</v>
      </c>
      <c r="N57" s="2">
        <v>0</v>
      </c>
      <c r="O57" s="2">
        <v>0</v>
      </c>
    </row>
    <row r="58" spans="1:15" x14ac:dyDescent="0.3">
      <c r="A58" s="6">
        <v>57</v>
      </c>
      <c r="B58" s="6">
        <v>2004</v>
      </c>
      <c r="C58" s="6">
        <v>9</v>
      </c>
      <c r="D58" s="2">
        <v>0</v>
      </c>
      <c r="E58" s="2">
        <v>409354.80999999936</v>
      </c>
      <c r="F58" s="2">
        <v>0</v>
      </c>
      <c r="G58" s="2">
        <v>0</v>
      </c>
      <c r="H58" s="2">
        <v>1564019.4849999947</v>
      </c>
      <c r="I58" s="2">
        <v>29256472.140999869</v>
      </c>
      <c r="J58" s="2">
        <v>0</v>
      </c>
      <c r="K58" s="2">
        <v>1323075.5100000044</v>
      </c>
      <c r="L58" s="2">
        <v>3979.6000000000008</v>
      </c>
      <c r="M58" s="2">
        <v>12393.719999999987</v>
      </c>
      <c r="N58" s="2">
        <v>0</v>
      </c>
      <c r="O58" s="2">
        <v>0</v>
      </c>
    </row>
    <row r="59" spans="1:15" x14ac:dyDescent="0.3">
      <c r="A59" s="6">
        <v>58</v>
      </c>
      <c r="B59" s="6">
        <v>2004</v>
      </c>
      <c r="C59" s="6">
        <v>10</v>
      </c>
      <c r="D59" s="2">
        <v>0</v>
      </c>
      <c r="E59" s="2">
        <v>517611.5600000007</v>
      </c>
      <c r="F59" s="2">
        <v>0</v>
      </c>
      <c r="G59" s="2">
        <v>0</v>
      </c>
      <c r="H59" s="2">
        <v>1618532.0299999847</v>
      </c>
      <c r="I59" s="2">
        <v>29799539.229999777</v>
      </c>
      <c r="J59" s="2">
        <v>0</v>
      </c>
      <c r="K59" s="2">
        <v>1108488.0099999984</v>
      </c>
      <c r="L59" s="2">
        <v>4359.2999999999993</v>
      </c>
      <c r="M59" s="2">
        <v>0</v>
      </c>
      <c r="N59" s="2">
        <v>0</v>
      </c>
      <c r="O59" s="2">
        <v>0</v>
      </c>
    </row>
    <row r="60" spans="1:15" x14ac:dyDescent="0.3">
      <c r="A60" s="6">
        <v>59</v>
      </c>
      <c r="B60" s="6">
        <v>2004</v>
      </c>
      <c r="C60" s="6">
        <v>11</v>
      </c>
      <c r="D60" s="2">
        <v>0</v>
      </c>
      <c r="E60" s="2">
        <v>508772.10999999929</v>
      </c>
      <c r="F60" s="2">
        <v>0</v>
      </c>
      <c r="G60" s="2">
        <v>0</v>
      </c>
      <c r="H60" s="2">
        <v>1264968.8899999969</v>
      </c>
      <c r="I60" s="2">
        <v>29569343.031999882</v>
      </c>
      <c r="J60" s="2">
        <v>0</v>
      </c>
      <c r="K60" s="2">
        <v>1107725.7499999967</v>
      </c>
      <c r="L60" s="2">
        <v>0.1</v>
      </c>
      <c r="M60" s="2">
        <v>1223.8199999999997</v>
      </c>
      <c r="N60" s="2">
        <v>0</v>
      </c>
      <c r="O60" s="2">
        <v>0</v>
      </c>
    </row>
    <row r="61" spans="1:15" x14ac:dyDescent="0.3">
      <c r="A61" s="6">
        <v>60</v>
      </c>
      <c r="B61" s="6">
        <v>2004</v>
      </c>
      <c r="C61" s="6">
        <v>12</v>
      </c>
      <c r="D61" s="2">
        <v>0</v>
      </c>
      <c r="E61" s="2">
        <v>535824.28999999841</v>
      </c>
      <c r="F61" s="2">
        <v>0</v>
      </c>
      <c r="G61" s="2">
        <v>0</v>
      </c>
      <c r="H61" s="2">
        <v>1234628.82</v>
      </c>
      <c r="I61" s="2">
        <v>31200181.589999124</v>
      </c>
      <c r="J61" s="2">
        <v>0</v>
      </c>
      <c r="K61" s="2">
        <v>396553.80000000016</v>
      </c>
      <c r="L61" s="2">
        <v>417.77000000000004</v>
      </c>
      <c r="M61" s="2">
        <v>9092.1999999999971</v>
      </c>
      <c r="N61" s="2">
        <v>0</v>
      </c>
      <c r="O61" s="2">
        <v>0</v>
      </c>
    </row>
    <row r="62" spans="1:15" x14ac:dyDescent="0.3">
      <c r="A62" s="6">
        <v>61</v>
      </c>
      <c r="B62" s="6">
        <v>2005</v>
      </c>
      <c r="C62" s="6">
        <v>1</v>
      </c>
      <c r="D62" s="2">
        <v>0</v>
      </c>
      <c r="E62" s="2">
        <v>494770.51000000094</v>
      </c>
      <c r="F62" s="2">
        <v>0</v>
      </c>
      <c r="G62" s="2">
        <v>0</v>
      </c>
      <c r="H62" s="2">
        <v>1229106.3299999996</v>
      </c>
      <c r="I62" s="2">
        <v>31747163.679999411</v>
      </c>
      <c r="J62" s="2">
        <v>0</v>
      </c>
      <c r="K62" s="2">
        <v>364644.10999999946</v>
      </c>
      <c r="L62" s="2">
        <v>139.19999999999999</v>
      </c>
      <c r="M62" s="2">
        <v>62127.529999999992</v>
      </c>
      <c r="N62" s="2">
        <v>0</v>
      </c>
      <c r="O62" s="2">
        <v>0</v>
      </c>
    </row>
    <row r="63" spans="1:15" x14ac:dyDescent="0.3">
      <c r="A63" s="6">
        <v>62</v>
      </c>
      <c r="B63" s="6">
        <v>2005</v>
      </c>
      <c r="C63" s="6">
        <v>2</v>
      </c>
      <c r="D63" s="2">
        <v>0</v>
      </c>
      <c r="E63" s="2">
        <v>499794.01999999967</v>
      </c>
      <c r="F63" s="2">
        <v>0</v>
      </c>
      <c r="G63" s="2">
        <v>0</v>
      </c>
      <c r="H63" s="2">
        <v>850271.8199999975</v>
      </c>
      <c r="I63" s="2">
        <v>29393794.559999697</v>
      </c>
      <c r="J63" s="2">
        <v>0</v>
      </c>
      <c r="K63" s="2">
        <v>359835.41000000009</v>
      </c>
      <c r="L63" s="2">
        <v>0</v>
      </c>
      <c r="M63" s="2">
        <v>78053.780000000013</v>
      </c>
      <c r="N63" s="2">
        <v>0</v>
      </c>
      <c r="O63" s="2">
        <v>0</v>
      </c>
    </row>
    <row r="64" spans="1:15" x14ac:dyDescent="0.3">
      <c r="A64" s="6">
        <v>63</v>
      </c>
      <c r="B64" s="6">
        <v>2005</v>
      </c>
      <c r="C64" s="6">
        <v>3</v>
      </c>
      <c r="D64" s="2">
        <v>130.80000000000001</v>
      </c>
      <c r="E64" s="2">
        <v>716259.87000000023</v>
      </c>
      <c r="F64" s="2">
        <v>0</v>
      </c>
      <c r="G64" s="2">
        <v>0</v>
      </c>
      <c r="H64" s="2">
        <v>1144112.1999999995</v>
      </c>
      <c r="I64" s="2">
        <v>33283100.289999962</v>
      </c>
      <c r="J64" s="2">
        <v>0</v>
      </c>
      <c r="K64" s="2">
        <v>452.36</v>
      </c>
      <c r="L64" s="2">
        <v>345.96999999999997</v>
      </c>
      <c r="M64" s="2">
        <v>122164.14999999992</v>
      </c>
      <c r="N64" s="2">
        <v>0</v>
      </c>
      <c r="O64" s="2">
        <v>0</v>
      </c>
    </row>
    <row r="65" spans="1:15" x14ac:dyDescent="0.3">
      <c r="A65" s="6">
        <v>64</v>
      </c>
      <c r="B65" s="6">
        <v>2005</v>
      </c>
      <c r="C65" s="6">
        <v>4</v>
      </c>
      <c r="D65" s="2">
        <v>0</v>
      </c>
      <c r="E65" s="2">
        <v>659465.30999999843</v>
      </c>
      <c r="F65" s="2">
        <v>0</v>
      </c>
      <c r="G65" s="2">
        <v>0</v>
      </c>
      <c r="H65" s="2">
        <v>975225.65000000026</v>
      </c>
      <c r="I65" s="2">
        <v>31113907.809999701</v>
      </c>
      <c r="J65" s="2">
        <v>0</v>
      </c>
      <c r="K65" s="2">
        <v>834262.52999999595</v>
      </c>
      <c r="L65" s="2">
        <v>2002.48</v>
      </c>
      <c r="M65" s="2">
        <v>84116.500000000015</v>
      </c>
      <c r="N65" s="2">
        <v>0</v>
      </c>
      <c r="O65" s="2">
        <v>0</v>
      </c>
    </row>
    <row r="66" spans="1:15" x14ac:dyDescent="0.3">
      <c r="A66" s="6">
        <v>65</v>
      </c>
      <c r="B66" s="6">
        <v>2005</v>
      </c>
      <c r="C66" s="6">
        <v>5</v>
      </c>
      <c r="D66" s="2">
        <v>0</v>
      </c>
      <c r="E66" s="2">
        <v>546380.92999999947</v>
      </c>
      <c r="F66" s="2">
        <v>0</v>
      </c>
      <c r="G66" s="2">
        <v>0</v>
      </c>
      <c r="H66" s="2">
        <v>961475.80000000028</v>
      </c>
      <c r="I66" s="2">
        <v>30490403.149999578</v>
      </c>
      <c r="J66" s="2">
        <v>0</v>
      </c>
      <c r="K66" s="2">
        <v>1169653.1700000004</v>
      </c>
      <c r="L66" s="2">
        <v>0</v>
      </c>
      <c r="M66" s="2">
        <v>69677.379999999946</v>
      </c>
      <c r="N66" s="2">
        <v>0</v>
      </c>
      <c r="O66" s="2">
        <v>0</v>
      </c>
    </row>
    <row r="67" spans="1:15" x14ac:dyDescent="0.3">
      <c r="A67" s="6">
        <v>66</v>
      </c>
      <c r="B67" s="6">
        <v>2005</v>
      </c>
      <c r="C67" s="6">
        <v>6</v>
      </c>
      <c r="D67" s="2">
        <v>0</v>
      </c>
      <c r="E67" s="2">
        <v>454537.79000000021</v>
      </c>
      <c r="F67" s="2">
        <v>0</v>
      </c>
      <c r="G67" s="2">
        <v>0</v>
      </c>
      <c r="H67" s="2">
        <v>876301.78599999822</v>
      </c>
      <c r="I67" s="2">
        <v>29708969.249999579</v>
      </c>
      <c r="J67" s="2">
        <v>0</v>
      </c>
      <c r="K67" s="2">
        <v>1221831.410000006</v>
      </c>
      <c r="L67" s="2">
        <v>3044.1000000000008</v>
      </c>
      <c r="M67" s="2">
        <v>21197.589999999993</v>
      </c>
      <c r="N67" s="2">
        <v>0</v>
      </c>
      <c r="O67" s="2">
        <v>0</v>
      </c>
    </row>
    <row r="68" spans="1:15" x14ac:dyDescent="0.3">
      <c r="A68" s="6">
        <v>67</v>
      </c>
      <c r="B68" s="6">
        <v>2005</v>
      </c>
      <c r="C68" s="6">
        <v>7</v>
      </c>
      <c r="D68" s="2">
        <v>0</v>
      </c>
      <c r="E68" s="2">
        <v>514579.3399999984</v>
      </c>
      <c r="F68" s="2">
        <v>0</v>
      </c>
      <c r="G68" s="2">
        <v>0</v>
      </c>
      <c r="H68" s="2">
        <v>927003.429999999</v>
      </c>
      <c r="I68" s="2">
        <v>29978420.709999964</v>
      </c>
      <c r="J68" s="2">
        <v>0</v>
      </c>
      <c r="K68" s="2">
        <v>1039589.6899999987</v>
      </c>
      <c r="L68" s="2">
        <v>285.2</v>
      </c>
      <c r="M68" s="2">
        <v>120041.32000000004</v>
      </c>
      <c r="N68" s="2">
        <v>0</v>
      </c>
      <c r="O68" s="2">
        <v>0</v>
      </c>
    </row>
    <row r="69" spans="1:15" x14ac:dyDescent="0.3">
      <c r="A69" s="6">
        <v>68</v>
      </c>
      <c r="B69" s="6">
        <v>2005</v>
      </c>
      <c r="C69" s="6">
        <v>8</v>
      </c>
      <c r="D69" s="2">
        <v>0</v>
      </c>
      <c r="E69" s="2">
        <v>518656.73000000254</v>
      </c>
      <c r="F69" s="2">
        <v>0</v>
      </c>
      <c r="G69" s="2">
        <v>0</v>
      </c>
      <c r="H69" s="2">
        <v>1061770.3699999959</v>
      </c>
      <c r="I69" s="2">
        <v>30964859.574999806</v>
      </c>
      <c r="J69" s="2">
        <v>0</v>
      </c>
      <c r="K69" s="2">
        <v>1188561.419999996</v>
      </c>
      <c r="L69" s="2">
        <v>472.44999999999993</v>
      </c>
      <c r="M69" s="2">
        <v>118286.61999999994</v>
      </c>
      <c r="N69" s="2">
        <v>0</v>
      </c>
      <c r="O69" s="2">
        <v>0</v>
      </c>
    </row>
    <row r="70" spans="1:15" x14ac:dyDescent="0.3">
      <c r="A70" s="6">
        <v>69</v>
      </c>
      <c r="B70" s="6">
        <v>2005</v>
      </c>
      <c r="C70" s="6">
        <v>9</v>
      </c>
      <c r="D70" s="2">
        <v>0</v>
      </c>
      <c r="E70" s="2">
        <v>410132.72999999928</v>
      </c>
      <c r="F70" s="2">
        <v>0</v>
      </c>
      <c r="G70" s="2">
        <v>0</v>
      </c>
      <c r="H70" s="2">
        <v>1017968.1870000014</v>
      </c>
      <c r="I70" s="2">
        <v>29940047.150000323</v>
      </c>
      <c r="J70" s="2">
        <v>0</v>
      </c>
      <c r="K70" s="2">
        <v>1208019.3600000059</v>
      </c>
      <c r="L70" s="2">
        <v>2711.8999999999996</v>
      </c>
      <c r="M70" s="2">
        <v>89594.359999999986</v>
      </c>
      <c r="N70" s="2">
        <v>0</v>
      </c>
      <c r="O70" s="2">
        <v>0</v>
      </c>
    </row>
    <row r="71" spans="1:15" x14ac:dyDescent="0.3">
      <c r="A71" s="6">
        <v>70</v>
      </c>
      <c r="B71" s="6">
        <v>2005</v>
      </c>
      <c r="C71" s="6">
        <v>10</v>
      </c>
      <c r="D71" s="2">
        <v>0</v>
      </c>
      <c r="E71" s="2">
        <v>344990.31600000098</v>
      </c>
      <c r="F71" s="2">
        <v>0</v>
      </c>
      <c r="G71" s="2">
        <v>0</v>
      </c>
      <c r="H71" s="2">
        <v>1428501.8019999962</v>
      </c>
      <c r="I71" s="2">
        <v>31474686.218000151</v>
      </c>
      <c r="J71" s="2">
        <v>0</v>
      </c>
      <c r="K71" s="2">
        <v>1171517.2799999972</v>
      </c>
      <c r="L71" s="2">
        <v>4914.3070000000016</v>
      </c>
      <c r="M71" s="2">
        <v>48385.218999999997</v>
      </c>
      <c r="N71" s="2">
        <v>0</v>
      </c>
      <c r="O71" s="2">
        <v>0</v>
      </c>
    </row>
    <row r="72" spans="1:15" x14ac:dyDescent="0.3">
      <c r="A72" s="6">
        <v>71</v>
      </c>
      <c r="B72" s="6">
        <v>2005</v>
      </c>
      <c r="C72" s="6">
        <v>11</v>
      </c>
      <c r="D72" s="2">
        <v>0</v>
      </c>
      <c r="E72" s="2">
        <v>468622.13499999902</v>
      </c>
      <c r="F72" s="2">
        <v>0</v>
      </c>
      <c r="G72" s="2">
        <v>0</v>
      </c>
      <c r="H72" s="2">
        <v>1487678.5090000061</v>
      </c>
      <c r="I72" s="2">
        <v>30237723.472000085</v>
      </c>
      <c r="J72" s="2">
        <v>0</v>
      </c>
      <c r="K72" s="2">
        <v>965350.27000000107</v>
      </c>
      <c r="L72" s="2">
        <v>2418.2489999999998</v>
      </c>
      <c r="M72" s="2">
        <v>31595.19000000001</v>
      </c>
      <c r="N72" s="2">
        <v>0</v>
      </c>
      <c r="O72" s="2">
        <v>0</v>
      </c>
    </row>
    <row r="73" spans="1:15" x14ac:dyDescent="0.3">
      <c r="A73" s="6">
        <v>72</v>
      </c>
      <c r="B73" s="6">
        <v>2005</v>
      </c>
      <c r="C73" s="6">
        <v>12</v>
      </c>
      <c r="D73" s="2">
        <v>0</v>
      </c>
      <c r="E73" s="2">
        <v>478431.26999999804</v>
      </c>
      <c r="F73" s="2">
        <v>0</v>
      </c>
      <c r="G73" s="2">
        <v>0</v>
      </c>
      <c r="H73" s="2">
        <v>1375660.8159999971</v>
      </c>
      <c r="I73" s="2">
        <v>31936265.389999863</v>
      </c>
      <c r="J73" s="2">
        <v>0</v>
      </c>
      <c r="K73" s="2">
        <v>331174.48000000109</v>
      </c>
      <c r="L73" s="2">
        <v>5131.6100000000024</v>
      </c>
      <c r="M73" s="2">
        <v>92599.380000000019</v>
      </c>
      <c r="N73" s="2">
        <v>0</v>
      </c>
      <c r="O73" s="2">
        <v>0</v>
      </c>
    </row>
    <row r="74" spans="1:15" x14ac:dyDescent="0.3">
      <c r="A74" s="6">
        <v>73</v>
      </c>
      <c r="B74" s="6">
        <v>2006</v>
      </c>
      <c r="C74" s="6">
        <v>1</v>
      </c>
      <c r="D74" s="2">
        <v>0</v>
      </c>
      <c r="E74" s="2">
        <v>483901.07000000018</v>
      </c>
      <c r="F74" s="2">
        <v>0</v>
      </c>
      <c r="G74" s="2">
        <v>0</v>
      </c>
      <c r="H74" s="2">
        <v>1281593.8100000019</v>
      </c>
      <c r="I74" s="2">
        <v>33354777.689999722</v>
      </c>
      <c r="J74" s="2">
        <v>0</v>
      </c>
      <c r="K74" s="2">
        <v>325638.2799999995</v>
      </c>
      <c r="L74" s="2">
        <v>0.24000000000000007</v>
      </c>
      <c r="M74" s="2">
        <v>84783.439999999973</v>
      </c>
      <c r="N74" s="2">
        <v>0</v>
      </c>
      <c r="O74" s="2">
        <v>0</v>
      </c>
    </row>
    <row r="75" spans="1:15" x14ac:dyDescent="0.3">
      <c r="A75" s="6">
        <v>74</v>
      </c>
      <c r="B75" s="6">
        <v>2006</v>
      </c>
      <c r="C75" s="6">
        <v>2</v>
      </c>
      <c r="D75" s="2">
        <v>0</v>
      </c>
      <c r="E75" s="2">
        <v>479185.9399999993</v>
      </c>
      <c r="F75" s="2">
        <v>0</v>
      </c>
      <c r="G75" s="2">
        <v>0</v>
      </c>
      <c r="H75" s="2">
        <v>1244840.1679999968</v>
      </c>
      <c r="I75" s="2">
        <v>30051735.220000088</v>
      </c>
      <c r="J75" s="2">
        <v>0</v>
      </c>
      <c r="K75" s="2">
        <v>883118.25999999559</v>
      </c>
      <c r="L75" s="2">
        <v>0</v>
      </c>
      <c r="M75" s="2">
        <v>72189.959999999977</v>
      </c>
      <c r="N75" s="2">
        <v>0</v>
      </c>
      <c r="O75" s="2">
        <v>0</v>
      </c>
    </row>
    <row r="76" spans="1:15" x14ac:dyDescent="0.3">
      <c r="A76" s="6">
        <v>75</v>
      </c>
      <c r="B76" s="6">
        <v>2006</v>
      </c>
      <c r="C76" s="6">
        <v>3</v>
      </c>
      <c r="D76" s="2">
        <v>0</v>
      </c>
      <c r="E76" s="2">
        <v>599644.97000000242</v>
      </c>
      <c r="F76" s="2">
        <v>9.7099999999999991</v>
      </c>
      <c r="G76" s="2">
        <v>0</v>
      </c>
      <c r="H76" s="2">
        <v>1169053.0299999986</v>
      </c>
      <c r="I76" s="2">
        <v>33953958.509999856</v>
      </c>
      <c r="J76" s="2">
        <v>0</v>
      </c>
      <c r="K76" s="2">
        <v>1275505.609999991</v>
      </c>
      <c r="L76" s="2">
        <v>0</v>
      </c>
      <c r="M76" s="2">
        <v>95255.23</v>
      </c>
      <c r="N76" s="2">
        <v>0</v>
      </c>
      <c r="O76" s="2">
        <v>0</v>
      </c>
    </row>
    <row r="77" spans="1:15" x14ac:dyDescent="0.3">
      <c r="A77" s="6">
        <v>76</v>
      </c>
      <c r="B77" s="6">
        <v>2006</v>
      </c>
      <c r="C77" s="6">
        <v>4</v>
      </c>
      <c r="D77" s="2">
        <v>0</v>
      </c>
      <c r="E77" s="2">
        <v>553906.2399999979</v>
      </c>
      <c r="F77" s="2">
        <v>344.18000000000012</v>
      </c>
      <c r="G77" s="2">
        <v>0</v>
      </c>
      <c r="H77" s="2">
        <v>606262.00999999966</v>
      </c>
      <c r="I77" s="2">
        <v>31438196.709999863</v>
      </c>
      <c r="J77" s="2">
        <v>0</v>
      </c>
      <c r="K77" s="2">
        <v>1179237.1299999934</v>
      </c>
      <c r="L77" s="2">
        <v>3532.6299999999992</v>
      </c>
      <c r="M77" s="2">
        <v>64936.880000000048</v>
      </c>
      <c r="N77" s="2">
        <v>0</v>
      </c>
      <c r="O77" s="2">
        <v>0</v>
      </c>
    </row>
    <row r="78" spans="1:15" x14ac:dyDescent="0.3">
      <c r="A78" s="6">
        <v>77</v>
      </c>
      <c r="B78" s="6">
        <v>2006</v>
      </c>
      <c r="C78" s="6">
        <v>5</v>
      </c>
      <c r="D78" s="2">
        <v>0</v>
      </c>
      <c r="E78" s="2">
        <v>624464.67000000109</v>
      </c>
      <c r="F78" s="2">
        <v>1724.6695999999995</v>
      </c>
      <c r="G78" s="2">
        <v>0</v>
      </c>
      <c r="H78" s="2">
        <v>799381.43000000122</v>
      </c>
      <c r="I78" s="2">
        <v>31604886.879999772</v>
      </c>
      <c r="J78" s="2">
        <v>0</v>
      </c>
      <c r="K78" s="2">
        <v>1130644.9199999976</v>
      </c>
      <c r="L78" s="2">
        <v>3532.19</v>
      </c>
      <c r="M78" s="2">
        <v>71126.050000000148</v>
      </c>
      <c r="N78" s="2">
        <v>0</v>
      </c>
      <c r="O78" s="2">
        <v>0</v>
      </c>
    </row>
    <row r="79" spans="1:15" x14ac:dyDescent="0.3">
      <c r="A79" s="6">
        <v>78</v>
      </c>
      <c r="B79" s="6">
        <v>2006</v>
      </c>
      <c r="C79" s="6">
        <v>6</v>
      </c>
      <c r="D79" s="2">
        <v>0</v>
      </c>
      <c r="E79" s="2">
        <v>596842.21999999881</v>
      </c>
      <c r="F79" s="2">
        <v>8398.59</v>
      </c>
      <c r="G79" s="2">
        <v>0</v>
      </c>
      <c r="H79" s="2">
        <v>720251.61999999906</v>
      </c>
      <c r="I79" s="2">
        <v>30742586.549999371</v>
      </c>
      <c r="J79" s="2">
        <v>0</v>
      </c>
      <c r="K79" s="2">
        <v>1005747.1100000012</v>
      </c>
      <c r="L79" s="2">
        <v>11546.920000000004</v>
      </c>
      <c r="M79" s="2">
        <v>70016.609999999957</v>
      </c>
      <c r="N79" s="2">
        <v>0</v>
      </c>
      <c r="O79" s="2">
        <v>0</v>
      </c>
    </row>
    <row r="80" spans="1:15" x14ac:dyDescent="0.3">
      <c r="A80" s="6">
        <v>79</v>
      </c>
      <c r="B80" s="6">
        <v>2006</v>
      </c>
      <c r="C80" s="6">
        <v>7</v>
      </c>
      <c r="D80" s="2">
        <v>0</v>
      </c>
      <c r="E80" s="2">
        <v>656076.9799999994</v>
      </c>
      <c r="F80" s="2">
        <v>17966.63</v>
      </c>
      <c r="G80" s="2">
        <v>0</v>
      </c>
      <c r="H80" s="2">
        <v>959792.93999999855</v>
      </c>
      <c r="I80" s="2">
        <v>31273776.080000088</v>
      </c>
      <c r="J80" s="2">
        <v>0</v>
      </c>
      <c r="K80" s="2">
        <v>1322473.6500000018</v>
      </c>
      <c r="L80" s="2">
        <v>26867.039999999997</v>
      </c>
      <c r="M80" s="2">
        <v>71281.080000000031</v>
      </c>
      <c r="N80" s="2">
        <v>0</v>
      </c>
      <c r="O80" s="2">
        <v>0</v>
      </c>
    </row>
    <row r="81" spans="1:15" x14ac:dyDescent="0.3">
      <c r="A81" s="6">
        <v>80</v>
      </c>
      <c r="B81" s="6">
        <v>2006</v>
      </c>
      <c r="C81" s="6">
        <v>8</v>
      </c>
      <c r="D81" s="2">
        <v>0</v>
      </c>
      <c r="E81" s="2">
        <v>631189.3100000011</v>
      </c>
      <c r="F81" s="2">
        <v>27841</v>
      </c>
      <c r="G81" s="2">
        <v>0</v>
      </c>
      <c r="H81" s="2">
        <v>1011677.8599999959</v>
      </c>
      <c r="I81" s="2">
        <v>32385394.770000085</v>
      </c>
      <c r="J81" s="2">
        <v>0</v>
      </c>
      <c r="K81" s="2">
        <v>1328743.2599999986</v>
      </c>
      <c r="L81" s="2">
        <v>46200.94000000001</v>
      </c>
      <c r="M81" s="2">
        <v>42460.960000000021</v>
      </c>
      <c r="N81" s="2">
        <v>0</v>
      </c>
      <c r="O81" s="2">
        <v>0</v>
      </c>
    </row>
    <row r="82" spans="1:15" x14ac:dyDescent="0.3">
      <c r="A82" s="6">
        <v>81</v>
      </c>
      <c r="B82" s="6">
        <v>2006</v>
      </c>
      <c r="C82" s="6">
        <v>9</v>
      </c>
      <c r="D82" s="2">
        <v>2175.5800000000004</v>
      </c>
      <c r="E82" s="2">
        <v>650691.33000000101</v>
      </c>
      <c r="F82" s="2">
        <v>36606.150000000038</v>
      </c>
      <c r="G82" s="2">
        <v>0</v>
      </c>
      <c r="H82" s="2">
        <v>1279807.6740000015</v>
      </c>
      <c r="I82" s="2">
        <v>30504688.339999802</v>
      </c>
      <c r="J82" s="2">
        <v>0</v>
      </c>
      <c r="K82" s="2">
        <v>1324166.0099999979</v>
      </c>
      <c r="L82" s="2">
        <v>17318.28</v>
      </c>
      <c r="M82" s="2">
        <v>13822.300000000001</v>
      </c>
      <c r="N82" s="2">
        <v>0</v>
      </c>
      <c r="O82" s="2">
        <v>0</v>
      </c>
    </row>
    <row r="83" spans="1:15" x14ac:dyDescent="0.3">
      <c r="A83" s="6">
        <v>82</v>
      </c>
      <c r="B83" s="6">
        <v>2006</v>
      </c>
      <c r="C83" s="6">
        <v>10</v>
      </c>
      <c r="D83" s="2">
        <v>8285.9099999999962</v>
      </c>
      <c r="E83" s="2">
        <v>608271.54000000155</v>
      </c>
      <c r="F83" s="2">
        <v>51408.250000000087</v>
      </c>
      <c r="G83" s="2">
        <v>0</v>
      </c>
      <c r="H83" s="2">
        <v>1415954.221999994</v>
      </c>
      <c r="I83" s="2">
        <v>31966125.079999339</v>
      </c>
      <c r="J83" s="2">
        <v>0</v>
      </c>
      <c r="K83" s="2">
        <v>1361974.7700000061</v>
      </c>
      <c r="L83" s="2">
        <v>0</v>
      </c>
      <c r="M83" s="2">
        <v>4358.4500000000007</v>
      </c>
      <c r="N83" s="2">
        <v>0</v>
      </c>
      <c r="O83" s="2">
        <v>0</v>
      </c>
    </row>
    <row r="84" spans="1:15" x14ac:dyDescent="0.3">
      <c r="A84" s="6">
        <v>83</v>
      </c>
      <c r="B84" s="6">
        <v>2006</v>
      </c>
      <c r="C84" s="6">
        <v>11</v>
      </c>
      <c r="D84" s="2">
        <v>7726.1099999999842</v>
      </c>
      <c r="E84" s="2">
        <v>440502.83000000048</v>
      </c>
      <c r="F84" s="2">
        <v>47501.310000000019</v>
      </c>
      <c r="G84" s="2">
        <v>0</v>
      </c>
      <c r="H84" s="2">
        <v>949029.14999999828</v>
      </c>
      <c r="I84" s="2">
        <v>32007462.869999807</v>
      </c>
      <c r="J84" s="2">
        <v>0</v>
      </c>
      <c r="K84" s="2">
        <v>1253592.390000002</v>
      </c>
      <c r="L84" s="2">
        <v>0</v>
      </c>
      <c r="M84" s="2">
        <v>0</v>
      </c>
      <c r="N84" s="2">
        <v>0</v>
      </c>
      <c r="O84" s="2">
        <v>0</v>
      </c>
    </row>
    <row r="85" spans="1:15" x14ac:dyDescent="0.3">
      <c r="A85" s="6">
        <v>84</v>
      </c>
      <c r="B85" s="6">
        <v>2006</v>
      </c>
      <c r="C85" s="6">
        <v>12</v>
      </c>
      <c r="D85" s="2">
        <v>6037.7800000000043</v>
      </c>
      <c r="E85" s="2">
        <v>361239.7099999988</v>
      </c>
      <c r="F85" s="2">
        <v>45701.360000000052</v>
      </c>
      <c r="G85" s="2">
        <v>0</v>
      </c>
      <c r="H85" s="2">
        <v>1279293.4400000018</v>
      </c>
      <c r="I85" s="2">
        <v>32927799.239999544</v>
      </c>
      <c r="J85" s="2">
        <v>0</v>
      </c>
      <c r="K85" s="2">
        <v>1361838.8700000104</v>
      </c>
      <c r="L85" s="2">
        <v>10.319999999999999</v>
      </c>
      <c r="M85" s="2">
        <v>0</v>
      </c>
      <c r="N85" s="2">
        <v>0</v>
      </c>
      <c r="O85" s="2">
        <v>0</v>
      </c>
    </row>
    <row r="86" spans="1:15" x14ac:dyDescent="0.3">
      <c r="A86" s="6">
        <v>85</v>
      </c>
      <c r="B86" s="6">
        <v>2007</v>
      </c>
      <c r="C86" s="6">
        <v>1</v>
      </c>
      <c r="D86" s="2">
        <v>8374.8700000000026</v>
      </c>
      <c r="E86" s="2">
        <v>427950.11999999953</v>
      </c>
      <c r="F86" s="2">
        <v>44518.779999999962</v>
      </c>
      <c r="G86" s="2">
        <v>0</v>
      </c>
      <c r="H86" s="2">
        <v>764288.7099999974</v>
      </c>
      <c r="I86" s="2">
        <v>34351601.710000031</v>
      </c>
      <c r="J86" s="2">
        <v>0</v>
      </c>
      <c r="K86" s="2">
        <v>1001405.2799999956</v>
      </c>
      <c r="L86" s="2">
        <v>0</v>
      </c>
      <c r="M86" s="2">
        <v>0</v>
      </c>
      <c r="N86" s="2">
        <v>0</v>
      </c>
      <c r="O86" s="2">
        <v>0</v>
      </c>
    </row>
    <row r="87" spans="1:15" x14ac:dyDescent="0.3">
      <c r="A87" s="6">
        <v>86</v>
      </c>
      <c r="B87" s="6">
        <v>2007</v>
      </c>
      <c r="C87" s="6">
        <v>2</v>
      </c>
      <c r="D87" s="2">
        <v>7038.3900000000049</v>
      </c>
      <c r="E87" s="2">
        <v>321092.86000000022</v>
      </c>
      <c r="F87" s="2">
        <v>36306.070000000014</v>
      </c>
      <c r="G87" s="2">
        <v>0</v>
      </c>
      <c r="H87" s="2">
        <v>503756.00999999914</v>
      </c>
      <c r="I87" s="2">
        <v>31907345.02999964</v>
      </c>
      <c r="J87" s="2">
        <v>0</v>
      </c>
      <c r="K87" s="2">
        <v>725695.69999999867</v>
      </c>
      <c r="L87" s="2">
        <v>0</v>
      </c>
      <c r="M87" s="2">
        <v>46266.60999999995</v>
      </c>
      <c r="N87" s="2">
        <v>0</v>
      </c>
      <c r="O87" s="2">
        <v>0</v>
      </c>
    </row>
    <row r="88" spans="1:15" x14ac:dyDescent="0.3">
      <c r="A88" s="6">
        <v>87</v>
      </c>
      <c r="B88" s="6">
        <v>2007</v>
      </c>
      <c r="C88" s="6">
        <v>3</v>
      </c>
      <c r="D88" s="2">
        <v>6857.5799999999908</v>
      </c>
      <c r="E88" s="2">
        <v>403210.9000000013</v>
      </c>
      <c r="F88" s="2">
        <v>28729.609999999939</v>
      </c>
      <c r="G88" s="2">
        <v>0</v>
      </c>
      <c r="H88" s="2">
        <v>567549.01000000024</v>
      </c>
      <c r="I88" s="2">
        <v>36912042.495999672</v>
      </c>
      <c r="J88" s="2">
        <v>0</v>
      </c>
      <c r="K88" s="2">
        <v>689057.59000000299</v>
      </c>
      <c r="L88" s="2">
        <v>0</v>
      </c>
      <c r="M88" s="2">
        <v>68222.150000000023</v>
      </c>
      <c r="N88" s="2">
        <v>0</v>
      </c>
      <c r="O88" s="2">
        <v>0</v>
      </c>
    </row>
    <row r="89" spans="1:15" x14ac:dyDescent="0.3">
      <c r="A89" s="6">
        <v>88</v>
      </c>
      <c r="B89" s="6">
        <v>2007</v>
      </c>
      <c r="C89" s="6">
        <v>4</v>
      </c>
      <c r="D89" s="2">
        <v>3757.1299999999997</v>
      </c>
      <c r="E89" s="2">
        <v>349987.95999999956</v>
      </c>
      <c r="F89" s="2">
        <v>37405.239999999962</v>
      </c>
      <c r="G89" s="2">
        <v>0</v>
      </c>
      <c r="H89" s="2">
        <v>624916.58000000147</v>
      </c>
      <c r="I89" s="2">
        <v>34440193.389999576</v>
      </c>
      <c r="J89" s="2">
        <v>0</v>
      </c>
      <c r="K89" s="2">
        <v>579877.27000000037</v>
      </c>
      <c r="L89" s="2">
        <v>0</v>
      </c>
      <c r="M89" s="2">
        <v>39863.81</v>
      </c>
      <c r="N89" s="2">
        <v>0</v>
      </c>
      <c r="O89" s="2">
        <v>0</v>
      </c>
    </row>
    <row r="90" spans="1:15" x14ac:dyDescent="0.3">
      <c r="A90" s="6">
        <v>89</v>
      </c>
      <c r="B90" s="6">
        <v>2007</v>
      </c>
      <c r="C90" s="6">
        <v>5</v>
      </c>
      <c r="D90" s="2">
        <v>2421.2500000000005</v>
      </c>
      <c r="E90" s="2">
        <v>308438.07999999949</v>
      </c>
      <c r="F90" s="2">
        <v>39726.350000000042</v>
      </c>
      <c r="G90" s="2">
        <v>0</v>
      </c>
      <c r="H90" s="2">
        <v>366697.58000000101</v>
      </c>
      <c r="I90" s="2">
        <v>34320089.64999982</v>
      </c>
      <c r="J90" s="2">
        <v>0</v>
      </c>
      <c r="K90" s="2">
        <v>1077619.6000000064</v>
      </c>
      <c r="L90" s="2">
        <v>8607.4099999999962</v>
      </c>
      <c r="M90" s="2">
        <v>4384.03</v>
      </c>
      <c r="N90" s="2">
        <v>0</v>
      </c>
      <c r="O90" s="2">
        <v>12874.61000000003</v>
      </c>
    </row>
    <row r="91" spans="1:15" x14ac:dyDescent="0.3">
      <c r="A91" s="6">
        <v>90</v>
      </c>
      <c r="B91" s="6">
        <v>2007</v>
      </c>
      <c r="C91" s="6">
        <v>6</v>
      </c>
      <c r="D91" s="2">
        <v>40.120000000000005</v>
      </c>
      <c r="E91" s="2">
        <v>587746.47499999811</v>
      </c>
      <c r="F91" s="2">
        <v>39830.250000000226</v>
      </c>
      <c r="G91" s="2">
        <v>0</v>
      </c>
      <c r="H91" s="2">
        <v>434385.72000000172</v>
      </c>
      <c r="I91" s="2">
        <v>32728498.230000034</v>
      </c>
      <c r="J91" s="2">
        <v>0</v>
      </c>
      <c r="K91" s="2">
        <v>977234.79999999993</v>
      </c>
      <c r="L91" s="2">
        <v>27017.200000000023</v>
      </c>
      <c r="M91" s="2">
        <v>0</v>
      </c>
      <c r="N91" s="2">
        <v>0</v>
      </c>
      <c r="O91" s="2">
        <v>49235.750000000058</v>
      </c>
    </row>
    <row r="92" spans="1:15" x14ac:dyDescent="0.3">
      <c r="A92" s="6">
        <v>91</v>
      </c>
      <c r="B92" s="6">
        <v>2007</v>
      </c>
      <c r="C92" s="6">
        <v>7</v>
      </c>
      <c r="D92" s="2">
        <v>0</v>
      </c>
      <c r="E92" s="2">
        <v>644515.52099999937</v>
      </c>
      <c r="F92" s="2">
        <v>45050.000000000029</v>
      </c>
      <c r="G92" s="2">
        <v>0</v>
      </c>
      <c r="H92" s="2">
        <v>812434.81999999727</v>
      </c>
      <c r="I92" s="2">
        <v>33723919.280000426</v>
      </c>
      <c r="J92" s="2">
        <v>0</v>
      </c>
      <c r="K92" s="2">
        <v>993271.73999999929</v>
      </c>
      <c r="L92" s="2">
        <v>34630.270000000011</v>
      </c>
      <c r="M92" s="2">
        <v>0</v>
      </c>
      <c r="N92" s="2">
        <v>0</v>
      </c>
      <c r="O92" s="2">
        <v>96970.44</v>
      </c>
    </row>
    <row r="93" spans="1:15" x14ac:dyDescent="0.3">
      <c r="A93" s="6">
        <v>92</v>
      </c>
      <c r="B93" s="6">
        <v>2007</v>
      </c>
      <c r="C93" s="6">
        <v>8</v>
      </c>
      <c r="D93" s="2">
        <v>1994.2800000000002</v>
      </c>
      <c r="E93" s="2">
        <v>649231.24999999814</v>
      </c>
      <c r="F93" s="2">
        <v>65264.610000000052</v>
      </c>
      <c r="G93" s="2">
        <v>0</v>
      </c>
      <c r="H93" s="2">
        <v>823034.44000000425</v>
      </c>
      <c r="I93" s="2">
        <v>34162861.48399996</v>
      </c>
      <c r="J93" s="2">
        <v>0</v>
      </c>
      <c r="K93" s="2">
        <v>1321225.1799999939</v>
      </c>
      <c r="L93" s="2">
        <v>48404.98</v>
      </c>
      <c r="M93" s="2">
        <v>207.30999999999997</v>
      </c>
      <c r="N93" s="2">
        <v>0</v>
      </c>
      <c r="O93" s="2">
        <v>258634.29999999629</v>
      </c>
    </row>
    <row r="94" spans="1:15" x14ac:dyDescent="0.3">
      <c r="A94" s="6">
        <v>93</v>
      </c>
      <c r="B94" s="6">
        <v>2007</v>
      </c>
      <c r="C94" s="6">
        <v>9</v>
      </c>
      <c r="D94" s="2">
        <v>288</v>
      </c>
      <c r="E94" s="2">
        <v>585150.17000000272</v>
      </c>
      <c r="F94" s="2">
        <v>54311.039999999964</v>
      </c>
      <c r="G94" s="2">
        <v>0</v>
      </c>
      <c r="H94" s="2">
        <v>1172865.4900000037</v>
      </c>
      <c r="I94" s="2">
        <v>32581487.727999706</v>
      </c>
      <c r="J94" s="2">
        <v>0</v>
      </c>
      <c r="K94" s="2">
        <v>1205486.770000007</v>
      </c>
      <c r="L94" s="2">
        <v>49612.599999999955</v>
      </c>
      <c r="M94" s="2">
        <v>0</v>
      </c>
      <c r="N94" s="2">
        <v>0</v>
      </c>
      <c r="O94" s="2">
        <v>184802.32999999958</v>
      </c>
    </row>
    <row r="95" spans="1:15" x14ac:dyDescent="0.3">
      <c r="A95" s="6">
        <v>94</v>
      </c>
      <c r="B95" s="6">
        <v>2007</v>
      </c>
      <c r="C95" s="6">
        <v>10</v>
      </c>
      <c r="D95" s="2">
        <v>903.61</v>
      </c>
      <c r="E95" s="2">
        <v>659906.55000000412</v>
      </c>
      <c r="F95" s="2">
        <v>67437.929999999949</v>
      </c>
      <c r="G95" s="2">
        <v>0</v>
      </c>
      <c r="H95" s="2">
        <v>1253011.3300000043</v>
      </c>
      <c r="I95" s="2">
        <v>34546571.970000871</v>
      </c>
      <c r="J95" s="2">
        <v>0</v>
      </c>
      <c r="K95" s="2">
        <v>1217637.000000004</v>
      </c>
      <c r="L95" s="2">
        <v>19655.580000000005</v>
      </c>
      <c r="M95" s="2">
        <v>0</v>
      </c>
      <c r="N95" s="2">
        <v>0</v>
      </c>
      <c r="O95" s="2">
        <v>288895.57999999973</v>
      </c>
    </row>
    <row r="96" spans="1:15" x14ac:dyDescent="0.3">
      <c r="A96" s="6">
        <v>95</v>
      </c>
      <c r="B96" s="6">
        <v>2007</v>
      </c>
      <c r="C96" s="6">
        <v>11</v>
      </c>
      <c r="D96" s="2">
        <v>8503</v>
      </c>
      <c r="E96" s="2">
        <v>610936.18999999936</v>
      </c>
      <c r="F96" s="2">
        <v>48960.179999999891</v>
      </c>
      <c r="G96" s="2">
        <v>0</v>
      </c>
      <c r="H96" s="2">
        <v>1485155.8600000145</v>
      </c>
      <c r="I96" s="2">
        <v>32681926.180000547</v>
      </c>
      <c r="J96" s="2">
        <v>0</v>
      </c>
      <c r="K96" s="2">
        <v>1295784.4399999969</v>
      </c>
      <c r="L96" s="2">
        <v>7463.44</v>
      </c>
      <c r="M96" s="2">
        <v>0</v>
      </c>
      <c r="N96" s="2">
        <v>0</v>
      </c>
      <c r="O96" s="2">
        <v>272539.63000000064</v>
      </c>
    </row>
    <row r="97" spans="1:15" x14ac:dyDescent="0.3">
      <c r="A97" s="6">
        <v>96</v>
      </c>
      <c r="B97" s="6">
        <v>2007</v>
      </c>
      <c r="C97" s="6">
        <v>12</v>
      </c>
      <c r="D97" s="2">
        <v>10810.31</v>
      </c>
      <c r="E97" s="2">
        <v>654618.33000000042</v>
      </c>
      <c r="F97" s="2">
        <v>51373.380000000041</v>
      </c>
      <c r="G97" s="2">
        <v>0</v>
      </c>
      <c r="H97" s="2">
        <v>1723337.150000005</v>
      </c>
      <c r="I97" s="2">
        <v>33552735.710000116</v>
      </c>
      <c r="J97" s="2">
        <v>0</v>
      </c>
      <c r="K97" s="2">
        <v>1264459.4699999986</v>
      </c>
      <c r="L97" s="2">
        <v>45235.809999999961</v>
      </c>
      <c r="M97" s="2">
        <v>37976.169999999831</v>
      </c>
      <c r="N97" s="2">
        <v>0</v>
      </c>
      <c r="O97" s="2">
        <v>285048.74000000022</v>
      </c>
    </row>
    <row r="98" spans="1:15" x14ac:dyDescent="0.3">
      <c r="A98" s="6">
        <v>97</v>
      </c>
      <c r="B98" s="6">
        <v>2008</v>
      </c>
      <c r="C98" s="6">
        <v>1</v>
      </c>
      <c r="D98" s="2">
        <v>31759.200000000012</v>
      </c>
      <c r="E98" s="2">
        <v>645431.97000000079</v>
      </c>
      <c r="F98" s="2">
        <v>54325.809999999947</v>
      </c>
      <c r="G98" s="2">
        <v>0</v>
      </c>
      <c r="H98" s="2">
        <v>2181651.7600000007</v>
      </c>
      <c r="I98" s="2">
        <v>32987955.48000003</v>
      </c>
      <c r="J98" s="2">
        <v>0</v>
      </c>
      <c r="K98" s="2">
        <v>1302544.7899999991</v>
      </c>
      <c r="L98" s="2">
        <v>214080.28999999983</v>
      </c>
      <c r="M98" s="2">
        <v>176346.2000000001</v>
      </c>
      <c r="N98" s="2">
        <v>0</v>
      </c>
      <c r="O98" s="2">
        <v>279358.06999999977</v>
      </c>
    </row>
    <row r="99" spans="1:15" x14ac:dyDescent="0.3">
      <c r="A99" s="6">
        <v>98</v>
      </c>
      <c r="B99" s="6">
        <v>2008</v>
      </c>
      <c r="C99" s="6">
        <v>2</v>
      </c>
      <c r="D99" s="2">
        <v>34414.349999999984</v>
      </c>
      <c r="E99" s="2">
        <v>641016.16000000061</v>
      </c>
      <c r="F99" s="2">
        <v>42467.55999999999</v>
      </c>
      <c r="G99" s="2">
        <v>0</v>
      </c>
      <c r="H99" s="2">
        <v>2487654.0000000033</v>
      </c>
      <c r="I99" s="2">
        <v>30861493.019999813</v>
      </c>
      <c r="J99" s="2">
        <v>0</v>
      </c>
      <c r="K99" s="2">
        <v>1120252.3900000018</v>
      </c>
      <c r="L99" s="2">
        <v>170548.1999999999</v>
      </c>
      <c r="M99" s="2">
        <v>241292.9599999997</v>
      </c>
      <c r="N99" s="2">
        <v>0</v>
      </c>
      <c r="O99" s="2">
        <v>280544.86999999988</v>
      </c>
    </row>
    <row r="100" spans="1:15" x14ac:dyDescent="0.3">
      <c r="A100" s="6">
        <v>99</v>
      </c>
      <c r="B100" s="6">
        <v>2008</v>
      </c>
      <c r="C100" s="6">
        <v>3</v>
      </c>
      <c r="D100" s="2">
        <v>30798.340000000018</v>
      </c>
      <c r="E100" s="2">
        <v>583934.9500000017</v>
      </c>
      <c r="F100" s="2">
        <v>29243.05</v>
      </c>
      <c r="G100" s="2">
        <v>0</v>
      </c>
      <c r="H100" s="2">
        <v>2504647.0999999917</v>
      </c>
      <c r="I100" s="2">
        <v>33832900.629999608</v>
      </c>
      <c r="J100" s="2">
        <v>0</v>
      </c>
      <c r="K100" s="2">
        <v>998586.02999999886</v>
      </c>
      <c r="L100" s="2">
        <v>134569.47999999949</v>
      </c>
      <c r="M100" s="2">
        <v>239691.15999999986</v>
      </c>
      <c r="N100" s="2">
        <v>0</v>
      </c>
      <c r="O100" s="2">
        <v>311150.88000000216</v>
      </c>
    </row>
    <row r="101" spans="1:15" x14ac:dyDescent="0.3">
      <c r="A101" s="6">
        <v>100</v>
      </c>
      <c r="B101" s="6">
        <v>2008</v>
      </c>
      <c r="C101" s="6">
        <v>4</v>
      </c>
      <c r="D101" s="2">
        <v>11016.589999999995</v>
      </c>
      <c r="E101" s="2">
        <v>386566.72000000143</v>
      </c>
      <c r="F101" s="2">
        <v>22582.05999999999</v>
      </c>
      <c r="G101" s="2">
        <v>0</v>
      </c>
      <c r="H101" s="2">
        <v>2106315.0499999719</v>
      </c>
      <c r="I101" s="2">
        <v>33205545.95999942</v>
      </c>
      <c r="J101" s="2">
        <v>0</v>
      </c>
      <c r="K101" s="2">
        <v>1089751.5800000033</v>
      </c>
      <c r="L101" s="2">
        <v>56643.520000000019</v>
      </c>
      <c r="M101" s="2">
        <v>137314.05999999968</v>
      </c>
      <c r="N101" s="2">
        <v>0</v>
      </c>
      <c r="O101" s="2">
        <v>353567.48999999842</v>
      </c>
    </row>
    <row r="102" spans="1:15" x14ac:dyDescent="0.3">
      <c r="A102" s="6">
        <v>101</v>
      </c>
      <c r="B102" s="6">
        <v>2008</v>
      </c>
      <c r="C102" s="6">
        <v>5</v>
      </c>
      <c r="D102" s="2">
        <v>4553.3800000000037</v>
      </c>
      <c r="E102" s="2">
        <v>502003.40000000008</v>
      </c>
      <c r="F102" s="2">
        <v>41149.650000000038</v>
      </c>
      <c r="G102" s="2">
        <v>0</v>
      </c>
      <c r="H102" s="2">
        <v>1834536.6399999857</v>
      </c>
      <c r="I102" s="2">
        <v>33842876.449999794</v>
      </c>
      <c r="J102" s="2">
        <v>0</v>
      </c>
      <c r="K102" s="2">
        <v>737162.89999999956</v>
      </c>
      <c r="L102" s="2">
        <v>133174.75999999995</v>
      </c>
      <c r="M102" s="2">
        <v>96903.600000000384</v>
      </c>
      <c r="N102" s="2">
        <v>0</v>
      </c>
      <c r="O102" s="2">
        <v>333914.43000000075</v>
      </c>
    </row>
    <row r="103" spans="1:15" x14ac:dyDescent="0.3">
      <c r="A103" s="6">
        <v>102</v>
      </c>
      <c r="B103" s="6">
        <v>2008</v>
      </c>
      <c r="C103" s="6">
        <v>6</v>
      </c>
      <c r="D103" s="2">
        <v>5508.6499999999978</v>
      </c>
      <c r="E103" s="2">
        <v>628141.97000000114</v>
      </c>
      <c r="F103" s="2">
        <v>41807.439999999813</v>
      </c>
      <c r="G103" s="2">
        <v>0</v>
      </c>
      <c r="H103" s="2">
        <v>1846141.93</v>
      </c>
      <c r="I103" s="2">
        <v>33278735.889999367</v>
      </c>
      <c r="J103" s="2">
        <v>0</v>
      </c>
      <c r="K103" s="2">
        <v>567459.85000000044</v>
      </c>
      <c r="L103" s="2">
        <v>189500.76000000056</v>
      </c>
      <c r="M103" s="2">
        <v>170541.6800000002</v>
      </c>
      <c r="N103" s="2">
        <v>0</v>
      </c>
      <c r="O103" s="2">
        <v>267041.07000000012</v>
      </c>
    </row>
    <row r="104" spans="1:15" x14ac:dyDescent="0.3">
      <c r="A104" s="6">
        <v>103</v>
      </c>
      <c r="B104" s="6">
        <v>2008</v>
      </c>
      <c r="C104" s="6">
        <v>7</v>
      </c>
      <c r="D104" s="2">
        <v>6457.630000000001</v>
      </c>
      <c r="E104" s="2">
        <v>563867.75000000081</v>
      </c>
      <c r="F104" s="2">
        <v>37323.839999999989</v>
      </c>
      <c r="G104" s="2">
        <v>0</v>
      </c>
      <c r="H104" s="2">
        <v>1847248.5299999989</v>
      </c>
      <c r="I104" s="2">
        <v>33237568.059999656</v>
      </c>
      <c r="J104" s="2">
        <v>0</v>
      </c>
      <c r="K104" s="2">
        <v>1385656.1899999958</v>
      </c>
      <c r="L104" s="2">
        <v>45880.98</v>
      </c>
      <c r="M104" s="2">
        <v>11392.939999999999</v>
      </c>
      <c r="N104" s="2">
        <v>0</v>
      </c>
      <c r="O104" s="2">
        <v>272917.24000000011</v>
      </c>
    </row>
    <row r="105" spans="1:15" x14ac:dyDescent="0.3">
      <c r="A105" s="6">
        <v>104</v>
      </c>
      <c r="B105" s="6">
        <v>2008</v>
      </c>
      <c r="C105" s="6">
        <v>8</v>
      </c>
      <c r="D105" s="2">
        <v>5389.11</v>
      </c>
      <c r="E105" s="2">
        <v>521623.19999999937</v>
      </c>
      <c r="F105" s="2">
        <v>52033.459999999977</v>
      </c>
      <c r="G105" s="2">
        <v>0</v>
      </c>
      <c r="H105" s="2">
        <v>2027149.1199999994</v>
      </c>
      <c r="I105" s="2">
        <v>34105702.89000009</v>
      </c>
      <c r="J105" s="2">
        <v>0</v>
      </c>
      <c r="K105" s="2">
        <v>1368363.870000002</v>
      </c>
      <c r="L105" s="2">
        <v>23756.19</v>
      </c>
      <c r="M105" s="2">
        <v>22.849999999999991</v>
      </c>
      <c r="N105" s="2">
        <v>0</v>
      </c>
      <c r="O105" s="2">
        <v>272003.77999999997</v>
      </c>
    </row>
    <row r="106" spans="1:15" x14ac:dyDescent="0.3">
      <c r="A106" s="6">
        <v>105</v>
      </c>
      <c r="B106" s="6">
        <v>2008</v>
      </c>
      <c r="C106" s="6">
        <v>9</v>
      </c>
      <c r="D106" s="2">
        <v>1439.36</v>
      </c>
      <c r="E106" s="2">
        <v>452321.01000000164</v>
      </c>
      <c r="F106" s="2">
        <v>62245.760000000031</v>
      </c>
      <c r="G106" s="2">
        <v>0</v>
      </c>
      <c r="H106" s="2">
        <v>1949019.5100000103</v>
      </c>
      <c r="I106" s="2">
        <v>32954154.820000064</v>
      </c>
      <c r="J106" s="2">
        <v>0</v>
      </c>
      <c r="K106" s="2">
        <v>1344826.839999998</v>
      </c>
      <c r="L106" s="2">
        <v>388</v>
      </c>
      <c r="M106" s="2">
        <v>1.35</v>
      </c>
      <c r="N106" s="2">
        <v>0</v>
      </c>
      <c r="O106" s="2">
        <v>249745.03000000029</v>
      </c>
    </row>
    <row r="107" spans="1:15" x14ac:dyDescent="0.3">
      <c r="A107" s="6">
        <v>106</v>
      </c>
      <c r="B107" s="6">
        <v>2008</v>
      </c>
      <c r="C107" s="6">
        <v>10</v>
      </c>
      <c r="D107" s="2">
        <v>7423.7300000000005</v>
      </c>
      <c r="E107" s="2">
        <v>555448.01000000071</v>
      </c>
      <c r="F107" s="2">
        <v>58394.029999999926</v>
      </c>
      <c r="G107" s="2">
        <v>0</v>
      </c>
      <c r="H107" s="2">
        <v>2145808.4700000016</v>
      </c>
      <c r="I107" s="2">
        <v>34893852.310000263</v>
      </c>
      <c r="J107" s="2">
        <v>0</v>
      </c>
      <c r="K107" s="2">
        <v>1363588.1799999995</v>
      </c>
      <c r="L107" s="2">
        <v>2466.1600000000008</v>
      </c>
      <c r="M107" s="2">
        <v>18211.780000000002</v>
      </c>
      <c r="N107" s="2">
        <v>0</v>
      </c>
      <c r="O107" s="2">
        <v>237126.93999999957</v>
      </c>
    </row>
    <row r="108" spans="1:15" x14ac:dyDescent="0.3">
      <c r="A108" s="6">
        <v>107</v>
      </c>
      <c r="B108" s="6">
        <v>2008</v>
      </c>
      <c r="C108" s="6">
        <v>11</v>
      </c>
      <c r="D108" s="2">
        <v>15519.560000000001</v>
      </c>
      <c r="E108" s="2">
        <v>288844.95999999874</v>
      </c>
      <c r="F108" s="2">
        <v>64053.170000000006</v>
      </c>
      <c r="G108" s="2">
        <v>0</v>
      </c>
      <c r="H108" s="2">
        <v>1784464.970000016</v>
      </c>
      <c r="I108" s="2">
        <v>32992075.869999982</v>
      </c>
      <c r="J108" s="2">
        <v>0</v>
      </c>
      <c r="K108" s="2">
        <v>1315626.2399999988</v>
      </c>
      <c r="L108" s="2">
        <v>204.74999999999997</v>
      </c>
      <c r="M108" s="2">
        <v>363.79999999999995</v>
      </c>
      <c r="N108" s="2">
        <v>0</v>
      </c>
      <c r="O108" s="2">
        <v>134951.4700000002</v>
      </c>
    </row>
    <row r="109" spans="1:15" x14ac:dyDescent="0.3">
      <c r="A109" s="6">
        <v>108</v>
      </c>
      <c r="B109" s="6">
        <v>2008</v>
      </c>
      <c r="C109" s="6">
        <v>12</v>
      </c>
      <c r="D109" s="2">
        <v>23818.290000000008</v>
      </c>
      <c r="E109" s="2">
        <v>499138.24000000104</v>
      </c>
      <c r="F109" s="2">
        <v>51097.260000000009</v>
      </c>
      <c r="G109" s="2">
        <v>0</v>
      </c>
      <c r="H109" s="2">
        <v>2160873.1600000099</v>
      </c>
      <c r="I109" s="2">
        <v>31474213.689999811</v>
      </c>
      <c r="J109" s="2">
        <v>0</v>
      </c>
      <c r="K109" s="2">
        <v>1386998.7599999986</v>
      </c>
      <c r="L109" s="2">
        <v>4273.3500000000022</v>
      </c>
      <c r="M109" s="2">
        <v>6733.2400000000034</v>
      </c>
      <c r="N109" s="2">
        <v>0</v>
      </c>
      <c r="O109" s="2">
        <v>168583.45999999958</v>
      </c>
    </row>
    <row r="110" spans="1:15" x14ac:dyDescent="0.3">
      <c r="A110" s="6">
        <v>109</v>
      </c>
      <c r="B110" s="6">
        <v>2009</v>
      </c>
      <c r="C110" s="6">
        <v>1</v>
      </c>
      <c r="D110" s="2">
        <v>17911.331100000021</v>
      </c>
      <c r="E110" s="2">
        <v>421928.48000000045</v>
      </c>
      <c r="F110" s="2">
        <v>43644.749999999949</v>
      </c>
      <c r="G110" s="2">
        <v>0</v>
      </c>
      <c r="H110" s="2">
        <v>983710.26000000408</v>
      </c>
      <c r="I110" s="2">
        <v>33432357.429999784</v>
      </c>
      <c r="J110" s="2">
        <v>0</v>
      </c>
      <c r="K110" s="2">
        <v>1267458.6300000004</v>
      </c>
      <c r="L110" s="2">
        <v>2335.9800000000005</v>
      </c>
      <c r="M110" s="2">
        <v>162.61000000000001</v>
      </c>
      <c r="N110" s="2">
        <v>0</v>
      </c>
      <c r="O110" s="2">
        <v>148954.67000000001</v>
      </c>
    </row>
    <row r="111" spans="1:15" x14ac:dyDescent="0.3">
      <c r="A111" s="6">
        <v>110</v>
      </c>
      <c r="B111" s="6">
        <v>2009</v>
      </c>
      <c r="C111" s="6">
        <v>2</v>
      </c>
      <c r="D111" s="2">
        <v>24172.379999999994</v>
      </c>
      <c r="E111" s="2">
        <v>401110.15999999846</v>
      </c>
      <c r="F111" s="2">
        <v>32474.709999999966</v>
      </c>
      <c r="G111" s="2">
        <v>0</v>
      </c>
      <c r="H111" s="2">
        <v>644335.21000000252</v>
      </c>
      <c r="I111" s="2">
        <v>32326080.119998861</v>
      </c>
      <c r="J111" s="2">
        <v>0</v>
      </c>
      <c r="K111" s="2">
        <v>904638.76000000013</v>
      </c>
      <c r="L111" s="2">
        <v>874.9799999999999</v>
      </c>
      <c r="M111" s="2">
        <v>47537.310000000114</v>
      </c>
      <c r="N111" s="2">
        <v>0</v>
      </c>
      <c r="O111" s="2">
        <v>110912.24000000021</v>
      </c>
    </row>
    <row r="112" spans="1:15" x14ac:dyDescent="0.3">
      <c r="A112" s="6">
        <v>111</v>
      </c>
      <c r="B112" s="6">
        <v>2009</v>
      </c>
      <c r="C112" s="6">
        <v>3</v>
      </c>
      <c r="D112" s="2">
        <v>29111.26999999999</v>
      </c>
      <c r="E112" s="2">
        <v>451287.2100000002</v>
      </c>
      <c r="F112" s="2">
        <v>40396.570000000043</v>
      </c>
      <c r="G112" s="2">
        <v>0</v>
      </c>
      <c r="H112" s="2">
        <v>1005748.7600000001</v>
      </c>
      <c r="I112" s="2">
        <v>36725603.310000271</v>
      </c>
      <c r="J112" s="2">
        <v>0</v>
      </c>
      <c r="K112" s="2">
        <v>998014.20000000077</v>
      </c>
      <c r="L112" s="2">
        <v>157.79000000000002</v>
      </c>
      <c r="M112" s="2">
        <v>71002.62</v>
      </c>
      <c r="N112" s="2">
        <v>0</v>
      </c>
      <c r="O112" s="2">
        <v>117757.8099999999</v>
      </c>
    </row>
    <row r="113" spans="1:15" x14ac:dyDescent="0.3">
      <c r="A113" s="6">
        <v>112</v>
      </c>
      <c r="B113" s="6">
        <v>2009</v>
      </c>
      <c r="C113" s="6">
        <v>4</v>
      </c>
      <c r="D113" s="2">
        <v>19049.670000000013</v>
      </c>
      <c r="E113" s="2">
        <v>442229.51999999938</v>
      </c>
      <c r="F113" s="2">
        <v>24205.349999999955</v>
      </c>
      <c r="G113" s="2">
        <v>0</v>
      </c>
      <c r="H113" s="2">
        <v>516811.32999999856</v>
      </c>
      <c r="I113" s="2">
        <v>33722809.090000257</v>
      </c>
      <c r="J113" s="2">
        <v>0</v>
      </c>
      <c r="K113" s="2">
        <v>951061.41999999958</v>
      </c>
      <c r="L113" s="2">
        <v>133.89000000000001</v>
      </c>
      <c r="M113" s="2">
        <v>43584.409999999989</v>
      </c>
      <c r="N113" s="2">
        <v>0</v>
      </c>
      <c r="O113" s="2">
        <v>127973.2100000003</v>
      </c>
    </row>
    <row r="114" spans="1:15" x14ac:dyDescent="0.3">
      <c r="A114" s="6">
        <v>113</v>
      </c>
      <c r="B114" s="6">
        <v>2009</v>
      </c>
      <c r="C114" s="6">
        <v>5</v>
      </c>
      <c r="D114" s="2">
        <v>55028.530000000137</v>
      </c>
      <c r="E114" s="2">
        <v>535309.50000000081</v>
      </c>
      <c r="F114" s="2">
        <v>29978.219999999954</v>
      </c>
      <c r="G114" s="2">
        <v>0</v>
      </c>
      <c r="H114" s="2">
        <v>1567934.0600000115</v>
      </c>
      <c r="I114" s="2">
        <v>32879186.580000017</v>
      </c>
      <c r="J114" s="2">
        <v>0</v>
      </c>
      <c r="K114" s="2">
        <v>1004705.0899999953</v>
      </c>
      <c r="L114" s="2">
        <v>0</v>
      </c>
      <c r="M114" s="2">
        <v>105493.98000000013</v>
      </c>
      <c r="N114" s="2">
        <v>0</v>
      </c>
      <c r="O114" s="2">
        <v>131747.52000000011</v>
      </c>
    </row>
    <row r="115" spans="1:15" x14ac:dyDescent="0.3">
      <c r="A115" s="6">
        <v>114</v>
      </c>
      <c r="B115" s="6">
        <v>2009</v>
      </c>
      <c r="C115" s="6">
        <v>6</v>
      </c>
      <c r="D115" s="2">
        <v>36288.89</v>
      </c>
      <c r="E115" s="2">
        <v>542429.19999999891</v>
      </c>
      <c r="F115" s="2">
        <v>42675.228000000097</v>
      </c>
      <c r="G115" s="2">
        <v>0</v>
      </c>
      <c r="H115" s="2">
        <v>1318958.5000000002</v>
      </c>
      <c r="I115" s="2">
        <v>31430618.319999542</v>
      </c>
      <c r="J115" s="2">
        <v>0</v>
      </c>
      <c r="K115" s="2">
        <v>1260697.7599999972</v>
      </c>
      <c r="L115" s="2">
        <v>35.309999999999995</v>
      </c>
      <c r="M115" s="2">
        <v>60807.230000000054</v>
      </c>
      <c r="N115" s="2">
        <v>0</v>
      </c>
      <c r="O115" s="2">
        <v>110935.14000000013</v>
      </c>
    </row>
    <row r="116" spans="1:15" x14ac:dyDescent="0.3">
      <c r="A116" s="6">
        <v>115</v>
      </c>
      <c r="B116" s="6">
        <v>2009</v>
      </c>
      <c r="C116" s="6">
        <v>7</v>
      </c>
      <c r="D116" s="2">
        <v>13174.259999999998</v>
      </c>
      <c r="E116" s="2">
        <v>502205.5199999999</v>
      </c>
      <c r="F116" s="2">
        <v>40100.240000000013</v>
      </c>
      <c r="G116" s="2">
        <v>0</v>
      </c>
      <c r="H116" s="2">
        <v>638195.25999999885</v>
      </c>
      <c r="I116" s="2">
        <v>34111836.429999828</v>
      </c>
      <c r="J116" s="2">
        <v>0</v>
      </c>
      <c r="K116" s="2">
        <v>1344722.94</v>
      </c>
      <c r="L116" s="2">
        <v>134.33999999999997</v>
      </c>
      <c r="M116" s="2">
        <v>103.64999999999998</v>
      </c>
      <c r="N116" s="2">
        <v>0</v>
      </c>
      <c r="O116" s="2">
        <v>121277.00000000035</v>
      </c>
    </row>
    <row r="117" spans="1:15" x14ac:dyDescent="0.3">
      <c r="A117" s="6">
        <v>116</v>
      </c>
      <c r="B117" s="6">
        <v>2009</v>
      </c>
      <c r="C117" s="6">
        <v>8</v>
      </c>
      <c r="D117" s="2">
        <v>34772.779999999941</v>
      </c>
      <c r="E117" s="2">
        <v>435953.09999999905</v>
      </c>
      <c r="F117" s="2">
        <v>58161.55999999999</v>
      </c>
      <c r="G117" s="2">
        <v>0</v>
      </c>
      <c r="H117" s="2">
        <v>363179.67000000138</v>
      </c>
      <c r="I117" s="2">
        <v>35524833.989999719</v>
      </c>
      <c r="J117" s="2">
        <v>0</v>
      </c>
      <c r="K117" s="2">
        <v>484728.28000000049</v>
      </c>
      <c r="L117" s="2">
        <v>81.61</v>
      </c>
      <c r="M117" s="2">
        <v>3648</v>
      </c>
      <c r="N117" s="2">
        <v>0</v>
      </c>
      <c r="O117" s="2">
        <v>178862.47999999972</v>
      </c>
    </row>
    <row r="118" spans="1:15" x14ac:dyDescent="0.3">
      <c r="A118" s="6">
        <v>117</v>
      </c>
      <c r="B118" s="6">
        <v>2009</v>
      </c>
      <c r="C118" s="6">
        <v>9</v>
      </c>
      <c r="D118" s="2">
        <v>29441.754800000013</v>
      </c>
      <c r="E118" s="2">
        <v>305750.7400000011</v>
      </c>
      <c r="F118" s="2">
        <v>87092.339999999938</v>
      </c>
      <c r="G118" s="2">
        <v>0</v>
      </c>
      <c r="H118" s="2">
        <v>367314.37000000122</v>
      </c>
      <c r="I118" s="2">
        <v>34820546.769999862</v>
      </c>
      <c r="J118" s="2">
        <v>0</v>
      </c>
      <c r="K118" s="2">
        <v>1161986.8700000006</v>
      </c>
      <c r="L118" s="2">
        <v>310.07</v>
      </c>
      <c r="M118" s="2">
        <v>699.21000000000015</v>
      </c>
      <c r="N118" s="2">
        <v>0</v>
      </c>
      <c r="O118" s="2">
        <v>170241.78000000003</v>
      </c>
    </row>
    <row r="119" spans="1:15" x14ac:dyDescent="0.3">
      <c r="A119" s="6">
        <v>118</v>
      </c>
      <c r="B119" s="6">
        <v>2009</v>
      </c>
      <c r="C119" s="6">
        <v>10</v>
      </c>
      <c r="D119" s="2">
        <v>26872.239999999998</v>
      </c>
      <c r="E119" s="2">
        <v>390673.51000000065</v>
      </c>
      <c r="F119" s="2">
        <v>103028.54999999987</v>
      </c>
      <c r="G119" s="2">
        <v>0</v>
      </c>
      <c r="H119" s="2">
        <v>348301.82999999885</v>
      </c>
      <c r="I119" s="2">
        <v>36141215.810000442</v>
      </c>
      <c r="J119" s="2">
        <v>0</v>
      </c>
      <c r="K119" s="2">
        <v>1070233.9400000002</v>
      </c>
      <c r="L119" s="2">
        <v>1387.7899999999997</v>
      </c>
      <c r="M119" s="2">
        <v>80541.99000000002</v>
      </c>
      <c r="N119" s="2">
        <v>0</v>
      </c>
      <c r="O119" s="2">
        <v>141152.94999999969</v>
      </c>
    </row>
    <row r="120" spans="1:15" x14ac:dyDescent="0.3">
      <c r="A120" s="6">
        <v>119</v>
      </c>
      <c r="B120" s="6">
        <v>2009</v>
      </c>
      <c r="C120" s="6">
        <v>11</v>
      </c>
      <c r="D120" s="2">
        <v>26032.810000000041</v>
      </c>
      <c r="E120" s="2">
        <v>379872.27999999927</v>
      </c>
      <c r="F120" s="2">
        <v>108681.96000000017</v>
      </c>
      <c r="G120" s="2">
        <v>0</v>
      </c>
      <c r="H120" s="2">
        <v>220961.47000000012</v>
      </c>
      <c r="I120" s="2">
        <v>36617350.209999561</v>
      </c>
      <c r="J120" s="2">
        <v>0</v>
      </c>
      <c r="K120" s="2">
        <v>1177014.0999999982</v>
      </c>
      <c r="L120" s="2">
        <v>3772.5199999999995</v>
      </c>
      <c r="M120" s="2">
        <v>167764.38000000003</v>
      </c>
      <c r="N120" s="2">
        <v>0</v>
      </c>
      <c r="O120" s="2">
        <v>166743.25999999934</v>
      </c>
    </row>
    <row r="121" spans="1:15" x14ac:dyDescent="0.3">
      <c r="A121" s="6">
        <v>120</v>
      </c>
      <c r="B121" s="6">
        <v>2009</v>
      </c>
      <c r="C121" s="6">
        <v>12</v>
      </c>
      <c r="D121" s="2">
        <v>16658.940000000046</v>
      </c>
      <c r="E121" s="2">
        <v>384027.02000000176</v>
      </c>
      <c r="F121" s="2">
        <v>99912.510000000446</v>
      </c>
      <c r="G121" s="2">
        <v>0</v>
      </c>
      <c r="H121" s="2">
        <v>264628.47000000032</v>
      </c>
      <c r="I121" s="2">
        <v>36772385.929999486</v>
      </c>
      <c r="J121" s="2">
        <v>0</v>
      </c>
      <c r="K121" s="2">
        <v>1332747.1299999955</v>
      </c>
      <c r="L121" s="2">
        <v>1704.9600000000003</v>
      </c>
      <c r="M121" s="2">
        <v>136134.1699999999</v>
      </c>
      <c r="N121" s="2">
        <v>0</v>
      </c>
      <c r="O121" s="2">
        <v>209370.75000000134</v>
      </c>
    </row>
    <row r="122" spans="1:15" x14ac:dyDescent="0.3">
      <c r="A122" s="6">
        <v>121</v>
      </c>
      <c r="B122" s="6">
        <v>2010</v>
      </c>
      <c r="C122" s="6">
        <v>1</v>
      </c>
      <c r="D122" s="2">
        <v>11160</v>
      </c>
      <c r="E122" s="2">
        <v>387943.55999999889</v>
      </c>
      <c r="F122" s="2">
        <v>82524.62</v>
      </c>
      <c r="G122" s="2">
        <v>0</v>
      </c>
      <c r="H122" s="2">
        <v>322803.37000000064</v>
      </c>
      <c r="I122" s="2">
        <v>37584687.719400726</v>
      </c>
      <c r="J122" s="2">
        <v>0</v>
      </c>
      <c r="K122" s="2">
        <v>1463646.0500000028</v>
      </c>
      <c r="L122" s="2">
        <v>5039.3395999999993</v>
      </c>
      <c r="M122" s="2">
        <v>116154.01999999987</v>
      </c>
      <c r="N122" s="2">
        <v>0</v>
      </c>
      <c r="O122" s="2">
        <v>270031.39999999834</v>
      </c>
    </row>
    <row r="123" spans="1:15" x14ac:dyDescent="0.3">
      <c r="A123" s="6">
        <v>122</v>
      </c>
      <c r="B123" s="6">
        <v>2010</v>
      </c>
      <c r="C123" s="6">
        <v>2</v>
      </c>
      <c r="D123" s="2">
        <v>21020.780000000006</v>
      </c>
      <c r="E123" s="2">
        <v>400599.09999999969</v>
      </c>
      <c r="F123" s="2">
        <v>109803.99000000008</v>
      </c>
      <c r="G123" s="2">
        <v>0</v>
      </c>
      <c r="H123" s="2">
        <v>602000.08999999845</v>
      </c>
      <c r="I123" s="2">
        <v>35377034.589998864</v>
      </c>
      <c r="J123" s="2">
        <v>0</v>
      </c>
      <c r="K123" s="2">
        <v>1280139.8600000041</v>
      </c>
      <c r="L123" s="2">
        <v>7784.8099999999995</v>
      </c>
      <c r="M123" s="2">
        <v>106575.63999999996</v>
      </c>
      <c r="N123" s="2">
        <v>0</v>
      </c>
      <c r="O123" s="2">
        <v>227218.00999999925</v>
      </c>
    </row>
    <row r="124" spans="1:15" x14ac:dyDescent="0.3">
      <c r="A124" s="6">
        <v>123</v>
      </c>
      <c r="B124" s="6">
        <v>2010</v>
      </c>
      <c r="C124" s="6">
        <v>3</v>
      </c>
      <c r="D124" s="2">
        <v>22561.710000000017</v>
      </c>
      <c r="E124" s="2">
        <v>455956.67000000039</v>
      </c>
      <c r="F124" s="2">
        <v>108672.80000000013</v>
      </c>
      <c r="G124" s="2">
        <v>0</v>
      </c>
      <c r="H124" s="2">
        <v>544734.13000000094</v>
      </c>
      <c r="I124" s="2">
        <v>39298854.389998354</v>
      </c>
      <c r="J124" s="2">
        <v>0</v>
      </c>
      <c r="K124" s="2">
        <v>1465528.079999998</v>
      </c>
      <c r="L124" s="2">
        <v>1673.9599999999996</v>
      </c>
      <c r="M124" s="2">
        <v>157943</v>
      </c>
      <c r="N124" s="2">
        <v>0</v>
      </c>
      <c r="O124" s="2">
        <v>156505.89999999892</v>
      </c>
    </row>
    <row r="125" spans="1:15" x14ac:dyDescent="0.3">
      <c r="A125" s="6">
        <v>124</v>
      </c>
      <c r="B125" s="6">
        <v>2010</v>
      </c>
      <c r="C125" s="6">
        <v>4</v>
      </c>
      <c r="D125" s="2">
        <v>17250.139999999996</v>
      </c>
      <c r="E125" s="2">
        <v>391815.0299999998</v>
      </c>
      <c r="F125" s="2">
        <v>66455.359000000055</v>
      </c>
      <c r="G125" s="2">
        <v>0</v>
      </c>
      <c r="H125" s="2">
        <v>578698.75000000093</v>
      </c>
      <c r="I125" s="2">
        <v>36035007.009999223</v>
      </c>
      <c r="J125" s="2">
        <v>0</v>
      </c>
      <c r="K125" s="2">
        <v>1130291.21</v>
      </c>
      <c r="L125" s="2">
        <v>745.9599999999997</v>
      </c>
      <c r="M125" s="2">
        <v>162171.3400000002</v>
      </c>
      <c r="N125" s="2">
        <v>0</v>
      </c>
      <c r="O125" s="2">
        <v>153806.66999999998</v>
      </c>
    </row>
    <row r="126" spans="1:15" x14ac:dyDescent="0.3">
      <c r="A126" s="6">
        <v>125</v>
      </c>
      <c r="B126" s="6">
        <v>2010</v>
      </c>
      <c r="C126" s="6">
        <v>5</v>
      </c>
      <c r="D126" s="2">
        <v>38341.849999999904</v>
      </c>
      <c r="E126" s="2">
        <v>462783.94999999937</v>
      </c>
      <c r="F126" s="2">
        <v>88025.365799999912</v>
      </c>
      <c r="G126" s="2">
        <v>0</v>
      </c>
      <c r="H126" s="2">
        <v>1227903.6300000045</v>
      </c>
      <c r="I126" s="2">
        <v>35750474.970000319</v>
      </c>
      <c r="J126" s="2">
        <v>0</v>
      </c>
      <c r="K126" s="2">
        <v>1278265.659999999</v>
      </c>
      <c r="L126" s="2">
        <v>249.31</v>
      </c>
      <c r="M126" s="2">
        <v>175181.61999999988</v>
      </c>
      <c r="N126" s="2">
        <v>0</v>
      </c>
      <c r="O126" s="2">
        <v>171397.65000000104</v>
      </c>
    </row>
    <row r="127" spans="1:15" x14ac:dyDescent="0.3">
      <c r="A127" s="6">
        <v>126</v>
      </c>
      <c r="B127" s="6">
        <v>2010</v>
      </c>
      <c r="C127" s="6">
        <v>6</v>
      </c>
      <c r="D127" s="2">
        <v>37973.929999999964</v>
      </c>
      <c r="E127" s="2">
        <v>510358.16999999981</v>
      </c>
      <c r="F127" s="2">
        <v>108748.19999999978</v>
      </c>
      <c r="G127" s="2">
        <v>0</v>
      </c>
      <c r="H127" s="2">
        <v>2115284.019999994</v>
      </c>
      <c r="I127" s="2">
        <v>33116030.529999565</v>
      </c>
      <c r="J127" s="2">
        <v>0</v>
      </c>
      <c r="K127" s="2">
        <v>1425438.539999991</v>
      </c>
      <c r="L127" s="2">
        <v>4362.5299999999988</v>
      </c>
      <c r="M127" s="2">
        <v>259295.67999999988</v>
      </c>
      <c r="N127" s="2">
        <v>0</v>
      </c>
      <c r="O127" s="2">
        <v>165085.26999999976</v>
      </c>
    </row>
    <row r="128" spans="1:15" x14ac:dyDescent="0.3">
      <c r="A128" s="6">
        <v>127</v>
      </c>
      <c r="B128" s="6">
        <v>2010</v>
      </c>
      <c r="C128" s="6">
        <v>7</v>
      </c>
      <c r="D128" s="2">
        <v>50492.43999999985</v>
      </c>
      <c r="E128" s="2">
        <v>425992.13000000053</v>
      </c>
      <c r="F128" s="2">
        <v>108483.10000000005</v>
      </c>
      <c r="G128" s="2">
        <v>0</v>
      </c>
      <c r="H128" s="2">
        <v>2055305.2399999956</v>
      </c>
      <c r="I128" s="2">
        <v>35346343.999999195</v>
      </c>
      <c r="J128" s="2">
        <v>0</v>
      </c>
      <c r="K128" s="2">
        <v>1226063.9400000058</v>
      </c>
      <c r="L128" s="2">
        <v>181.39000000000001</v>
      </c>
      <c r="M128" s="2">
        <v>269655.06999999995</v>
      </c>
      <c r="N128" s="2">
        <v>0</v>
      </c>
      <c r="O128" s="2">
        <v>182548.49999999872</v>
      </c>
    </row>
    <row r="129" spans="1:15" x14ac:dyDescent="0.3">
      <c r="A129" s="6">
        <v>128</v>
      </c>
      <c r="B129" s="6">
        <v>2010</v>
      </c>
      <c r="C129" s="6">
        <v>8</v>
      </c>
      <c r="D129" s="2">
        <v>60175.949999999888</v>
      </c>
      <c r="E129" s="2">
        <v>590899.01000000013</v>
      </c>
      <c r="F129" s="2">
        <v>156266.83699999892</v>
      </c>
      <c r="G129" s="2">
        <v>0</v>
      </c>
      <c r="H129" s="2">
        <v>3371345.2299999595</v>
      </c>
      <c r="I129" s="2">
        <v>33901026.399999917</v>
      </c>
      <c r="J129" s="2">
        <v>0</v>
      </c>
      <c r="K129" s="2">
        <v>1073882.9800000011</v>
      </c>
      <c r="L129" s="2">
        <v>51484.900000000031</v>
      </c>
      <c r="M129" s="2">
        <v>363341.69000000029</v>
      </c>
      <c r="N129" s="2">
        <v>0</v>
      </c>
      <c r="O129" s="2">
        <v>215713.52000000118</v>
      </c>
    </row>
    <row r="130" spans="1:15" x14ac:dyDescent="0.3">
      <c r="A130" s="6">
        <v>129</v>
      </c>
      <c r="B130" s="6">
        <v>2010</v>
      </c>
      <c r="C130" s="6">
        <v>9</v>
      </c>
      <c r="D130" s="2">
        <v>60489.219999999841</v>
      </c>
      <c r="E130" s="2">
        <v>607055.51000000222</v>
      </c>
      <c r="F130" s="2">
        <v>193164.55000000037</v>
      </c>
      <c r="G130" s="2">
        <v>0</v>
      </c>
      <c r="H130" s="2">
        <v>3954349.29</v>
      </c>
      <c r="I130" s="2">
        <v>32438092.699999437</v>
      </c>
      <c r="J130" s="2">
        <v>0</v>
      </c>
      <c r="K130" s="2">
        <v>1333663.8199999961</v>
      </c>
      <c r="L130" s="2">
        <v>76068.400000000009</v>
      </c>
      <c r="M130" s="2">
        <v>404643.88000000047</v>
      </c>
      <c r="N130" s="2">
        <v>0</v>
      </c>
      <c r="O130" s="2">
        <v>235726.32999999935</v>
      </c>
    </row>
    <row r="131" spans="1:15" x14ac:dyDescent="0.3">
      <c r="A131" s="6">
        <v>130</v>
      </c>
      <c r="B131" s="6">
        <v>2010</v>
      </c>
      <c r="C131" s="6">
        <v>10</v>
      </c>
      <c r="D131" s="2">
        <v>57554.349999999955</v>
      </c>
      <c r="E131" s="2">
        <v>576257.06000000087</v>
      </c>
      <c r="F131" s="2">
        <v>142161.14999999912</v>
      </c>
      <c r="G131" s="2">
        <v>0</v>
      </c>
      <c r="H131" s="2">
        <v>3558019.8000000007</v>
      </c>
      <c r="I131" s="2">
        <v>33984712.770000443</v>
      </c>
      <c r="J131" s="2">
        <v>0</v>
      </c>
      <c r="K131" s="2">
        <v>1121977.2099999979</v>
      </c>
      <c r="L131" s="2">
        <v>8173.52</v>
      </c>
      <c r="M131" s="2">
        <v>319698.57000000012</v>
      </c>
      <c r="N131" s="2">
        <v>0</v>
      </c>
      <c r="O131" s="2">
        <v>260980.48999999859</v>
      </c>
    </row>
    <row r="132" spans="1:15" x14ac:dyDescent="0.3">
      <c r="A132" s="6">
        <v>131</v>
      </c>
      <c r="B132" s="6">
        <v>2010</v>
      </c>
      <c r="C132" s="6">
        <v>11</v>
      </c>
      <c r="D132" s="2">
        <v>58777.679999999906</v>
      </c>
      <c r="E132" s="2">
        <v>650432.64999999863</v>
      </c>
      <c r="F132" s="2">
        <v>157932.04999999894</v>
      </c>
      <c r="G132" s="2">
        <v>0</v>
      </c>
      <c r="H132" s="2">
        <v>3638321.9699999969</v>
      </c>
      <c r="I132" s="2">
        <v>33563671.169999965</v>
      </c>
      <c r="J132" s="2">
        <v>0</v>
      </c>
      <c r="K132" s="2">
        <v>433863.07999999961</v>
      </c>
      <c r="L132" s="2">
        <v>12808.359999999995</v>
      </c>
      <c r="M132" s="2">
        <v>397028.56000000006</v>
      </c>
      <c r="N132" s="2">
        <v>0</v>
      </c>
      <c r="O132" s="2">
        <v>236185.55999999994</v>
      </c>
    </row>
    <row r="133" spans="1:15" x14ac:dyDescent="0.3">
      <c r="A133" s="6">
        <v>132</v>
      </c>
      <c r="B133" s="6">
        <v>2010</v>
      </c>
      <c r="C133" s="6">
        <v>12</v>
      </c>
      <c r="D133" s="2">
        <v>25334.189999999995</v>
      </c>
      <c r="E133" s="2">
        <v>575277.5299999998</v>
      </c>
      <c r="F133" s="2">
        <v>125133.09000000007</v>
      </c>
      <c r="G133" s="2">
        <v>0</v>
      </c>
      <c r="H133" s="2">
        <v>2296536.8499999926</v>
      </c>
      <c r="I133" s="2">
        <v>36397097.050000012</v>
      </c>
      <c r="J133" s="2">
        <v>0</v>
      </c>
      <c r="K133" s="2">
        <v>1290395.56</v>
      </c>
      <c r="L133" s="2">
        <v>5634.909999999998</v>
      </c>
      <c r="M133" s="2">
        <v>275802.90000000002</v>
      </c>
      <c r="N133" s="2">
        <v>0</v>
      </c>
      <c r="O133" s="2">
        <v>202506.87999999986</v>
      </c>
    </row>
    <row r="134" spans="1:15" x14ac:dyDescent="0.3">
      <c r="A134" s="6">
        <v>133</v>
      </c>
      <c r="B134" s="6">
        <v>2011</v>
      </c>
      <c r="C134" s="6">
        <v>1</v>
      </c>
      <c r="D134" s="2">
        <v>7983.2500000000018</v>
      </c>
      <c r="E134" s="2">
        <v>385517.44000000012</v>
      </c>
      <c r="F134" s="2">
        <v>70895.299999999595</v>
      </c>
      <c r="G134" s="2">
        <v>0</v>
      </c>
      <c r="H134" s="2">
        <v>873069.48000000103</v>
      </c>
      <c r="I134" s="2">
        <v>38783246.190000556</v>
      </c>
      <c r="J134" s="2">
        <v>0</v>
      </c>
      <c r="K134" s="2">
        <v>1378456.3500000006</v>
      </c>
      <c r="L134" s="2">
        <v>421.28</v>
      </c>
      <c r="M134" s="2">
        <v>182216.11000000002</v>
      </c>
      <c r="N134" s="2">
        <v>0</v>
      </c>
      <c r="O134" s="2">
        <v>255631.55000000077</v>
      </c>
    </row>
    <row r="135" spans="1:15" x14ac:dyDescent="0.3">
      <c r="A135" s="6">
        <v>134</v>
      </c>
      <c r="B135" s="6">
        <v>2011</v>
      </c>
      <c r="C135" s="6">
        <v>2</v>
      </c>
      <c r="D135" s="2">
        <v>12265.881200000018</v>
      </c>
      <c r="E135" s="2">
        <v>470221.16000000254</v>
      </c>
      <c r="F135" s="2">
        <v>63545.299999999843</v>
      </c>
      <c r="G135" s="2">
        <v>0</v>
      </c>
      <c r="H135" s="2">
        <v>837778.65000000282</v>
      </c>
      <c r="I135" s="2">
        <v>36668906.519999474</v>
      </c>
      <c r="J135" s="2">
        <v>0</v>
      </c>
      <c r="K135" s="2">
        <v>1195676.839999998</v>
      </c>
      <c r="L135" s="2">
        <v>29.38</v>
      </c>
      <c r="M135" s="2">
        <v>130026.27999999993</v>
      </c>
      <c r="N135" s="2">
        <v>0</v>
      </c>
      <c r="O135" s="2">
        <v>282481.20000000024</v>
      </c>
    </row>
    <row r="136" spans="1:15" x14ac:dyDescent="0.3">
      <c r="A136" s="6">
        <v>135</v>
      </c>
      <c r="B136" s="6">
        <v>2011</v>
      </c>
      <c r="C136" s="6">
        <v>3</v>
      </c>
      <c r="D136" s="2">
        <v>10184.64</v>
      </c>
      <c r="E136" s="2">
        <v>270662.68999999913</v>
      </c>
      <c r="F136" s="2">
        <v>75603.97999999988</v>
      </c>
      <c r="G136" s="2">
        <v>0</v>
      </c>
      <c r="H136" s="2">
        <v>789987.15999999165</v>
      </c>
      <c r="I136" s="2">
        <v>39243077.592999607</v>
      </c>
      <c r="J136" s="2">
        <v>0</v>
      </c>
      <c r="K136" s="2">
        <v>1373145.0600000038</v>
      </c>
      <c r="L136" s="2">
        <v>11759.480000000023</v>
      </c>
      <c r="M136" s="2">
        <v>129552.8300000001</v>
      </c>
      <c r="N136" s="2">
        <v>0</v>
      </c>
      <c r="O136" s="2">
        <v>335362.97000000073</v>
      </c>
    </row>
    <row r="137" spans="1:15" x14ac:dyDescent="0.3">
      <c r="A137" s="6">
        <v>136</v>
      </c>
      <c r="B137" s="6">
        <v>2011</v>
      </c>
      <c r="C137" s="6">
        <v>4</v>
      </c>
      <c r="D137" s="2">
        <v>2712.7799999999997</v>
      </c>
      <c r="E137" s="2">
        <v>317215.30000000412</v>
      </c>
      <c r="F137" s="2">
        <v>42688.300000000054</v>
      </c>
      <c r="G137" s="2">
        <v>0</v>
      </c>
      <c r="H137" s="2">
        <v>445935.79000000202</v>
      </c>
      <c r="I137" s="2">
        <v>37769820.229999006</v>
      </c>
      <c r="J137" s="2">
        <v>0</v>
      </c>
      <c r="K137" s="2">
        <v>1208752.96</v>
      </c>
      <c r="L137" s="2">
        <v>4398.7</v>
      </c>
      <c r="M137" s="2">
        <v>169616.31999999995</v>
      </c>
      <c r="N137" s="2">
        <v>0</v>
      </c>
      <c r="O137" s="2">
        <v>391967.07000000135</v>
      </c>
    </row>
    <row r="138" spans="1:15" x14ac:dyDescent="0.3">
      <c r="A138" s="6">
        <v>137</v>
      </c>
      <c r="B138" s="6">
        <v>2011</v>
      </c>
      <c r="C138" s="6">
        <v>5</v>
      </c>
      <c r="D138" s="2">
        <v>45248.270000000099</v>
      </c>
      <c r="E138" s="2">
        <v>442569.85999999969</v>
      </c>
      <c r="F138" s="2">
        <v>66097.749999999593</v>
      </c>
      <c r="G138" s="2">
        <v>0</v>
      </c>
      <c r="H138" s="2">
        <v>925638.81000000332</v>
      </c>
      <c r="I138" s="2">
        <v>37202252.080001414</v>
      </c>
      <c r="J138" s="2">
        <v>0</v>
      </c>
      <c r="K138" s="2">
        <v>1227815.1700000043</v>
      </c>
      <c r="L138" s="2">
        <v>10761.490000000007</v>
      </c>
      <c r="M138" s="2">
        <v>270890.55999999988</v>
      </c>
      <c r="N138" s="2">
        <v>0</v>
      </c>
      <c r="O138" s="2">
        <v>333953.60000000009</v>
      </c>
    </row>
    <row r="139" spans="1:15" x14ac:dyDescent="0.3">
      <c r="A139" s="6">
        <v>138</v>
      </c>
      <c r="B139" s="6">
        <v>2011</v>
      </c>
      <c r="C139" s="6">
        <v>6</v>
      </c>
      <c r="D139" s="2">
        <v>58563.229999999996</v>
      </c>
      <c r="E139" s="2">
        <v>531934.89999999991</v>
      </c>
      <c r="F139" s="2">
        <v>113012.29999999961</v>
      </c>
      <c r="G139" s="2">
        <v>0</v>
      </c>
      <c r="H139" s="2">
        <v>1320256.8100000052</v>
      </c>
      <c r="I139" s="2">
        <v>35042281.41000025</v>
      </c>
      <c r="J139" s="2">
        <v>0</v>
      </c>
      <c r="K139" s="2">
        <v>1413013.219999999</v>
      </c>
      <c r="L139" s="2">
        <v>6923.34</v>
      </c>
      <c r="M139" s="2">
        <v>281571.56000000006</v>
      </c>
      <c r="N139" s="2">
        <v>0</v>
      </c>
      <c r="O139" s="2">
        <v>322259.66000000061</v>
      </c>
    </row>
    <row r="140" spans="1:15" x14ac:dyDescent="0.3">
      <c r="A140" s="6">
        <v>139</v>
      </c>
      <c r="B140" s="6">
        <v>2011</v>
      </c>
      <c r="C140" s="6">
        <v>7</v>
      </c>
      <c r="D140" s="2">
        <v>62218.150000000132</v>
      </c>
      <c r="E140" s="2">
        <v>484227.8600000001</v>
      </c>
      <c r="F140" s="2">
        <v>150133.03000000052</v>
      </c>
      <c r="G140" s="2">
        <v>0</v>
      </c>
      <c r="H140" s="2">
        <v>1355909.8700000269</v>
      </c>
      <c r="I140" s="2">
        <v>36725450.21000012</v>
      </c>
      <c r="J140" s="2">
        <v>0</v>
      </c>
      <c r="K140" s="2">
        <v>1422970.1700000002</v>
      </c>
      <c r="L140" s="2">
        <v>1019.7800000000001</v>
      </c>
      <c r="M140" s="2">
        <v>294376.91000000027</v>
      </c>
      <c r="N140" s="2">
        <v>0</v>
      </c>
      <c r="O140" s="2">
        <v>259511.22999999978</v>
      </c>
    </row>
    <row r="141" spans="1:15" x14ac:dyDescent="0.3">
      <c r="A141" s="6">
        <v>140</v>
      </c>
      <c r="B141" s="6">
        <v>2011</v>
      </c>
      <c r="C141" s="6">
        <v>8</v>
      </c>
      <c r="D141" s="2">
        <v>50328.590000000142</v>
      </c>
      <c r="E141" s="2">
        <v>481425.50000000012</v>
      </c>
      <c r="F141" s="2">
        <v>239803.58000000258</v>
      </c>
      <c r="G141" s="2">
        <v>0</v>
      </c>
      <c r="H141" s="2">
        <v>1193706.4000000001</v>
      </c>
      <c r="I141" s="2">
        <v>38603077.429999597</v>
      </c>
      <c r="J141" s="2">
        <v>0</v>
      </c>
      <c r="K141" s="2">
        <v>1221706.3400000008</v>
      </c>
      <c r="L141" s="2">
        <v>1070.9799999999998</v>
      </c>
      <c r="M141" s="2">
        <v>323289.29999999964</v>
      </c>
      <c r="N141" s="2">
        <v>0</v>
      </c>
      <c r="O141" s="2">
        <v>335714.11000000045</v>
      </c>
    </row>
    <row r="142" spans="1:15" x14ac:dyDescent="0.3">
      <c r="A142" s="6">
        <v>141</v>
      </c>
      <c r="B142" s="6">
        <v>2011</v>
      </c>
      <c r="C142" s="6">
        <v>9</v>
      </c>
      <c r="D142" s="2">
        <v>29511.489999999947</v>
      </c>
      <c r="E142" s="2">
        <v>436840.75000000006</v>
      </c>
      <c r="F142" s="2">
        <v>246533.74000000022</v>
      </c>
      <c r="G142" s="2">
        <v>0</v>
      </c>
      <c r="H142" s="2">
        <v>1064643.470000007</v>
      </c>
      <c r="I142" s="2">
        <v>37308228.449999541</v>
      </c>
      <c r="J142" s="2">
        <v>0</v>
      </c>
      <c r="K142" s="2">
        <v>1154465.9400000037</v>
      </c>
      <c r="L142" s="2">
        <v>7776.1100000000024</v>
      </c>
      <c r="M142" s="2">
        <v>335620.78999999992</v>
      </c>
      <c r="N142" s="2">
        <v>0</v>
      </c>
      <c r="O142" s="2">
        <v>289838.19999999902</v>
      </c>
    </row>
    <row r="143" spans="1:15" x14ac:dyDescent="0.3">
      <c r="A143" s="6">
        <v>142</v>
      </c>
      <c r="B143" s="6">
        <v>2011</v>
      </c>
      <c r="C143" s="6">
        <v>10</v>
      </c>
      <c r="D143" s="2">
        <v>14516.009999999998</v>
      </c>
      <c r="E143" s="2">
        <v>593290.00999999815</v>
      </c>
      <c r="F143" s="2">
        <v>263157.42999999924</v>
      </c>
      <c r="G143" s="2">
        <v>0</v>
      </c>
      <c r="H143" s="2">
        <v>1413784.7300000035</v>
      </c>
      <c r="I143" s="2">
        <v>37732448.799999312</v>
      </c>
      <c r="J143" s="2">
        <v>0</v>
      </c>
      <c r="K143" s="2">
        <v>1180202.3700000003</v>
      </c>
      <c r="L143" s="2">
        <v>2334.4599999999991</v>
      </c>
      <c r="M143" s="2">
        <v>340029.96000000014</v>
      </c>
      <c r="N143" s="2">
        <v>0</v>
      </c>
      <c r="O143" s="2">
        <v>234237.00000000017</v>
      </c>
    </row>
    <row r="144" spans="1:15" x14ac:dyDescent="0.3">
      <c r="A144" s="6">
        <v>143</v>
      </c>
      <c r="B144" s="6">
        <v>2011</v>
      </c>
      <c r="C144" s="6">
        <v>11</v>
      </c>
      <c r="D144" s="2">
        <v>13688.499999999993</v>
      </c>
      <c r="E144" s="2">
        <v>623666.66999999969</v>
      </c>
      <c r="F144" s="2">
        <v>294414.03000000009</v>
      </c>
      <c r="G144" s="2">
        <v>0</v>
      </c>
      <c r="H144" s="2">
        <v>1405278.3499999952</v>
      </c>
      <c r="I144" s="2">
        <v>36600478.029999517</v>
      </c>
      <c r="J144" s="2">
        <v>0</v>
      </c>
      <c r="K144" s="2">
        <v>1409779.0799999966</v>
      </c>
      <c r="L144" s="2">
        <v>6728.7400000000043</v>
      </c>
      <c r="M144" s="2">
        <v>298769.25999999949</v>
      </c>
      <c r="N144" s="2">
        <v>0</v>
      </c>
      <c r="O144" s="2">
        <v>272016.54999999993</v>
      </c>
    </row>
    <row r="145" spans="1:15" x14ac:dyDescent="0.3">
      <c r="A145" s="6">
        <v>144</v>
      </c>
      <c r="B145" s="6">
        <v>2011</v>
      </c>
      <c r="C145" s="6">
        <v>12</v>
      </c>
      <c r="D145" s="2">
        <v>7488.1899999999978</v>
      </c>
      <c r="E145" s="2">
        <v>617126.67999999784</v>
      </c>
      <c r="F145" s="2">
        <v>278548.33999999944</v>
      </c>
      <c r="G145" s="2">
        <v>0</v>
      </c>
      <c r="H145" s="2">
        <v>1385958.879999999</v>
      </c>
      <c r="I145" s="2">
        <v>38481884.069999829</v>
      </c>
      <c r="J145" s="2">
        <v>0</v>
      </c>
      <c r="K145" s="2">
        <v>1472011.0400000059</v>
      </c>
      <c r="L145" s="2">
        <v>17579.499999999989</v>
      </c>
      <c r="M145" s="2">
        <v>288606.8300000006</v>
      </c>
      <c r="N145" s="2">
        <v>0</v>
      </c>
      <c r="O145" s="2">
        <v>250304.14999999964</v>
      </c>
    </row>
    <row r="146" spans="1:15" x14ac:dyDescent="0.3">
      <c r="A146" s="6">
        <v>145</v>
      </c>
      <c r="B146" s="6">
        <v>2012</v>
      </c>
      <c r="C146" s="6">
        <v>1</v>
      </c>
      <c r="D146" s="2">
        <v>0</v>
      </c>
      <c r="E146" s="2">
        <v>555307.37999999931</v>
      </c>
      <c r="F146" s="2">
        <v>255802.78899999967</v>
      </c>
      <c r="G146" s="2">
        <v>0</v>
      </c>
      <c r="H146" s="2">
        <v>758924.64000001352</v>
      </c>
      <c r="I146" s="2">
        <v>39617133.939999335</v>
      </c>
      <c r="J146" s="2">
        <v>0</v>
      </c>
      <c r="K146" s="2">
        <v>1409747.8800000024</v>
      </c>
      <c r="L146" s="2">
        <v>16665.939999999988</v>
      </c>
      <c r="M146" s="2">
        <v>179000.03000000038</v>
      </c>
      <c r="N146" s="2">
        <v>0</v>
      </c>
      <c r="O146" s="2">
        <v>340997.19999999949</v>
      </c>
    </row>
    <row r="147" spans="1:15" x14ac:dyDescent="0.3">
      <c r="A147" s="6">
        <v>146</v>
      </c>
      <c r="B147" s="6">
        <v>2012</v>
      </c>
      <c r="C147" s="6">
        <v>2</v>
      </c>
      <c r="D147" s="2">
        <v>11339.830000000024</v>
      </c>
      <c r="E147" s="2">
        <v>477775.99999999837</v>
      </c>
      <c r="F147" s="2">
        <v>189529.93199999939</v>
      </c>
      <c r="G147" s="2">
        <v>0</v>
      </c>
      <c r="H147" s="2">
        <v>1129652.6200000083</v>
      </c>
      <c r="I147" s="2">
        <v>39313480.539999746</v>
      </c>
      <c r="J147" s="2">
        <v>0</v>
      </c>
      <c r="K147" s="2">
        <v>1154534.8599999989</v>
      </c>
      <c r="L147" s="2">
        <v>21460.409999999996</v>
      </c>
      <c r="M147" s="2">
        <v>130287.69</v>
      </c>
      <c r="N147" s="2">
        <v>0</v>
      </c>
      <c r="O147" s="2">
        <v>344104.16999999923</v>
      </c>
    </row>
    <row r="148" spans="1:15" x14ac:dyDescent="0.3">
      <c r="A148" s="6">
        <v>147</v>
      </c>
      <c r="B148" s="6">
        <v>2012</v>
      </c>
      <c r="C148" s="6">
        <v>3</v>
      </c>
      <c r="D148" s="2">
        <v>18084.589999999993</v>
      </c>
      <c r="E148" s="2">
        <v>562219.60000000068</v>
      </c>
      <c r="F148" s="2">
        <v>177013.00499999995</v>
      </c>
      <c r="G148" s="2">
        <v>0</v>
      </c>
      <c r="H148" s="2">
        <v>1711158.2600000007</v>
      </c>
      <c r="I148" s="2">
        <v>42622441.025999479</v>
      </c>
      <c r="J148" s="2">
        <v>0</v>
      </c>
      <c r="K148" s="2">
        <v>513187.53000000014</v>
      </c>
      <c r="L148" s="2">
        <v>9044.7900000000027</v>
      </c>
      <c r="M148" s="2">
        <v>181844.47000000023</v>
      </c>
      <c r="N148" s="2">
        <v>0</v>
      </c>
      <c r="O148" s="2">
        <v>374011.46000000095</v>
      </c>
    </row>
    <row r="149" spans="1:15" x14ac:dyDescent="0.3">
      <c r="A149" s="6">
        <v>148</v>
      </c>
      <c r="B149" s="6">
        <v>2012</v>
      </c>
      <c r="C149" s="6">
        <v>4</v>
      </c>
      <c r="D149" s="2">
        <v>48847.380000000026</v>
      </c>
      <c r="E149" s="2">
        <v>508119.58999999979</v>
      </c>
      <c r="F149" s="2">
        <v>186787.40600000054</v>
      </c>
      <c r="G149" s="2">
        <v>0</v>
      </c>
      <c r="H149" s="2">
        <v>2975811.989999989</v>
      </c>
      <c r="I149" s="2">
        <v>36922406.549000017</v>
      </c>
      <c r="J149" s="2">
        <v>0</v>
      </c>
      <c r="K149" s="2">
        <v>1406765.3800000006</v>
      </c>
      <c r="L149" s="2">
        <v>54595.809999999961</v>
      </c>
      <c r="M149" s="2">
        <v>248142.1400000001</v>
      </c>
      <c r="N149" s="2">
        <v>0</v>
      </c>
      <c r="O149" s="2">
        <v>314100.48000000027</v>
      </c>
    </row>
    <row r="150" spans="1:15" x14ac:dyDescent="0.3">
      <c r="A150" s="6">
        <v>149</v>
      </c>
      <c r="B150" s="6">
        <v>2012</v>
      </c>
      <c r="C150" s="6">
        <v>5</v>
      </c>
      <c r="D150" s="2">
        <v>114209.95000000013</v>
      </c>
      <c r="E150" s="2">
        <v>532057.80000000109</v>
      </c>
      <c r="F150" s="2">
        <v>214478.61099999995</v>
      </c>
      <c r="G150" s="2">
        <v>0</v>
      </c>
      <c r="H150" s="2">
        <v>2907475.4000000162</v>
      </c>
      <c r="I150" s="2">
        <v>36383602.416999727</v>
      </c>
      <c r="J150" s="2">
        <v>0</v>
      </c>
      <c r="K150" s="2">
        <v>1476929.0299999968</v>
      </c>
      <c r="L150" s="2">
        <v>8511.07</v>
      </c>
      <c r="M150" s="2">
        <v>312134.46000000025</v>
      </c>
      <c r="N150" s="2">
        <v>0</v>
      </c>
      <c r="O150" s="2">
        <v>255073.52999999945</v>
      </c>
    </row>
    <row r="151" spans="1:15" x14ac:dyDescent="0.3">
      <c r="A151" s="6">
        <v>150</v>
      </c>
      <c r="B151" s="6">
        <v>2012</v>
      </c>
      <c r="C151" s="6">
        <v>6</v>
      </c>
      <c r="D151" s="2">
        <v>128750.26609999999</v>
      </c>
      <c r="E151" s="2">
        <v>461479.68999999919</v>
      </c>
      <c r="F151" s="2">
        <v>199149.94299999933</v>
      </c>
      <c r="G151" s="2">
        <v>0</v>
      </c>
      <c r="H151" s="2">
        <v>955398.14999999898</v>
      </c>
      <c r="I151" s="2">
        <v>35444060.260999843</v>
      </c>
      <c r="J151" s="2">
        <v>0</v>
      </c>
      <c r="K151" s="2">
        <v>1425578.8199999821</v>
      </c>
      <c r="L151" s="2">
        <v>14481.77000000001</v>
      </c>
      <c r="M151" s="2">
        <v>302067.97000000003</v>
      </c>
      <c r="N151" s="2">
        <v>0</v>
      </c>
      <c r="O151" s="2">
        <v>145782.35999999975</v>
      </c>
    </row>
    <row r="152" spans="1:15" x14ac:dyDescent="0.3">
      <c r="A152" s="6">
        <v>151</v>
      </c>
      <c r="B152" s="6">
        <v>2012</v>
      </c>
      <c r="C152" s="6">
        <v>7</v>
      </c>
      <c r="D152" s="2">
        <v>170960.77999999965</v>
      </c>
      <c r="E152" s="2">
        <v>578430.56999999983</v>
      </c>
      <c r="F152" s="2">
        <v>277711.30400000012</v>
      </c>
      <c r="G152" s="2">
        <v>0</v>
      </c>
      <c r="H152" s="2">
        <v>502755.81000000006</v>
      </c>
      <c r="I152" s="2">
        <v>37008439.292999618</v>
      </c>
      <c r="J152" s="2">
        <v>0</v>
      </c>
      <c r="K152" s="2">
        <v>1477577.0199999933</v>
      </c>
      <c r="L152" s="2">
        <v>18255.050000000025</v>
      </c>
      <c r="M152" s="2">
        <v>245010.40999999951</v>
      </c>
      <c r="N152" s="2">
        <v>0</v>
      </c>
      <c r="O152" s="2">
        <v>144108.35000000024</v>
      </c>
    </row>
    <row r="153" spans="1:15" x14ac:dyDescent="0.3">
      <c r="A153" s="6">
        <v>152</v>
      </c>
      <c r="B153" s="6">
        <v>2012</v>
      </c>
      <c r="C153" s="6">
        <v>8</v>
      </c>
      <c r="D153" s="2">
        <v>219902.70039999942</v>
      </c>
      <c r="E153" s="2">
        <v>800558.93999999773</v>
      </c>
      <c r="F153" s="2">
        <v>341665.91100000154</v>
      </c>
      <c r="G153" s="2">
        <v>0</v>
      </c>
      <c r="H153" s="2">
        <v>1546748.6840000008</v>
      </c>
      <c r="I153" s="2">
        <v>37565966.629200339</v>
      </c>
      <c r="J153" s="2">
        <v>0</v>
      </c>
      <c r="K153" s="2">
        <v>1471095.0399999947</v>
      </c>
      <c r="L153" s="2">
        <v>7077.9430000000029</v>
      </c>
      <c r="M153" s="2">
        <v>272484.55000000022</v>
      </c>
      <c r="N153" s="2">
        <v>0</v>
      </c>
      <c r="O153" s="2">
        <v>328109.59000000037</v>
      </c>
    </row>
    <row r="154" spans="1:15" x14ac:dyDescent="0.3">
      <c r="A154" s="6">
        <v>153</v>
      </c>
      <c r="B154" s="6">
        <v>2012</v>
      </c>
      <c r="C154" s="6">
        <v>9</v>
      </c>
      <c r="D154" s="2">
        <v>232951.29800000059</v>
      </c>
      <c r="E154" s="2">
        <v>751884.63999999897</v>
      </c>
      <c r="F154" s="2">
        <v>354367.3639999993</v>
      </c>
      <c r="G154" s="2">
        <v>0</v>
      </c>
      <c r="H154" s="2">
        <v>3922837.7490000064</v>
      </c>
      <c r="I154" s="2">
        <v>34476720.702999815</v>
      </c>
      <c r="J154" s="2">
        <v>0</v>
      </c>
      <c r="K154" s="2">
        <v>1403907.8300000017</v>
      </c>
      <c r="L154" s="2">
        <v>747.86900000000026</v>
      </c>
      <c r="M154" s="2">
        <v>276366.90899999969</v>
      </c>
      <c r="N154" s="2">
        <v>0</v>
      </c>
      <c r="O154" s="2">
        <v>296432.37999999995</v>
      </c>
    </row>
    <row r="155" spans="1:15" x14ac:dyDescent="0.3">
      <c r="A155" s="6">
        <v>154</v>
      </c>
      <c r="B155" s="6">
        <v>2012</v>
      </c>
      <c r="C155" s="6">
        <v>10</v>
      </c>
      <c r="D155" s="2">
        <v>258852.3310999996</v>
      </c>
      <c r="E155" s="2">
        <v>810363.59400000051</v>
      </c>
      <c r="F155" s="2">
        <v>343743.90800000081</v>
      </c>
      <c r="G155" s="2">
        <v>0</v>
      </c>
      <c r="H155" s="2">
        <v>4758307.0620000102</v>
      </c>
      <c r="I155" s="2">
        <v>35276231.334999621</v>
      </c>
      <c r="J155" s="2">
        <v>0</v>
      </c>
      <c r="K155" s="2">
        <v>1477605.6199999985</v>
      </c>
      <c r="L155" s="2">
        <v>449731.84299999918</v>
      </c>
      <c r="M155" s="2">
        <v>496148.54699999775</v>
      </c>
      <c r="N155" s="2">
        <v>0</v>
      </c>
      <c r="O155" s="2">
        <v>333578.0399999998</v>
      </c>
    </row>
    <row r="156" spans="1:15" x14ac:dyDescent="0.3">
      <c r="A156" s="6">
        <v>155</v>
      </c>
      <c r="B156" s="6">
        <v>2012</v>
      </c>
      <c r="C156" s="6">
        <v>11</v>
      </c>
      <c r="D156" s="2">
        <v>219205.25099999996</v>
      </c>
      <c r="E156" s="2">
        <v>743495.98599999968</v>
      </c>
      <c r="F156" s="2">
        <v>298164.21000000217</v>
      </c>
      <c r="G156" s="2">
        <v>0</v>
      </c>
      <c r="H156" s="2">
        <v>4979906.6099999994</v>
      </c>
      <c r="I156" s="2">
        <v>31796588.072999779</v>
      </c>
      <c r="J156" s="2">
        <v>0</v>
      </c>
      <c r="K156" s="2">
        <v>1431741.7600000021</v>
      </c>
      <c r="L156" s="2">
        <v>1110285.4122000025</v>
      </c>
      <c r="M156" s="2">
        <v>914215.09100000863</v>
      </c>
      <c r="N156" s="2">
        <v>0</v>
      </c>
      <c r="O156" s="2">
        <v>275474.12000000139</v>
      </c>
    </row>
    <row r="157" spans="1:15" x14ac:dyDescent="0.3">
      <c r="A157" s="6">
        <v>156</v>
      </c>
      <c r="B157" s="6">
        <v>2012</v>
      </c>
      <c r="C157" s="6">
        <v>12</v>
      </c>
      <c r="D157" s="2">
        <v>149722.81499999974</v>
      </c>
      <c r="E157" s="2">
        <v>675964.30699999863</v>
      </c>
      <c r="F157" s="2">
        <v>335399.97899999883</v>
      </c>
      <c r="G157" s="2">
        <v>0</v>
      </c>
      <c r="H157" s="2">
        <v>4622524.3140000105</v>
      </c>
      <c r="I157" s="2">
        <v>34868136.92999988</v>
      </c>
      <c r="J157" s="2">
        <v>0</v>
      </c>
      <c r="K157" s="2">
        <v>1390811.7699999984</v>
      </c>
      <c r="L157" s="2">
        <v>1286689.6009999947</v>
      </c>
      <c r="M157" s="2">
        <v>842125.23499999498</v>
      </c>
      <c r="N157" s="2">
        <v>0</v>
      </c>
      <c r="O157" s="2">
        <v>310879.1999999996</v>
      </c>
    </row>
    <row r="158" spans="1:15" x14ac:dyDescent="0.3">
      <c r="A158" s="6">
        <v>157</v>
      </c>
      <c r="B158" s="6">
        <v>2013</v>
      </c>
      <c r="C158" s="6">
        <v>1</v>
      </c>
      <c r="D158" s="2">
        <v>69339.633000000002</v>
      </c>
      <c r="E158" s="2">
        <v>1063499.9069999976</v>
      </c>
      <c r="F158" s="2">
        <v>296020.56599999877</v>
      </c>
      <c r="G158" s="2">
        <v>0</v>
      </c>
      <c r="H158" s="2">
        <v>4127536.6190000013</v>
      </c>
      <c r="I158" s="2">
        <v>34423157.902000129</v>
      </c>
      <c r="J158" s="2">
        <v>0</v>
      </c>
      <c r="K158" s="2">
        <v>1042854.6900000005</v>
      </c>
      <c r="L158" s="2">
        <v>1254156.1480000007</v>
      </c>
      <c r="M158" s="2">
        <v>715752.70600000408</v>
      </c>
      <c r="N158" s="2">
        <v>0</v>
      </c>
      <c r="O158" s="2">
        <v>310443.49999999988</v>
      </c>
    </row>
    <row r="159" spans="1:15" x14ac:dyDescent="0.3">
      <c r="A159" s="6">
        <v>158</v>
      </c>
      <c r="B159" s="6">
        <v>2013</v>
      </c>
      <c r="C159" s="6">
        <v>2</v>
      </c>
      <c r="D159" s="2">
        <v>53832.869999999981</v>
      </c>
      <c r="E159" s="2">
        <v>970310.28200000618</v>
      </c>
      <c r="F159" s="2">
        <v>298421.33099999913</v>
      </c>
      <c r="G159" s="2">
        <v>0</v>
      </c>
      <c r="H159" s="2">
        <v>4001951.3240000093</v>
      </c>
      <c r="I159" s="2">
        <v>32990202.698999979</v>
      </c>
      <c r="J159" s="2">
        <v>0</v>
      </c>
      <c r="K159" s="2">
        <v>895388.11000000057</v>
      </c>
      <c r="L159" s="2">
        <v>1001401.6819999981</v>
      </c>
      <c r="M159" s="2">
        <v>518398.8150000007</v>
      </c>
      <c r="N159" s="2">
        <v>0</v>
      </c>
      <c r="O159" s="2">
        <v>280035.69000000053</v>
      </c>
    </row>
    <row r="160" spans="1:15" x14ac:dyDescent="0.3">
      <c r="A160" s="6">
        <v>159</v>
      </c>
      <c r="B160" s="6">
        <v>2013</v>
      </c>
      <c r="C160" s="6">
        <v>3</v>
      </c>
      <c r="D160" s="2">
        <v>80456.239999999845</v>
      </c>
      <c r="E160" s="2">
        <v>988127.11899999611</v>
      </c>
      <c r="F160" s="2">
        <v>302282.81899999891</v>
      </c>
      <c r="G160" s="2">
        <v>0</v>
      </c>
      <c r="H160" s="2">
        <v>3867134.8710000184</v>
      </c>
      <c r="I160" s="2">
        <v>36433268.210000105</v>
      </c>
      <c r="J160" s="2">
        <v>0</v>
      </c>
      <c r="K160" s="2">
        <v>1287622.5799999998</v>
      </c>
      <c r="L160" s="2">
        <v>905647.27999998676</v>
      </c>
      <c r="M160" s="2">
        <v>519804.43000000104</v>
      </c>
      <c r="N160" s="2">
        <v>0</v>
      </c>
      <c r="O160" s="2">
        <v>338724.8189999999</v>
      </c>
    </row>
    <row r="161" spans="1:15" x14ac:dyDescent="0.3">
      <c r="A161" s="6">
        <v>160</v>
      </c>
      <c r="B161" s="6">
        <v>2013</v>
      </c>
      <c r="C161" s="6">
        <v>4</v>
      </c>
      <c r="D161" s="2">
        <v>179386.83000000016</v>
      </c>
      <c r="E161" s="2">
        <v>948286.91500000143</v>
      </c>
      <c r="F161" s="2">
        <v>230064.94700000001</v>
      </c>
      <c r="G161" s="2">
        <v>0</v>
      </c>
      <c r="H161" s="2">
        <v>3471986.5030000056</v>
      </c>
      <c r="I161" s="2">
        <v>34544468.79299973</v>
      </c>
      <c r="J161" s="2">
        <v>0</v>
      </c>
      <c r="K161" s="2">
        <v>1175712.1200000066</v>
      </c>
      <c r="L161" s="2">
        <v>808465.71699999948</v>
      </c>
      <c r="M161" s="2">
        <v>478557.16600000078</v>
      </c>
      <c r="N161" s="2">
        <v>0</v>
      </c>
      <c r="O161" s="2">
        <v>317746.09999999969</v>
      </c>
    </row>
    <row r="162" spans="1:15" x14ac:dyDescent="0.3">
      <c r="A162" s="6">
        <v>161</v>
      </c>
      <c r="B162" s="6">
        <v>2013</v>
      </c>
      <c r="C162" s="6">
        <v>5</v>
      </c>
      <c r="D162" s="2">
        <v>322617.19500000012</v>
      </c>
      <c r="E162" s="2">
        <v>1110958.7460000003</v>
      </c>
      <c r="F162" s="2">
        <v>242658.10500000027</v>
      </c>
      <c r="G162" s="2">
        <v>0</v>
      </c>
      <c r="H162" s="2">
        <v>4216109.0420000162</v>
      </c>
      <c r="I162" s="2">
        <v>33386801.785999946</v>
      </c>
      <c r="J162" s="2">
        <v>0</v>
      </c>
      <c r="K162" s="2">
        <v>543648.11999999988</v>
      </c>
      <c r="L162" s="2">
        <v>1072867.0969999987</v>
      </c>
      <c r="M162" s="2">
        <v>571122.96410000115</v>
      </c>
      <c r="N162" s="2">
        <v>0</v>
      </c>
      <c r="O162" s="2">
        <v>319757.09700000042</v>
      </c>
    </row>
    <row r="163" spans="1:15" x14ac:dyDescent="0.3">
      <c r="A163" s="6">
        <v>162</v>
      </c>
      <c r="B163" s="6">
        <v>2013</v>
      </c>
      <c r="C163" s="6">
        <v>6</v>
      </c>
      <c r="D163" s="2">
        <v>323545.89999999991</v>
      </c>
      <c r="E163" s="2">
        <v>1251065.9649999992</v>
      </c>
      <c r="F163" s="2">
        <v>249770.29299999957</v>
      </c>
      <c r="G163" s="2">
        <v>0</v>
      </c>
      <c r="H163" s="2">
        <v>3716084.4230000162</v>
      </c>
      <c r="I163" s="2">
        <v>31645194.203999773</v>
      </c>
      <c r="J163" s="2">
        <v>0</v>
      </c>
      <c r="K163" s="2">
        <v>1353891.4899999995</v>
      </c>
      <c r="L163" s="2">
        <v>983904.88800000341</v>
      </c>
      <c r="M163" s="2">
        <v>381807.89800000016</v>
      </c>
      <c r="N163" s="2">
        <v>0</v>
      </c>
      <c r="O163" s="2">
        <v>291749.28000000003</v>
      </c>
    </row>
    <row r="164" spans="1:15" x14ac:dyDescent="0.3">
      <c r="A164" s="6">
        <v>163</v>
      </c>
      <c r="B164" s="6">
        <v>2013</v>
      </c>
      <c r="C164" s="6">
        <v>7</v>
      </c>
      <c r="D164" s="2">
        <v>373966.41999999963</v>
      </c>
      <c r="E164" s="2">
        <v>1307807.9190000012</v>
      </c>
      <c r="F164" s="2">
        <v>297106.81400000112</v>
      </c>
      <c r="G164" s="2">
        <v>0</v>
      </c>
      <c r="H164" s="2">
        <v>3652453.9589999961</v>
      </c>
      <c r="I164" s="2">
        <v>34460228.320999041</v>
      </c>
      <c r="J164" s="2">
        <v>0</v>
      </c>
      <c r="K164" s="2">
        <v>1310794.9399999985</v>
      </c>
      <c r="L164" s="2">
        <v>170250.69899999982</v>
      </c>
      <c r="M164" s="2">
        <v>241994.49800000002</v>
      </c>
      <c r="N164" s="2">
        <v>0</v>
      </c>
      <c r="O164" s="2">
        <v>353736.00000000017</v>
      </c>
    </row>
    <row r="165" spans="1:15" x14ac:dyDescent="0.3">
      <c r="A165" s="6">
        <v>164</v>
      </c>
      <c r="B165" s="6">
        <v>2013</v>
      </c>
      <c r="C165" s="6">
        <v>8</v>
      </c>
      <c r="D165" s="2">
        <v>482126.97660000069</v>
      </c>
      <c r="E165" s="2">
        <v>1315459.1379999998</v>
      </c>
      <c r="F165" s="2">
        <v>409897.56000000151</v>
      </c>
      <c r="G165" s="2">
        <v>0</v>
      </c>
      <c r="H165" s="2">
        <v>4070194.1610000022</v>
      </c>
      <c r="I165" s="2">
        <v>35053972.920199856</v>
      </c>
      <c r="J165" s="2">
        <v>0</v>
      </c>
      <c r="K165" s="2">
        <v>1346374.7300000025</v>
      </c>
      <c r="L165" s="2">
        <v>23345.51</v>
      </c>
      <c r="M165" s="2">
        <v>238665.55000000019</v>
      </c>
      <c r="N165" s="2">
        <v>0</v>
      </c>
      <c r="O165" s="2">
        <v>393495.68</v>
      </c>
    </row>
    <row r="166" spans="1:15" x14ac:dyDescent="0.3">
      <c r="A166" s="6">
        <v>165</v>
      </c>
      <c r="B166" s="6">
        <v>2013</v>
      </c>
      <c r="C166" s="6">
        <v>9</v>
      </c>
      <c r="D166" s="2">
        <v>482485.05129999993</v>
      </c>
      <c r="E166" s="2">
        <v>1241421.3209999977</v>
      </c>
      <c r="F166" s="2">
        <v>444695.78600000183</v>
      </c>
      <c r="G166" s="2">
        <v>0</v>
      </c>
      <c r="H166" s="2">
        <v>3647530.594999996</v>
      </c>
      <c r="I166" s="2">
        <v>34367197.554000311</v>
      </c>
      <c r="J166" s="2">
        <v>0</v>
      </c>
      <c r="K166" s="2">
        <v>1356827.7500000009</v>
      </c>
      <c r="L166" s="2">
        <v>432710.929</v>
      </c>
      <c r="M166" s="2">
        <v>230815.66300000018</v>
      </c>
      <c r="N166" s="2">
        <v>0</v>
      </c>
      <c r="O166" s="2">
        <v>376803.23999999871</v>
      </c>
    </row>
    <row r="167" spans="1:15" x14ac:dyDescent="0.3">
      <c r="A167" s="6">
        <v>166</v>
      </c>
      <c r="B167" s="6">
        <v>2013</v>
      </c>
      <c r="C167" s="6">
        <v>10</v>
      </c>
      <c r="D167" s="2">
        <v>504655.50769999955</v>
      </c>
      <c r="E167" s="2">
        <v>1270790.3600000017</v>
      </c>
      <c r="F167" s="2">
        <v>492303.23899999727</v>
      </c>
      <c r="G167" s="2">
        <v>0</v>
      </c>
      <c r="H167" s="2">
        <v>3523933.0535000255</v>
      </c>
      <c r="I167" s="2">
        <v>36178608.878000572</v>
      </c>
      <c r="J167" s="2">
        <v>0</v>
      </c>
      <c r="K167" s="2">
        <v>1463920.7099999981</v>
      </c>
      <c r="L167" s="2">
        <v>669384.37600000086</v>
      </c>
      <c r="M167" s="2">
        <v>297553.57800000015</v>
      </c>
      <c r="N167" s="2">
        <v>0</v>
      </c>
      <c r="O167" s="2">
        <v>390763.80999999726</v>
      </c>
    </row>
    <row r="168" spans="1:15" x14ac:dyDescent="0.3">
      <c r="A168" s="6">
        <v>167</v>
      </c>
      <c r="B168" s="6">
        <v>2013</v>
      </c>
      <c r="C168" s="6">
        <v>11</v>
      </c>
      <c r="D168" s="2">
        <v>447182.92299999972</v>
      </c>
      <c r="E168" s="2">
        <v>1410484.282000005</v>
      </c>
      <c r="F168" s="2">
        <v>497975.08600000263</v>
      </c>
      <c r="G168" s="2">
        <v>0</v>
      </c>
      <c r="H168" s="2">
        <v>3709604.7650000118</v>
      </c>
      <c r="I168" s="2">
        <v>34623320.781998113</v>
      </c>
      <c r="J168" s="2">
        <v>0</v>
      </c>
      <c r="K168" s="2">
        <v>1431128.1599999988</v>
      </c>
      <c r="L168" s="2">
        <v>809363.31599999801</v>
      </c>
      <c r="M168" s="2">
        <v>291335.85899999941</v>
      </c>
      <c r="N168" s="2">
        <v>0</v>
      </c>
      <c r="O168" s="2">
        <v>354067.62999999727</v>
      </c>
    </row>
    <row r="169" spans="1:15" x14ac:dyDescent="0.3">
      <c r="A169" s="6">
        <v>168</v>
      </c>
      <c r="B169" s="6">
        <v>2013</v>
      </c>
      <c r="C169" s="6">
        <v>12</v>
      </c>
      <c r="D169" s="2">
        <v>323180.97800000018</v>
      </c>
      <c r="E169" s="2">
        <v>1220125.1389999988</v>
      </c>
      <c r="F169" s="2">
        <v>406029.8809999997</v>
      </c>
      <c r="G169" s="2">
        <v>0</v>
      </c>
      <c r="H169" s="2">
        <v>3616185.874399994</v>
      </c>
      <c r="I169" s="2">
        <v>35635042.436000012</v>
      </c>
      <c r="J169" s="2">
        <v>0</v>
      </c>
      <c r="K169" s="2">
        <v>1369741.8799999994</v>
      </c>
      <c r="L169" s="2">
        <v>561275.54800000088</v>
      </c>
      <c r="M169" s="2">
        <v>322643.87499999866</v>
      </c>
      <c r="N169" s="2">
        <v>0</v>
      </c>
      <c r="O169" s="2">
        <v>378666.60999999673</v>
      </c>
    </row>
    <row r="170" spans="1:15" x14ac:dyDescent="0.3">
      <c r="A170" s="6">
        <v>169</v>
      </c>
      <c r="B170" s="6">
        <v>2014</v>
      </c>
      <c r="C170" s="6">
        <v>1</v>
      </c>
      <c r="D170" s="2">
        <v>145452.86620000002</v>
      </c>
      <c r="E170" s="2">
        <v>1388401.3550000056</v>
      </c>
      <c r="F170" s="2">
        <v>468114.0301620008</v>
      </c>
      <c r="G170" s="2">
        <v>0</v>
      </c>
      <c r="H170" s="2">
        <v>3936506.5979000377</v>
      </c>
      <c r="I170" s="2">
        <v>39454073.588000089</v>
      </c>
      <c r="J170" s="2">
        <v>0</v>
      </c>
      <c r="K170" s="2">
        <v>1474109.9380000005</v>
      </c>
      <c r="L170" s="2">
        <v>1008177.9979999973</v>
      </c>
      <c r="M170" s="2">
        <v>413791.40679999901</v>
      </c>
      <c r="N170" s="2">
        <v>0</v>
      </c>
      <c r="O170" s="2">
        <v>432218.83999999659</v>
      </c>
    </row>
    <row r="171" spans="1:15" x14ac:dyDescent="0.3">
      <c r="A171" s="6">
        <v>170</v>
      </c>
      <c r="B171" s="6">
        <v>2014</v>
      </c>
      <c r="C171" s="6">
        <v>2</v>
      </c>
      <c r="D171" s="2">
        <v>136494.1687000001</v>
      </c>
      <c r="E171" s="2">
        <v>1363352.5199000021</v>
      </c>
      <c r="F171" s="2">
        <v>427428.48768000311</v>
      </c>
      <c r="G171" s="2">
        <v>0</v>
      </c>
      <c r="H171" s="2">
        <v>4382803.3773000194</v>
      </c>
      <c r="I171" s="2">
        <v>33862316.416999824</v>
      </c>
      <c r="J171" s="2">
        <v>0</v>
      </c>
      <c r="K171" s="2">
        <v>1285589.9280000017</v>
      </c>
      <c r="L171" s="2">
        <v>1202266.5770000005</v>
      </c>
      <c r="M171" s="2">
        <v>623640.74239999824</v>
      </c>
      <c r="N171" s="2">
        <v>0</v>
      </c>
      <c r="O171" s="2">
        <v>399798.39999999822</v>
      </c>
    </row>
    <row r="172" spans="1:15" x14ac:dyDescent="0.3">
      <c r="A172" s="6">
        <v>171</v>
      </c>
      <c r="B172" s="6">
        <v>2014</v>
      </c>
      <c r="C172" s="6">
        <v>3</v>
      </c>
      <c r="D172" s="2">
        <v>192678.99060000075</v>
      </c>
      <c r="E172" s="2">
        <v>1693001.2041999965</v>
      </c>
      <c r="F172" s="2">
        <v>446970.72675335186</v>
      </c>
      <c r="G172" s="2">
        <v>0</v>
      </c>
      <c r="H172" s="2">
        <v>5367847.2098999675</v>
      </c>
      <c r="I172" s="2">
        <v>35632503.752999306</v>
      </c>
      <c r="J172" s="2">
        <v>0</v>
      </c>
      <c r="K172" s="2">
        <v>1421338.5720000013</v>
      </c>
      <c r="L172" s="2">
        <v>1249894.1800000062</v>
      </c>
      <c r="M172" s="2">
        <v>587622.60999999847</v>
      </c>
      <c r="N172" s="2">
        <v>0</v>
      </c>
      <c r="O172" s="2">
        <v>523182.47799999791</v>
      </c>
    </row>
    <row r="173" spans="1:15" x14ac:dyDescent="0.3">
      <c r="A173" s="6">
        <v>172</v>
      </c>
      <c r="B173" s="6">
        <v>2014</v>
      </c>
      <c r="C173" s="6">
        <v>4</v>
      </c>
      <c r="D173" s="2">
        <v>299339.82680000016</v>
      </c>
      <c r="E173" s="2">
        <v>1485299.6960000009</v>
      </c>
      <c r="F173" s="2">
        <v>412877.71033258969</v>
      </c>
      <c r="G173" s="2">
        <v>0</v>
      </c>
      <c r="H173" s="2">
        <v>4848922.642999988</v>
      </c>
      <c r="I173" s="2">
        <v>33438339.1859999</v>
      </c>
      <c r="J173" s="2">
        <v>0</v>
      </c>
      <c r="K173" s="2">
        <v>982187.22000000009</v>
      </c>
      <c r="L173" s="2">
        <v>1205683.2280000062</v>
      </c>
      <c r="M173" s="2">
        <v>634405.10500000033</v>
      </c>
      <c r="N173" s="2">
        <v>0</v>
      </c>
      <c r="O173" s="2">
        <v>537941.21999999718</v>
      </c>
    </row>
    <row r="174" spans="1:15" x14ac:dyDescent="0.3">
      <c r="A174" s="6">
        <v>173</v>
      </c>
      <c r="B174" s="6">
        <v>2014</v>
      </c>
      <c r="C174" s="6">
        <v>5</v>
      </c>
      <c r="D174" s="2">
        <v>481887.19824224961</v>
      </c>
      <c r="E174" s="2">
        <v>1503117.4065000021</v>
      </c>
      <c r="F174" s="2">
        <v>424044.98616135446</v>
      </c>
      <c r="G174" s="2">
        <v>0</v>
      </c>
      <c r="H174" s="2">
        <v>6510303.2258999841</v>
      </c>
      <c r="I174" s="2">
        <v>32013792.799350012</v>
      </c>
      <c r="J174" s="2">
        <v>0</v>
      </c>
      <c r="K174" s="2">
        <v>1397662.8633000012</v>
      </c>
      <c r="L174" s="2">
        <v>1123477.736899998</v>
      </c>
      <c r="M174" s="2">
        <v>691959.6323888856</v>
      </c>
      <c r="N174" s="2">
        <v>0</v>
      </c>
      <c r="O174" s="2">
        <v>481025.91049999028</v>
      </c>
    </row>
    <row r="175" spans="1:15" x14ac:dyDescent="0.3">
      <c r="A175" s="6">
        <v>174</v>
      </c>
      <c r="B175" s="6">
        <v>2014</v>
      </c>
      <c r="C175" s="6">
        <v>6</v>
      </c>
      <c r="D175" s="2">
        <v>526698.12486536056</v>
      </c>
      <c r="E175" s="2">
        <v>1426899.1953000028</v>
      </c>
      <c r="F175" s="2">
        <v>726800.02282390045</v>
      </c>
      <c r="G175" s="2">
        <v>0</v>
      </c>
      <c r="H175" s="2">
        <v>5799773.9335000291</v>
      </c>
      <c r="I175" s="2">
        <v>29962239.03872278</v>
      </c>
      <c r="J175" s="2">
        <v>0</v>
      </c>
      <c r="K175" s="2">
        <v>1391355.1417000093</v>
      </c>
      <c r="L175" s="2">
        <v>936184.03790000034</v>
      </c>
      <c r="M175" s="2">
        <v>568998.31372222165</v>
      </c>
      <c r="N175" s="2">
        <v>0</v>
      </c>
      <c r="O175" s="2">
        <v>555255.22110000625</v>
      </c>
    </row>
    <row r="176" spans="1:15" x14ac:dyDescent="0.3">
      <c r="A176" s="6">
        <v>175</v>
      </c>
      <c r="B176" s="6">
        <v>2014</v>
      </c>
      <c r="C176" s="6">
        <v>7</v>
      </c>
      <c r="D176" s="2">
        <v>455415.37310000119</v>
      </c>
      <c r="E176" s="2">
        <v>1353563.2271000016</v>
      </c>
      <c r="F176" s="2">
        <v>994823.73656309023</v>
      </c>
      <c r="G176" s="2">
        <v>0</v>
      </c>
      <c r="H176" s="2">
        <v>6328398.1809999524</v>
      </c>
      <c r="I176" s="2">
        <v>31064699.004999403</v>
      </c>
      <c r="J176" s="2">
        <v>0</v>
      </c>
      <c r="K176" s="2">
        <v>926862.64599999972</v>
      </c>
      <c r="L176" s="2">
        <v>1143865.2169999997</v>
      </c>
      <c r="M176" s="2">
        <v>643297.06000000203</v>
      </c>
      <c r="N176" s="2">
        <v>0</v>
      </c>
      <c r="O176" s="2">
        <v>596099.95600000757</v>
      </c>
    </row>
    <row r="177" spans="1:15" x14ac:dyDescent="0.3">
      <c r="A177" s="6">
        <v>176</v>
      </c>
      <c r="B177" s="6">
        <v>2014</v>
      </c>
      <c r="C177" s="6">
        <v>8</v>
      </c>
      <c r="D177" s="2">
        <v>632116.06800000125</v>
      </c>
      <c r="E177" s="2">
        <v>1411323.3591999966</v>
      </c>
      <c r="F177" s="2">
        <v>1176284.8759334197</v>
      </c>
      <c r="G177" s="2">
        <v>0</v>
      </c>
      <c r="H177" s="2">
        <v>6628171.0889999699</v>
      </c>
      <c r="I177" s="2">
        <v>30195866.105999667</v>
      </c>
      <c r="J177" s="2">
        <v>0</v>
      </c>
      <c r="K177" s="2">
        <v>630709.90300000086</v>
      </c>
      <c r="L177" s="2">
        <v>1712435.1350000084</v>
      </c>
      <c r="M177" s="2">
        <v>761037.81899999571</v>
      </c>
      <c r="N177" s="2">
        <v>0</v>
      </c>
      <c r="O177" s="2">
        <v>624045.6410000074</v>
      </c>
    </row>
    <row r="178" spans="1:15" x14ac:dyDescent="0.3">
      <c r="A178" s="6">
        <v>177</v>
      </c>
      <c r="B178" s="6">
        <v>2014</v>
      </c>
      <c r="C178" s="6">
        <v>9</v>
      </c>
      <c r="D178" s="2">
        <v>537953.03600000171</v>
      </c>
      <c r="E178" s="2">
        <v>1252708.1353999996</v>
      </c>
      <c r="F178" s="2">
        <v>1138450.4626969877</v>
      </c>
      <c r="G178" s="2">
        <v>0</v>
      </c>
      <c r="H178" s="2">
        <v>5597267.5059999917</v>
      </c>
      <c r="I178" s="2">
        <v>30935978.835999168</v>
      </c>
      <c r="J178" s="2">
        <v>0</v>
      </c>
      <c r="K178" s="2">
        <v>1453258.3410000002</v>
      </c>
      <c r="L178" s="2">
        <v>1638341.8318999973</v>
      </c>
      <c r="M178" s="2">
        <v>780680.76599998726</v>
      </c>
      <c r="N178" s="2">
        <v>0</v>
      </c>
      <c r="O178" s="2">
        <v>567339.64900000766</v>
      </c>
    </row>
    <row r="179" spans="1:15" x14ac:dyDescent="0.3">
      <c r="A179" s="6">
        <v>178</v>
      </c>
      <c r="B179" s="6">
        <v>2014</v>
      </c>
      <c r="C179" s="6">
        <v>10</v>
      </c>
      <c r="D179" s="2">
        <v>549527.42140000348</v>
      </c>
      <c r="E179" s="2">
        <v>1367755.5079999983</v>
      </c>
      <c r="F179" s="2">
        <v>1352617.2972663078</v>
      </c>
      <c r="G179" s="2">
        <v>0</v>
      </c>
      <c r="H179" s="2">
        <v>6229699.2110000802</v>
      </c>
      <c r="I179" s="2">
        <v>32308290.94800007</v>
      </c>
      <c r="J179" s="2">
        <v>0</v>
      </c>
      <c r="K179" s="2">
        <v>1496887.6700000013</v>
      </c>
      <c r="L179" s="2">
        <v>1651164.0170000016</v>
      </c>
      <c r="M179" s="2">
        <v>823619.13699999684</v>
      </c>
      <c r="N179" s="2">
        <v>0</v>
      </c>
      <c r="O179" s="2">
        <v>572206.61900000845</v>
      </c>
    </row>
    <row r="180" spans="1:15" x14ac:dyDescent="0.3">
      <c r="A180" s="6">
        <v>179</v>
      </c>
      <c r="B180" s="6">
        <v>2014</v>
      </c>
      <c r="C180" s="6">
        <v>11</v>
      </c>
      <c r="D180" s="2">
        <v>465863.07799999916</v>
      </c>
      <c r="E180" s="2">
        <v>1480688.9999999963</v>
      </c>
      <c r="F180" s="2">
        <v>1119589.0052008149</v>
      </c>
      <c r="G180" s="2">
        <v>0</v>
      </c>
      <c r="H180" s="2">
        <v>6194359.8293999871</v>
      </c>
      <c r="I180" s="2">
        <v>31037301.658000261</v>
      </c>
      <c r="J180" s="2">
        <v>0</v>
      </c>
      <c r="K180" s="2">
        <v>1400143.7409999997</v>
      </c>
      <c r="L180" s="2">
        <v>1665901.1590000025</v>
      </c>
      <c r="M180" s="2">
        <v>761874.89899999998</v>
      </c>
      <c r="N180" s="2">
        <v>0</v>
      </c>
      <c r="O180" s="2">
        <v>521520.01000000257</v>
      </c>
    </row>
    <row r="181" spans="1:15" x14ac:dyDescent="0.3">
      <c r="A181" s="6">
        <v>180</v>
      </c>
      <c r="B181" s="6">
        <v>2014</v>
      </c>
      <c r="C181" s="6">
        <v>12</v>
      </c>
      <c r="D181" s="2">
        <v>416679.69280000107</v>
      </c>
      <c r="E181" s="2">
        <v>1614109.5547000032</v>
      </c>
      <c r="F181" s="2">
        <v>1193743.1666942108</v>
      </c>
      <c r="G181" s="2">
        <v>0</v>
      </c>
      <c r="H181" s="2">
        <v>6598386.4392999792</v>
      </c>
      <c r="I181" s="2">
        <v>31622416.983000517</v>
      </c>
      <c r="J181" s="2">
        <v>0</v>
      </c>
      <c r="K181" s="2">
        <v>1492417.9400000025</v>
      </c>
      <c r="L181" s="2">
        <v>1575796.0540000121</v>
      </c>
      <c r="M181" s="2">
        <v>703487.52899999369</v>
      </c>
      <c r="N181" s="2">
        <v>0</v>
      </c>
      <c r="O181" s="2">
        <v>629481.62300000666</v>
      </c>
    </row>
    <row r="182" spans="1:15" x14ac:dyDescent="0.3">
      <c r="A182" s="6">
        <v>181</v>
      </c>
      <c r="B182" s="6">
        <v>2015</v>
      </c>
      <c r="C182" s="6">
        <v>1</v>
      </c>
      <c r="D182" s="2">
        <v>161891.78299999994</v>
      </c>
      <c r="E182" s="2">
        <v>1742347.6117000026</v>
      </c>
      <c r="F182" s="2">
        <v>1331756.2422231485</v>
      </c>
      <c r="G182" s="2">
        <v>0</v>
      </c>
      <c r="H182" s="2">
        <v>6389881.1180000203</v>
      </c>
      <c r="I182" s="2">
        <v>36176220.832000203</v>
      </c>
      <c r="J182" s="2">
        <v>0</v>
      </c>
      <c r="K182" s="2">
        <v>1450737.3959999999</v>
      </c>
      <c r="L182" s="2">
        <v>1414640.5280000041</v>
      </c>
      <c r="M182" s="2">
        <v>702396.78599999158</v>
      </c>
      <c r="N182" s="2">
        <v>0</v>
      </c>
      <c r="O182" s="2">
        <v>623507.79100000998</v>
      </c>
    </row>
    <row r="183" spans="1:15" x14ac:dyDescent="0.3">
      <c r="A183" s="6">
        <v>182</v>
      </c>
      <c r="B183" s="6">
        <v>2015</v>
      </c>
      <c r="C183" s="6">
        <v>2</v>
      </c>
      <c r="D183" s="2">
        <v>150876.88290000026</v>
      </c>
      <c r="E183" s="2">
        <v>1423664.2165999948</v>
      </c>
      <c r="F183" s="2">
        <v>1071152.3099770134</v>
      </c>
      <c r="G183" s="2">
        <v>0</v>
      </c>
      <c r="H183" s="2">
        <v>5992585.1281000264</v>
      </c>
      <c r="I183" s="2">
        <v>31818343.412535138</v>
      </c>
      <c r="J183" s="2">
        <v>0</v>
      </c>
      <c r="K183" s="2">
        <v>1145479.9059999997</v>
      </c>
      <c r="L183" s="2">
        <v>1369723.0460000047</v>
      </c>
      <c r="M183" s="2">
        <v>723330.07669995679</v>
      </c>
      <c r="N183" s="2">
        <v>0</v>
      </c>
      <c r="O183" s="2">
        <v>548139.84300000779</v>
      </c>
    </row>
    <row r="184" spans="1:15" x14ac:dyDescent="0.3">
      <c r="A184" s="6">
        <v>183</v>
      </c>
      <c r="B184" s="6">
        <v>2015</v>
      </c>
      <c r="C184" s="6">
        <v>3</v>
      </c>
      <c r="D184" s="2">
        <v>201306.17593256108</v>
      </c>
      <c r="E184" s="2">
        <v>1636541.3868000044</v>
      </c>
      <c r="F184" s="2">
        <v>1002632.4781527288</v>
      </c>
      <c r="G184" s="2">
        <v>0</v>
      </c>
      <c r="H184" s="2">
        <v>6767581.6269999864</v>
      </c>
      <c r="I184" s="2">
        <v>34640203.457415484</v>
      </c>
      <c r="J184" s="2">
        <v>0</v>
      </c>
      <c r="K184" s="2">
        <v>1313713.9059999983</v>
      </c>
      <c r="L184" s="2">
        <v>1441006.3860000046</v>
      </c>
      <c r="M184" s="2">
        <v>853490.03739995498</v>
      </c>
      <c r="N184" s="2">
        <v>0</v>
      </c>
      <c r="O184" s="2">
        <v>477499.07200000872</v>
      </c>
    </row>
    <row r="185" spans="1:15" x14ac:dyDescent="0.3">
      <c r="A185" s="6">
        <v>184</v>
      </c>
      <c r="B185" s="6">
        <v>2015</v>
      </c>
      <c r="C185" s="6">
        <v>4</v>
      </c>
      <c r="D185" s="2">
        <v>441039.18197496043</v>
      </c>
      <c r="E185" s="2">
        <v>1397765.9199999988</v>
      </c>
      <c r="F185" s="2">
        <v>855434.97953985829</v>
      </c>
      <c r="G185" s="2">
        <v>0</v>
      </c>
      <c r="H185" s="2">
        <v>6085209.193999988</v>
      </c>
      <c r="I185" s="2">
        <v>30471585.495011698</v>
      </c>
      <c r="J185" s="2">
        <v>0</v>
      </c>
      <c r="K185" s="2">
        <v>1394916.4589999993</v>
      </c>
      <c r="L185" s="2">
        <v>965442.34000000381</v>
      </c>
      <c r="M185" s="2">
        <v>596436.55100000137</v>
      </c>
      <c r="N185" s="2">
        <v>0</v>
      </c>
      <c r="O185" s="2">
        <v>525029.11400000425</v>
      </c>
    </row>
    <row r="186" spans="1:15" x14ac:dyDescent="0.3">
      <c r="A186" s="6">
        <v>185</v>
      </c>
      <c r="B186" s="6">
        <v>2015</v>
      </c>
      <c r="C186" s="6">
        <v>5</v>
      </c>
      <c r="D186" s="2">
        <v>609220.22470000538</v>
      </c>
      <c r="E186" s="2">
        <v>1312808.8209999993</v>
      </c>
      <c r="F186" s="2">
        <v>1406118.0443688545</v>
      </c>
      <c r="G186" s="2">
        <v>0</v>
      </c>
      <c r="H186" s="2">
        <v>6007335.116000047</v>
      </c>
      <c r="I186" s="2">
        <v>30656858.134000424</v>
      </c>
      <c r="J186" s="2">
        <v>0</v>
      </c>
      <c r="K186" s="2">
        <v>1119677.9919999987</v>
      </c>
      <c r="L186" s="2">
        <v>904520.38100000273</v>
      </c>
      <c r="M186" s="2">
        <v>479722.23299999873</v>
      </c>
      <c r="N186" s="2">
        <v>0</v>
      </c>
      <c r="O186" s="2">
        <v>622836.2300000072</v>
      </c>
    </row>
    <row r="187" spans="1:15" x14ac:dyDescent="0.3">
      <c r="A187" s="6">
        <v>186</v>
      </c>
      <c r="B187" s="6">
        <v>2015</v>
      </c>
      <c r="C187" s="6">
        <v>6</v>
      </c>
      <c r="D187" s="2">
        <v>649459.86229999561</v>
      </c>
      <c r="E187" s="2">
        <v>1431435.6930000014</v>
      </c>
      <c r="F187" s="2">
        <v>1479133.1365298659</v>
      </c>
      <c r="G187" s="2">
        <v>0</v>
      </c>
      <c r="H187" s="2">
        <v>5935237.0727999527</v>
      </c>
      <c r="I187" s="2">
        <v>28017956.963999897</v>
      </c>
      <c r="J187" s="2">
        <v>0</v>
      </c>
      <c r="K187" s="2">
        <v>983899.16300000134</v>
      </c>
      <c r="L187" s="2">
        <v>1048769.1819999972</v>
      </c>
      <c r="M187" s="2">
        <v>729236.08279999555</v>
      </c>
      <c r="N187" s="2">
        <v>0</v>
      </c>
      <c r="O187" s="2">
        <v>589913.48500000837</v>
      </c>
    </row>
    <row r="188" spans="1:15" x14ac:dyDescent="0.3">
      <c r="A188" s="6">
        <v>187</v>
      </c>
      <c r="B188" s="6">
        <v>2015</v>
      </c>
      <c r="C188" s="6">
        <v>7</v>
      </c>
      <c r="D188" s="2">
        <v>673726.43380000046</v>
      </c>
      <c r="E188" s="2">
        <v>1570620.9320000005</v>
      </c>
      <c r="F188" s="2">
        <v>1753742.1106265911</v>
      </c>
      <c r="G188" s="2">
        <v>22.564999999999991</v>
      </c>
      <c r="H188" s="2">
        <v>5214864.0699999984</v>
      </c>
      <c r="I188" s="2">
        <v>30045922.045999743</v>
      </c>
      <c r="J188" s="2">
        <v>0</v>
      </c>
      <c r="K188" s="2">
        <v>1357810.1040000005</v>
      </c>
      <c r="L188" s="2">
        <v>795724.15000000084</v>
      </c>
      <c r="M188" s="2">
        <v>490780.58799999952</v>
      </c>
      <c r="N188" s="2">
        <v>0</v>
      </c>
      <c r="O188" s="2">
        <v>603731.35600000201</v>
      </c>
    </row>
    <row r="189" spans="1:15" x14ac:dyDescent="0.3">
      <c r="A189" s="6">
        <v>188</v>
      </c>
      <c r="B189" s="6">
        <v>2015</v>
      </c>
      <c r="C189" s="6">
        <v>8</v>
      </c>
      <c r="D189" s="2">
        <v>825150.59709999769</v>
      </c>
      <c r="E189" s="2">
        <v>1458210.4790000045</v>
      </c>
      <c r="F189" s="2">
        <v>2338266.1897997819</v>
      </c>
      <c r="G189" s="2">
        <v>1103.6250000000007</v>
      </c>
      <c r="H189" s="2">
        <v>5474000.0101000126</v>
      </c>
      <c r="I189" s="2">
        <v>30091666.686999623</v>
      </c>
      <c r="J189" s="2">
        <v>0</v>
      </c>
      <c r="K189" s="2">
        <v>1357807.4239999978</v>
      </c>
      <c r="L189" s="2">
        <v>873555.75660000078</v>
      </c>
      <c r="M189" s="2">
        <v>319726.1650000001</v>
      </c>
      <c r="N189" s="2">
        <v>0</v>
      </c>
      <c r="O189" s="2">
        <v>622826.39400001022</v>
      </c>
    </row>
    <row r="190" spans="1:15" x14ac:dyDescent="0.3">
      <c r="A190" s="6">
        <v>189</v>
      </c>
      <c r="B190" s="6">
        <v>2015</v>
      </c>
      <c r="C190" s="6">
        <v>9</v>
      </c>
      <c r="D190" s="2">
        <v>763772.69199999247</v>
      </c>
      <c r="E190" s="2">
        <v>1477415.3670000006</v>
      </c>
      <c r="F190" s="2">
        <v>1997899.5816633087</v>
      </c>
      <c r="G190" s="2">
        <v>1464.6479999999992</v>
      </c>
      <c r="H190" s="2">
        <v>6064545.9579999689</v>
      </c>
      <c r="I190" s="2">
        <v>30336602.422999669</v>
      </c>
      <c r="J190" s="2">
        <v>0</v>
      </c>
      <c r="K190" s="2">
        <v>1135074.385</v>
      </c>
      <c r="L190" s="2">
        <v>1000412.8570000046</v>
      </c>
      <c r="M190" s="2">
        <v>181699.44299999956</v>
      </c>
      <c r="N190" s="2">
        <v>0</v>
      </c>
      <c r="O190" s="2">
        <v>588726.25300000794</v>
      </c>
    </row>
    <row r="191" spans="1:15" x14ac:dyDescent="0.3">
      <c r="A191" s="6">
        <v>190</v>
      </c>
      <c r="B191" s="6">
        <v>2015</v>
      </c>
      <c r="C191" s="6">
        <v>10</v>
      </c>
      <c r="D191" s="2">
        <v>767446.92670000135</v>
      </c>
      <c r="E191" s="2">
        <v>1529428.8570000017</v>
      </c>
      <c r="F191" s="2">
        <v>2271079.7661316502</v>
      </c>
      <c r="G191" s="2">
        <v>1733.4610000000002</v>
      </c>
      <c r="H191" s="2">
        <v>5905000.7669999963</v>
      </c>
      <c r="I191" s="2">
        <v>33263427.526999906</v>
      </c>
      <c r="J191" s="2">
        <v>0</v>
      </c>
      <c r="K191" s="2">
        <v>513969.10000000079</v>
      </c>
      <c r="L191" s="2">
        <v>1127177.7769999988</v>
      </c>
      <c r="M191" s="2">
        <v>227103.78199999974</v>
      </c>
      <c r="N191" s="2">
        <v>0</v>
      </c>
      <c r="O191" s="2">
        <v>647933.91500000423</v>
      </c>
    </row>
    <row r="192" spans="1:15" x14ac:dyDescent="0.3">
      <c r="A192" s="6">
        <v>191</v>
      </c>
      <c r="B192" s="6">
        <v>2015</v>
      </c>
      <c r="C192" s="6">
        <v>11</v>
      </c>
      <c r="D192" s="2">
        <v>645708.30070000491</v>
      </c>
      <c r="E192" s="2">
        <v>1388320.5799999954</v>
      </c>
      <c r="F192" s="2">
        <v>1922110.5329413747</v>
      </c>
      <c r="G192" s="2">
        <v>1633.587</v>
      </c>
      <c r="H192" s="2">
        <v>5544442.135000011</v>
      </c>
      <c r="I192" s="2">
        <v>31887600.598999977</v>
      </c>
      <c r="J192" s="2">
        <v>0</v>
      </c>
      <c r="K192" s="2">
        <v>1424576.0359999991</v>
      </c>
      <c r="L192" s="2">
        <v>1037898.8900000001</v>
      </c>
      <c r="M192" s="2">
        <v>288906.87799999921</v>
      </c>
      <c r="N192" s="2">
        <v>0</v>
      </c>
      <c r="O192" s="2">
        <v>625943.69200000761</v>
      </c>
    </row>
    <row r="193" spans="1:15" x14ac:dyDescent="0.3">
      <c r="A193" s="6">
        <v>192</v>
      </c>
      <c r="B193" s="6">
        <v>2015</v>
      </c>
      <c r="C193" s="6">
        <v>12</v>
      </c>
      <c r="D193" s="2">
        <v>461271.08299999766</v>
      </c>
      <c r="E193" s="2">
        <v>1502179.4309999947</v>
      </c>
      <c r="F193" s="2">
        <v>2051324.4939629654</v>
      </c>
      <c r="G193" s="2">
        <v>1485.0179999999975</v>
      </c>
      <c r="H193" s="2">
        <v>5576380.8149999455</v>
      </c>
      <c r="I193" s="2">
        <v>33559347.062999979</v>
      </c>
      <c r="J193" s="2">
        <v>0</v>
      </c>
      <c r="K193" s="2">
        <v>1489977.4129999995</v>
      </c>
      <c r="L193" s="2">
        <v>905506.24500000325</v>
      </c>
      <c r="M193" s="2">
        <v>201492.02200000017</v>
      </c>
      <c r="N193" s="2">
        <v>0</v>
      </c>
      <c r="O193" s="2">
        <v>629716.77300000726</v>
      </c>
    </row>
    <row r="194" spans="1:15" x14ac:dyDescent="0.3">
      <c r="A194" s="6">
        <v>193</v>
      </c>
      <c r="B194" s="6">
        <v>2016</v>
      </c>
      <c r="C194" s="6">
        <v>1</v>
      </c>
      <c r="D194" s="2">
        <v>216255.38960000407</v>
      </c>
      <c r="E194" s="2">
        <v>1274046.8039999949</v>
      </c>
      <c r="F194" s="2">
        <v>1271499.300827971</v>
      </c>
      <c r="G194" s="2">
        <v>1268.7680000000016</v>
      </c>
      <c r="H194" s="2">
        <v>5238329.6210000115</v>
      </c>
      <c r="I194" s="2">
        <v>35425595.295800216</v>
      </c>
      <c r="J194" s="2">
        <v>0</v>
      </c>
      <c r="K194" s="2">
        <v>1490637.8200000017</v>
      </c>
      <c r="L194" s="2">
        <v>897860.65499999735</v>
      </c>
      <c r="M194" s="2">
        <v>152178.10699999967</v>
      </c>
      <c r="N194" s="2">
        <v>0</v>
      </c>
      <c r="O194" s="2">
        <v>570663.36300000735</v>
      </c>
    </row>
    <row r="195" spans="1:15" x14ac:dyDescent="0.3">
      <c r="A195" s="6">
        <v>194</v>
      </c>
      <c r="B195" s="6">
        <v>2016</v>
      </c>
      <c r="C195" s="6">
        <v>2</v>
      </c>
      <c r="D195" s="2">
        <v>240410.22500000653</v>
      </c>
      <c r="E195" s="2">
        <v>1278159.9639999971</v>
      </c>
      <c r="F195" s="2">
        <v>1761776.3029999989</v>
      </c>
      <c r="G195" s="2">
        <v>1526.057</v>
      </c>
      <c r="H195" s="2">
        <v>4154826.2960000159</v>
      </c>
      <c r="I195" s="2">
        <v>36206865.203900367</v>
      </c>
      <c r="J195" s="2">
        <v>0</v>
      </c>
      <c r="K195" s="2">
        <v>1386644.2200000014</v>
      </c>
      <c r="L195" s="2">
        <v>603050.2983999995</v>
      </c>
      <c r="M195" s="2">
        <v>74033.751000000106</v>
      </c>
      <c r="N195" s="2">
        <v>0</v>
      </c>
      <c r="O195" s="2">
        <v>560948.07820000721</v>
      </c>
    </row>
    <row r="196" spans="1:15" x14ac:dyDescent="0.3">
      <c r="A196" s="6">
        <v>195</v>
      </c>
      <c r="B196" s="6">
        <v>2016</v>
      </c>
      <c r="C196" s="6">
        <v>3</v>
      </c>
      <c r="D196" s="2">
        <v>369991.46699999995</v>
      </c>
      <c r="E196" s="2">
        <v>1495710.7690000001</v>
      </c>
      <c r="F196" s="2">
        <v>1915972.0560000101</v>
      </c>
      <c r="G196" s="2">
        <v>1669.3780000000015</v>
      </c>
      <c r="H196" s="2">
        <v>3415422.6239999607</v>
      </c>
      <c r="I196" s="2">
        <v>38663992.196199395</v>
      </c>
      <c r="J196" s="2">
        <v>0</v>
      </c>
      <c r="K196" s="2">
        <v>1485586.7119999996</v>
      </c>
      <c r="L196" s="2">
        <v>375051.42899999942</v>
      </c>
      <c r="M196" s="2">
        <v>44711.225999999995</v>
      </c>
      <c r="N196" s="2">
        <v>0</v>
      </c>
      <c r="O196" s="2">
        <v>616578.03740000597</v>
      </c>
    </row>
    <row r="197" spans="1:15" x14ac:dyDescent="0.3">
      <c r="A197" s="6">
        <v>196</v>
      </c>
      <c r="B197" s="6">
        <v>2016</v>
      </c>
      <c r="C197" s="6">
        <v>4</v>
      </c>
      <c r="D197" s="2">
        <v>627869.54300000076</v>
      </c>
      <c r="E197" s="2">
        <v>1398248.8940000003</v>
      </c>
      <c r="F197" s="2">
        <v>2141772.709999979</v>
      </c>
      <c r="G197" s="2">
        <v>916.9639999999996</v>
      </c>
      <c r="H197" s="2">
        <v>3286751.9724999974</v>
      </c>
      <c r="I197" s="2">
        <v>35913948.976799995</v>
      </c>
      <c r="J197" s="2">
        <v>0</v>
      </c>
      <c r="K197" s="2">
        <v>1427650.834</v>
      </c>
      <c r="L197" s="2">
        <v>571301.0159999968</v>
      </c>
      <c r="M197" s="2">
        <v>73466.657999999923</v>
      </c>
      <c r="N197" s="2">
        <v>0</v>
      </c>
      <c r="O197" s="2">
        <v>617198.68550000747</v>
      </c>
    </row>
    <row r="198" spans="1:15" x14ac:dyDescent="0.3">
      <c r="A198" s="6">
        <v>197</v>
      </c>
      <c r="B198" s="6">
        <v>2016</v>
      </c>
      <c r="C198" s="6">
        <v>5</v>
      </c>
      <c r="D198" s="2">
        <v>759604.37800000142</v>
      </c>
      <c r="E198" s="2">
        <v>1331887.8700000017</v>
      </c>
      <c r="F198" s="2">
        <v>2245325.2420000313</v>
      </c>
      <c r="G198" s="2">
        <v>1154.3719999999989</v>
      </c>
      <c r="H198" s="2">
        <v>2845471.8700000038</v>
      </c>
      <c r="I198" s="2">
        <v>34366565.955999739</v>
      </c>
      <c r="J198" s="2">
        <v>0</v>
      </c>
      <c r="K198" s="2">
        <v>1495324.5060000003</v>
      </c>
      <c r="L198" s="2">
        <v>300207.12999999948</v>
      </c>
      <c r="M198" s="2">
        <v>111297.84640000021</v>
      </c>
      <c r="N198" s="2">
        <v>0</v>
      </c>
      <c r="O198" s="2">
        <v>710721.47300000966</v>
      </c>
    </row>
    <row r="199" spans="1:15" x14ac:dyDescent="0.3">
      <c r="A199" s="6">
        <v>198</v>
      </c>
      <c r="B199" s="6">
        <v>2016</v>
      </c>
      <c r="C199" s="6">
        <v>6</v>
      </c>
      <c r="D199" s="2">
        <v>801574.53799999983</v>
      </c>
      <c r="E199" s="2">
        <v>1586523.2080000015</v>
      </c>
      <c r="F199" s="2">
        <v>2530658.1620000117</v>
      </c>
      <c r="G199" s="2">
        <v>1101.4779999999996</v>
      </c>
      <c r="H199" s="2">
        <v>3015435.0369999995</v>
      </c>
      <c r="I199" s="2">
        <v>32285005.181000099</v>
      </c>
      <c r="J199" s="2">
        <v>0</v>
      </c>
      <c r="K199" s="2">
        <v>1249249.7749999999</v>
      </c>
      <c r="L199" s="2">
        <v>291058.04099999939</v>
      </c>
      <c r="M199" s="2">
        <v>134147.29499999981</v>
      </c>
      <c r="N199" s="2">
        <v>0</v>
      </c>
      <c r="O199" s="2">
        <v>638248.09300000104</v>
      </c>
    </row>
    <row r="200" spans="1:15" x14ac:dyDescent="0.3">
      <c r="A200" s="6">
        <v>199</v>
      </c>
      <c r="B200" s="6">
        <v>2016</v>
      </c>
      <c r="C200" s="6">
        <v>7</v>
      </c>
      <c r="D200" s="2">
        <v>921837.71500000358</v>
      </c>
      <c r="E200" s="2">
        <v>1358793.0690000074</v>
      </c>
      <c r="F200" s="2">
        <v>3098007.0560000171</v>
      </c>
      <c r="G200" s="2">
        <v>1251.4719999999991</v>
      </c>
      <c r="H200" s="2">
        <v>2968751.8499999824</v>
      </c>
      <c r="I200" s="2">
        <v>32915589.752999321</v>
      </c>
      <c r="J200" s="2">
        <v>0</v>
      </c>
      <c r="K200" s="2">
        <v>1143746.0189999994</v>
      </c>
      <c r="L200" s="2">
        <v>155010.76099999878</v>
      </c>
      <c r="M200" s="2">
        <v>152531.68899999998</v>
      </c>
      <c r="N200" s="2">
        <v>0</v>
      </c>
      <c r="O200" s="2">
        <v>747953.58600000967</v>
      </c>
    </row>
    <row r="201" spans="1:15" x14ac:dyDescent="0.3">
      <c r="A201" s="6">
        <v>200</v>
      </c>
      <c r="B201" s="6">
        <v>2016</v>
      </c>
      <c r="C201" s="6">
        <v>8</v>
      </c>
      <c r="D201" s="2">
        <v>873990.225000003</v>
      </c>
      <c r="E201" s="2">
        <v>1279812.979000001</v>
      </c>
      <c r="F201" s="2">
        <v>3164303.1259999871</v>
      </c>
      <c r="G201" s="2">
        <v>1468.0469999999991</v>
      </c>
      <c r="H201" s="2">
        <v>3825695.7409999943</v>
      </c>
      <c r="I201" s="2">
        <v>32579978.777999457</v>
      </c>
      <c r="J201" s="2">
        <v>0</v>
      </c>
      <c r="K201" s="2">
        <v>1480729.2660000022</v>
      </c>
      <c r="L201" s="2">
        <v>286161.29799999995</v>
      </c>
      <c r="M201" s="2">
        <v>159933.84300000049</v>
      </c>
      <c r="N201" s="2">
        <v>0</v>
      </c>
      <c r="O201" s="2">
        <v>816840.40900001046</v>
      </c>
    </row>
    <row r="202" spans="1:15" x14ac:dyDescent="0.3">
      <c r="A202" s="6">
        <v>201</v>
      </c>
      <c r="B202" s="6">
        <v>2016</v>
      </c>
      <c r="C202" s="6">
        <v>9</v>
      </c>
      <c r="D202" s="2">
        <v>883582.38900000043</v>
      </c>
      <c r="E202" s="2">
        <v>1192659.6969999983</v>
      </c>
      <c r="F202" s="2">
        <v>3326525.1399999885</v>
      </c>
      <c r="G202" s="2">
        <v>1570.7799999999993</v>
      </c>
      <c r="H202" s="2">
        <v>4102696.6579999849</v>
      </c>
      <c r="I202" s="2">
        <v>30946698.600000158</v>
      </c>
      <c r="J202" s="2">
        <v>0</v>
      </c>
      <c r="K202" s="2">
        <v>1453430.6510000003</v>
      </c>
      <c r="L202" s="2">
        <v>424792.71400000027</v>
      </c>
      <c r="M202" s="2">
        <v>147580.16799999983</v>
      </c>
      <c r="N202" s="2">
        <v>0</v>
      </c>
      <c r="O202" s="2">
        <v>871646.96600000374</v>
      </c>
    </row>
    <row r="203" spans="1:15" x14ac:dyDescent="0.3">
      <c r="A203" s="6">
        <v>202</v>
      </c>
      <c r="B203" s="6">
        <v>2016</v>
      </c>
      <c r="C203" s="6">
        <v>10</v>
      </c>
      <c r="D203" s="2">
        <v>839737.3311000031</v>
      </c>
      <c r="E203" s="2">
        <v>1026411.7540000019</v>
      </c>
      <c r="F203" s="2">
        <v>3397267.2209999915</v>
      </c>
      <c r="G203" s="2">
        <v>1643.8699999999978</v>
      </c>
      <c r="H203" s="2">
        <v>4677636.5991999237</v>
      </c>
      <c r="I203" s="2">
        <v>32206834.90899951</v>
      </c>
      <c r="J203" s="2">
        <v>0</v>
      </c>
      <c r="K203" s="2">
        <v>1495237.0850000021</v>
      </c>
      <c r="L203" s="2">
        <v>576253.35000000033</v>
      </c>
      <c r="M203" s="2">
        <v>109170.6019999998</v>
      </c>
      <c r="N203" s="2">
        <v>0</v>
      </c>
      <c r="O203" s="2">
        <v>789849.50700001186</v>
      </c>
    </row>
    <row r="204" spans="1:15" x14ac:dyDescent="0.3">
      <c r="A204" s="6">
        <v>203</v>
      </c>
      <c r="B204" s="6">
        <v>2016</v>
      </c>
      <c r="C204" s="6">
        <v>11</v>
      </c>
      <c r="D204" s="2">
        <v>691711.56960000133</v>
      </c>
      <c r="E204" s="2">
        <v>1320559.4570000048</v>
      </c>
      <c r="F204" s="2">
        <v>3070170.8999999533</v>
      </c>
      <c r="G204" s="2">
        <v>1552.932</v>
      </c>
      <c r="H204" s="2">
        <v>4705705.336000016</v>
      </c>
      <c r="I204" s="2">
        <v>32083386.497999907</v>
      </c>
      <c r="J204" s="2">
        <v>0</v>
      </c>
      <c r="K204" s="2">
        <v>864515.68200000154</v>
      </c>
      <c r="L204" s="2">
        <v>459415.96699999954</v>
      </c>
      <c r="M204" s="2">
        <v>95851.349900000016</v>
      </c>
      <c r="N204" s="2">
        <v>0</v>
      </c>
      <c r="O204" s="2">
        <v>857549.99500001036</v>
      </c>
    </row>
    <row r="205" spans="1:15" x14ac:dyDescent="0.3">
      <c r="A205" s="6">
        <v>204</v>
      </c>
      <c r="B205" s="6">
        <v>2016</v>
      </c>
      <c r="C205" s="6">
        <v>12</v>
      </c>
      <c r="D205" s="2">
        <v>442651.15770000045</v>
      </c>
      <c r="E205" s="2">
        <v>1084583.8389999976</v>
      </c>
      <c r="F205" s="2">
        <v>2808149.8940000031</v>
      </c>
      <c r="G205" s="2">
        <v>1393.1109999999987</v>
      </c>
      <c r="H205" s="2">
        <v>3512475.1489999867</v>
      </c>
      <c r="I205" s="2">
        <v>36408289.651999399</v>
      </c>
      <c r="J205" s="2">
        <v>0</v>
      </c>
      <c r="K205" s="2">
        <v>881850.18299999915</v>
      </c>
      <c r="L205" s="2">
        <v>347957.05999999808</v>
      </c>
      <c r="M205" s="2">
        <v>68585.822999999975</v>
      </c>
      <c r="N205" s="2">
        <v>0</v>
      </c>
      <c r="O205" s="2">
        <v>853644.05400001071</v>
      </c>
    </row>
    <row r="206" spans="1:15" x14ac:dyDescent="0.3">
      <c r="A206" s="6">
        <v>205</v>
      </c>
      <c r="B206" s="6">
        <v>2017</v>
      </c>
      <c r="C206" s="6">
        <v>1</v>
      </c>
      <c r="D206" s="2">
        <v>310281.44210000092</v>
      </c>
      <c r="E206" s="2">
        <v>885632.36799999955</v>
      </c>
      <c r="F206" s="2">
        <v>2653640.2590000127</v>
      </c>
      <c r="G206" s="2">
        <v>1570.1589999999983</v>
      </c>
      <c r="H206" s="2">
        <v>3298953.1800000011</v>
      </c>
      <c r="I206" s="2">
        <v>39694679.093999386</v>
      </c>
      <c r="J206" s="2">
        <v>0</v>
      </c>
      <c r="K206" s="2">
        <v>1440333.3589999978</v>
      </c>
      <c r="L206" s="2">
        <v>354184.99999999977</v>
      </c>
      <c r="M206" s="2">
        <v>30958.737999999983</v>
      </c>
      <c r="N206" s="2">
        <v>0</v>
      </c>
      <c r="O206" s="2">
        <v>883407.06000000658</v>
      </c>
    </row>
    <row r="207" spans="1:15" x14ac:dyDescent="0.3">
      <c r="A207" s="6">
        <v>206</v>
      </c>
      <c r="B207" s="6">
        <v>2017</v>
      </c>
      <c r="C207" s="6">
        <v>2</v>
      </c>
      <c r="D207" s="2">
        <v>255800.07699999987</v>
      </c>
      <c r="E207" s="2">
        <v>905462.26399999717</v>
      </c>
      <c r="F207" s="2">
        <v>2046555.20000001</v>
      </c>
      <c r="G207" s="2">
        <v>1355.8439999999989</v>
      </c>
      <c r="H207" s="2">
        <v>2782769.2809999869</v>
      </c>
      <c r="I207" s="2">
        <v>37667837.044999719</v>
      </c>
      <c r="J207" s="2">
        <v>0</v>
      </c>
      <c r="K207" s="2">
        <v>1198019.8610000005</v>
      </c>
      <c r="L207" s="2">
        <v>268789.39159999794</v>
      </c>
      <c r="M207" s="2">
        <v>28719.631000000008</v>
      </c>
      <c r="N207" s="2">
        <v>0</v>
      </c>
      <c r="O207" s="2">
        <v>746068.01799999794</v>
      </c>
    </row>
    <row r="208" spans="1:15" x14ac:dyDescent="0.3">
      <c r="A208" s="6">
        <v>207</v>
      </c>
      <c r="B208" s="6">
        <v>2017</v>
      </c>
      <c r="C208" s="6">
        <v>3</v>
      </c>
      <c r="D208" s="2">
        <v>382885.98200000095</v>
      </c>
      <c r="E208" s="2">
        <v>1255605.3400000026</v>
      </c>
      <c r="F208" s="2">
        <v>1945945.5760000059</v>
      </c>
      <c r="G208" s="2">
        <v>1186.2869999999991</v>
      </c>
      <c r="H208" s="2">
        <v>3645238.9459999846</v>
      </c>
      <c r="I208" s="2">
        <v>39999189.908999085</v>
      </c>
      <c r="J208" s="2">
        <v>0</v>
      </c>
      <c r="K208" s="2">
        <v>1321151.6710000001</v>
      </c>
      <c r="L208" s="2">
        <v>572005.0899999995</v>
      </c>
      <c r="M208" s="2">
        <v>88450.194000000018</v>
      </c>
      <c r="N208" s="2">
        <v>0</v>
      </c>
      <c r="O208" s="2">
        <v>812423.79500000051</v>
      </c>
    </row>
    <row r="209" spans="1:15" x14ac:dyDescent="0.3">
      <c r="A209" s="6">
        <v>208</v>
      </c>
      <c r="B209" s="6">
        <v>2017</v>
      </c>
      <c r="C209" s="6">
        <v>4</v>
      </c>
      <c r="D209" s="2">
        <v>615953.93300000275</v>
      </c>
      <c r="E209" s="2">
        <v>1168416.4309999973</v>
      </c>
      <c r="F209" s="2">
        <v>2442842.0460000052</v>
      </c>
      <c r="G209" s="2">
        <v>1168.7639999999997</v>
      </c>
      <c r="H209" s="2">
        <v>4250872.9089999944</v>
      </c>
      <c r="I209" s="2">
        <v>33339003.077999711</v>
      </c>
      <c r="J209" s="2">
        <v>0</v>
      </c>
      <c r="K209" s="2">
        <v>1438724.0120000015</v>
      </c>
      <c r="L209" s="2">
        <v>227686.77500000017</v>
      </c>
      <c r="M209" s="2">
        <v>148030.25299999997</v>
      </c>
      <c r="N209" s="2">
        <v>0</v>
      </c>
      <c r="O209" s="2">
        <v>928525.04299999692</v>
      </c>
    </row>
    <row r="210" spans="1:15" x14ac:dyDescent="0.3">
      <c r="A210" s="6">
        <v>209</v>
      </c>
      <c r="B210" s="6">
        <v>2017</v>
      </c>
      <c r="C210" s="6">
        <v>5</v>
      </c>
      <c r="D210" s="2">
        <v>797702.5100000021</v>
      </c>
      <c r="E210" s="2">
        <v>1271849.5649999988</v>
      </c>
      <c r="F210" s="2">
        <v>2617865.3209999786</v>
      </c>
      <c r="G210" s="2">
        <v>5798.2050000000081</v>
      </c>
      <c r="H210" s="2">
        <v>4259515.593899996</v>
      </c>
      <c r="I210" s="2">
        <v>33303840.67200033</v>
      </c>
      <c r="J210" s="2">
        <v>0</v>
      </c>
      <c r="K210" s="2">
        <v>1417330.764</v>
      </c>
      <c r="L210" s="2">
        <v>244637.95499999897</v>
      </c>
      <c r="M210" s="2">
        <v>174774.32499999905</v>
      </c>
      <c r="N210" s="2">
        <v>0</v>
      </c>
      <c r="O210" s="2">
        <v>921154.25199999905</v>
      </c>
    </row>
    <row r="211" spans="1:15" x14ac:dyDescent="0.3">
      <c r="A211" s="6">
        <v>210</v>
      </c>
      <c r="B211" s="6">
        <v>2017</v>
      </c>
      <c r="C211" s="6">
        <v>6</v>
      </c>
      <c r="D211" s="2">
        <v>922094.15099999798</v>
      </c>
      <c r="E211" s="2">
        <v>1042351.1059999993</v>
      </c>
      <c r="F211" s="2">
        <v>3206029.5949999951</v>
      </c>
      <c r="G211" s="2">
        <v>25368.946999999978</v>
      </c>
      <c r="H211" s="2">
        <v>3141772.4539999953</v>
      </c>
      <c r="I211" s="2">
        <v>32076425.542000398</v>
      </c>
      <c r="J211" s="2">
        <v>0</v>
      </c>
      <c r="K211" s="2">
        <v>1258782.3370000001</v>
      </c>
      <c r="L211" s="2">
        <v>209463.85099999997</v>
      </c>
      <c r="M211" s="2">
        <v>162276.73500000007</v>
      </c>
      <c r="N211" s="2">
        <v>0</v>
      </c>
      <c r="O211" s="2">
        <v>854216.89300000016</v>
      </c>
    </row>
    <row r="212" spans="1:15" x14ac:dyDescent="0.3">
      <c r="A212" s="6">
        <v>211</v>
      </c>
      <c r="B212" s="6">
        <v>2017</v>
      </c>
      <c r="C212" s="6">
        <v>7</v>
      </c>
      <c r="D212" s="2">
        <v>1099648.9210000047</v>
      </c>
      <c r="E212" s="2">
        <v>1186344.2600000021</v>
      </c>
      <c r="F212" s="2">
        <v>3931844.7940000333</v>
      </c>
      <c r="G212" s="2">
        <v>38936.345999999925</v>
      </c>
      <c r="H212" s="2">
        <v>4907969.2660000017</v>
      </c>
      <c r="I212" s="2">
        <v>29081194.435999107</v>
      </c>
      <c r="J212" s="2">
        <v>0</v>
      </c>
      <c r="K212" s="2">
        <v>1423363.2959999987</v>
      </c>
      <c r="L212" s="2">
        <v>184422.13099999991</v>
      </c>
      <c r="M212" s="2">
        <v>197152.63899999924</v>
      </c>
      <c r="N212" s="2">
        <v>0</v>
      </c>
      <c r="O212" s="2">
        <v>878439.08700000064</v>
      </c>
    </row>
    <row r="213" spans="1:15" x14ac:dyDescent="0.3">
      <c r="A213" s="6">
        <v>212</v>
      </c>
      <c r="B213" s="6">
        <v>2017</v>
      </c>
      <c r="C213" s="6">
        <v>8</v>
      </c>
      <c r="D213" s="2">
        <v>998890.73099999339</v>
      </c>
      <c r="E213" s="2">
        <v>1365853.7740000028</v>
      </c>
      <c r="F213" s="2">
        <v>4171559.2460000245</v>
      </c>
      <c r="G213" s="2">
        <v>51745.913000000059</v>
      </c>
      <c r="H213" s="2">
        <v>6021494.4760000082</v>
      </c>
      <c r="I213" s="2">
        <v>28066921.540000279</v>
      </c>
      <c r="J213" s="2">
        <v>0</v>
      </c>
      <c r="K213" s="2">
        <v>1278483.2569999984</v>
      </c>
      <c r="L213" s="2">
        <v>1121331.4189999914</v>
      </c>
      <c r="M213" s="2">
        <v>332529.35889999988</v>
      </c>
      <c r="N213" s="2">
        <v>0</v>
      </c>
      <c r="O213" s="2">
        <v>861172.54700000072</v>
      </c>
    </row>
    <row r="214" spans="1:15" x14ac:dyDescent="0.3">
      <c r="A214" s="6">
        <v>213</v>
      </c>
      <c r="B214" s="6">
        <v>2017</v>
      </c>
      <c r="C214" s="6">
        <v>9</v>
      </c>
      <c r="D214" s="2">
        <v>1075432.1749999996</v>
      </c>
      <c r="E214" s="2">
        <v>1281611.0820000023</v>
      </c>
      <c r="F214" s="2">
        <v>4822111.5970000066</v>
      </c>
      <c r="G214" s="2">
        <v>66592.093999999954</v>
      </c>
      <c r="H214" s="2">
        <v>5688282.9400000069</v>
      </c>
      <c r="I214" s="2">
        <v>27872051.865000021</v>
      </c>
      <c r="J214" s="2">
        <v>0</v>
      </c>
      <c r="K214" s="2">
        <v>979670.19900000037</v>
      </c>
      <c r="L214" s="2">
        <v>1125612.0007999991</v>
      </c>
      <c r="M214" s="2">
        <v>344592.81599999964</v>
      </c>
      <c r="N214" s="2">
        <v>0</v>
      </c>
      <c r="O214" s="2">
        <v>920823.28000000073</v>
      </c>
    </row>
    <row r="215" spans="1:15" x14ac:dyDescent="0.3">
      <c r="A215" s="6">
        <v>214</v>
      </c>
      <c r="B215" s="6">
        <v>2017</v>
      </c>
      <c r="C215" s="6">
        <v>10</v>
      </c>
      <c r="D215" s="2">
        <v>963168.56700000365</v>
      </c>
      <c r="E215" s="2">
        <v>1601205.7550000027</v>
      </c>
      <c r="F215" s="2">
        <v>4665886.1280000061</v>
      </c>
      <c r="G215" s="2">
        <v>136056.03200000018</v>
      </c>
      <c r="H215" s="2">
        <v>6104037.3099999987</v>
      </c>
      <c r="I215" s="2">
        <v>29237131.40799937</v>
      </c>
      <c r="J215" s="2">
        <v>0</v>
      </c>
      <c r="K215" s="2">
        <v>1186051.0300000005</v>
      </c>
      <c r="L215" s="2">
        <v>1262494.2360000035</v>
      </c>
      <c r="M215" s="2">
        <v>404327.20999999979</v>
      </c>
      <c r="N215" s="2">
        <v>0</v>
      </c>
      <c r="O215" s="2">
        <v>934155.33200000145</v>
      </c>
    </row>
    <row r="216" spans="1:15" x14ac:dyDescent="0.3">
      <c r="A216" s="6">
        <v>215</v>
      </c>
      <c r="B216" s="6">
        <v>2017</v>
      </c>
      <c r="C216" s="6">
        <v>11</v>
      </c>
      <c r="D216" s="2">
        <v>833199.7059999929</v>
      </c>
      <c r="E216" s="2">
        <v>1545040.8479999986</v>
      </c>
      <c r="F216" s="2">
        <v>3764858.496999986</v>
      </c>
      <c r="G216" s="2">
        <v>121813.14699999998</v>
      </c>
      <c r="H216" s="2">
        <v>5554281.7989999857</v>
      </c>
      <c r="I216" s="2">
        <v>29620327.665999606</v>
      </c>
      <c r="J216" s="2">
        <v>0</v>
      </c>
      <c r="K216" s="2">
        <v>1443088.4939999986</v>
      </c>
      <c r="L216" s="2">
        <v>790739.74899999751</v>
      </c>
      <c r="M216" s="2">
        <v>260945.98099999945</v>
      </c>
      <c r="N216" s="2">
        <v>0</v>
      </c>
      <c r="O216" s="2">
        <v>897722.99000000418</v>
      </c>
    </row>
    <row r="217" spans="1:15" x14ac:dyDescent="0.3">
      <c r="A217" s="6">
        <v>216</v>
      </c>
      <c r="B217" s="6">
        <v>2017</v>
      </c>
      <c r="C217" s="6">
        <v>12</v>
      </c>
      <c r="D217" s="2">
        <v>546922.89100000099</v>
      </c>
      <c r="E217" s="2">
        <v>1444047.8609999996</v>
      </c>
      <c r="F217" s="2">
        <v>3531331.5180000048</v>
      </c>
      <c r="G217" s="2">
        <v>142918.82400000008</v>
      </c>
      <c r="H217" s="2">
        <v>5119168.9710000278</v>
      </c>
      <c r="I217" s="2">
        <v>34236589.252000138</v>
      </c>
      <c r="J217" s="2">
        <v>0</v>
      </c>
      <c r="K217" s="2">
        <v>1346068.4939999995</v>
      </c>
      <c r="L217" s="2">
        <v>157439.27880000038</v>
      </c>
      <c r="M217" s="2">
        <v>107566.91199999981</v>
      </c>
      <c r="N217" s="2">
        <v>0</v>
      </c>
      <c r="O217" s="2">
        <v>912857.31899999885</v>
      </c>
    </row>
    <row r="218" spans="1:15" x14ac:dyDescent="0.3">
      <c r="A218" s="6">
        <v>217</v>
      </c>
      <c r="B218" s="6">
        <v>2018</v>
      </c>
      <c r="C218" s="6">
        <v>1</v>
      </c>
      <c r="D218" s="2">
        <v>273775.63899999915</v>
      </c>
      <c r="E218" s="2">
        <v>1038377.0570000003</v>
      </c>
      <c r="F218" s="2">
        <v>3268030.4830000266</v>
      </c>
      <c r="G218" s="2">
        <v>164410.117</v>
      </c>
      <c r="H218" s="2">
        <v>3798454.2413999923</v>
      </c>
      <c r="I218" s="2">
        <v>38334532.86800018</v>
      </c>
      <c r="J218" s="2">
        <v>0</v>
      </c>
      <c r="K218" s="2">
        <v>1399645.7540000011</v>
      </c>
      <c r="L218" s="2">
        <v>180941.49099999847</v>
      </c>
      <c r="M218" s="2">
        <v>100897.6209999999</v>
      </c>
      <c r="N218" s="2">
        <v>0</v>
      </c>
      <c r="O218" s="2">
        <v>940533.43399999372</v>
      </c>
    </row>
    <row r="219" spans="1:15" x14ac:dyDescent="0.3">
      <c r="A219" s="6">
        <v>218</v>
      </c>
      <c r="B219" s="6">
        <v>2018</v>
      </c>
      <c r="C219" s="6">
        <v>2</v>
      </c>
      <c r="D219" s="2">
        <v>266174.24099999957</v>
      </c>
      <c r="E219" s="2">
        <v>1013561.3690000023</v>
      </c>
      <c r="F219" s="2">
        <v>2041527.2480000092</v>
      </c>
      <c r="G219" s="2">
        <v>147145.74300000016</v>
      </c>
      <c r="H219" s="2">
        <v>3014939.6240000124</v>
      </c>
      <c r="I219" s="2">
        <v>36125593.893000543</v>
      </c>
      <c r="J219" s="2">
        <v>0</v>
      </c>
      <c r="K219" s="2">
        <v>824962.28799999878</v>
      </c>
      <c r="L219" s="2">
        <v>245424.5089999999</v>
      </c>
      <c r="M219" s="2">
        <v>78840.941000000035</v>
      </c>
      <c r="N219" s="2">
        <v>0</v>
      </c>
      <c r="O219" s="2">
        <v>841655.22199999902</v>
      </c>
    </row>
    <row r="220" spans="1:15" x14ac:dyDescent="0.3">
      <c r="A220" s="6">
        <v>219</v>
      </c>
      <c r="B220" s="6">
        <v>2018</v>
      </c>
      <c r="C220" s="6">
        <v>3</v>
      </c>
      <c r="D220" s="2">
        <v>431384.7820000035</v>
      </c>
      <c r="E220" s="2">
        <v>1276595.6419999986</v>
      </c>
      <c r="F220" s="2">
        <v>2168220.0759999938</v>
      </c>
      <c r="G220" s="2">
        <v>184505.05200000032</v>
      </c>
      <c r="H220" s="2">
        <v>3239540.2489999905</v>
      </c>
      <c r="I220" s="2">
        <v>41094961.770999312</v>
      </c>
      <c r="J220" s="2">
        <v>0</v>
      </c>
      <c r="K220" s="2">
        <v>855947.82700000016</v>
      </c>
      <c r="L220" s="2">
        <v>457997.43499999936</v>
      </c>
      <c r="M220" s="2">
        <v>118837.2900000002</v>
      </c>
      <c r="N220" s="2">
        <v>0</v>
      </c>
      <c r="O220" s="2">
        <v>804459.1049999987</v>
      </c>
    </row>
    <row r="221" spans="1:15" x14ac:dyDescent="0.3">
      <c r="A221" s="6">
        <v>220</v>
      </c>
      <c r="B221" s="6">
        <v>2018</v>
      </c>
      <c r="C221" s="6">
        <v>4</v>
      </c>
      <c r="D221" s="2">
        <v>767441.36699999566</v>
      </c>
      <c r="E221" s="2">
        <v>887787.69200000004</v>
      </c>
      <c r="F221" s="2">
        <v>2590857.6090000668</v>
      </c>
      <c r="G221" s="2">
        <v>183242.54100000075</v>
      </c>
      <c r="H221" s="2">
        <v>2531537.500999995</v>
      </c>
      <c r="I221" s="2">
        <v>36488995.359000258</v>
      </c>
      <c r="J221" s="2">
        <v>0</v>
      </c>
      <c r="K221" s="2">
        <v>1423812.6440000015</v>
      </c>
      <c r="L221" s="2">
        <v>209240.78399999966</v>
      </c>
      <c r="M221" s="2">
        <v>119562.87100000019</v>
      </c>
      <c r="N221" s="2">
        <v>0</v>
      </c>
      <c r="O221" s="2">
        <v>809440.19400000689</v>
      </c>
    </row>
    <row r="222" spans="1:15" x14ac:dyDescent="0.3">
      <c r="A222" s="6">
        <v>221</v>
      </c>
      <c r="B222" s="6">
        <v>2018</v>
      </c>
      <c r="C222" s="6">
        <v>5</v>
      </c>
      <c r="D222" s="2">
        <v>861334.40899998508</v>
      </c>
      <c r="E222" s="2">
        <v>982387.16500000143</v>
      </c>
      <c r="F222" s="2">
        <v>3572644.9399999944</v>
      </c>
      <c r="G222" s="2">
        <v>214111.31500000041</v>
      </c>
      <c r="H222" s="2">
        <v>3014974.8400000017</v>
      </c>
      <c r="I222" s="2">
        <v>33466222.412999224</v>
      </c>
      <c r="J222" s="2">
        <v>0</v>
      </c>
      <c r="K222" s="2">
        <v>1494958.8609999975</v>
      </c>
      <c r="L222" s="2">
        <v>40203.92000000002</v>
      </c>
      <c r="M222" s="2">
        <v>129069.34199999986</v>
      </c>
      <c r="N222" s="2">
        <v>0</v>
      </c>
      <c r="O222" s="2">
        <v>827595.80299999798</v>
      </c>
    </row>
    <row r="223" spans="1:15" x14ac:dyDescent="0.3">
      <c r="A223" s="6">
        <v>222</v>
      </c>
      <c r="B223" s="6">
        <v>2018</v>
      </c>
      <c r="C223" s="6">
        <v>6</v>
      </c>
      <c r="D223" s="2">
        <v>1009828.2129999956</v>
      </c>
      <c r="E223" s="2">
        <v>1212139.9749999999</v>
      </c>
      <c r="F223" s="2">
        <v>4159298.7789999871</v>
      </c>
      <c r="G223" s="2">
        <v>214523.92499999976</v>
      </c>
      <c r="H223" s="2">
        <v>4514146.9040000048</v>
      </c>
      <c r="I223" s="2">
        <v>29179700.20000007</v>
      </c>
      <c r="J223" s="2">
        <v>0</v>
      </c>
      <c r="K223" s="2">
        <v>1446429.5709999998</v>
      </c>
      <c r="L223" s="2">
        <v>8622.1799999999985</v>
      </c>
      <c r="M223" s="2">
        <v>202579.58500000008</v>
      </c>
      <c r="N223" s="2">
        <v>0</v>
      </c>
      <c r="O223" s="2">
        <v>880028.74100001145</v>
      </c>
    </row>
    <row r="224" spans="1:15" x14ac:dyDescent="0.3">
      <c r="A224" s="6">
        <v>223</v>
      </c>
      <c r="B224" s="6">
        <v>2018</v>
      </c>
      <c r="C224" s="6">
        <v>7</v>
      </c>
      <c r="D224" s="2">
        <v>1101080.5359999856</v>
      </c>
      <c r="E224" s="2">
        <v>1532540.5240000009</v>
      </c>
      <c r="F224" s="2">
        <v>4840415.664999987</v>
      </c>
      <c r="G224" s="2">
        <v>245409.26999999984</v>
      </c>
      <c r="H224" s="2">
        <v>4897110.1579999328</v>
      </c>
      <c r="I224" s="2">
        <v>28758310.317999952</v>
      </c>
      <c r="J224" s="2">
        <v>0</v>
      </c>
      <c r="K224" s="2">
        <v>1493342.8010000014</v>
      </c>
      <c r="L224" s="2">
        <v>176838.28000000003</v>
      </c>
      <c r="M224" s="2">
        <v>312211.75599999999</v>
      </c>
      <c r="N224" s="2">
        <v>0</v>
      </c>
      <c r="O224" s="2">
        <v>908180.58200000133</v>
      </c>
    </row>
    <row r="225" spans="1:15" x14ac:dyDescent="0.3">
      <c r="A225" s="6">
        <v>224</v>
      </c>
      <c r="B225" s="6">
        <v>2018</v>
      </c>
      <c r="C225" s="6">
        <v>8</v>
      </c>
      <c r="D225" s="2">
        <v>997660.4509999922</v>
      </c>
      <c r="E225" s="2">
        <v>1527508.2530000054</v>
      </c>
      <c r="F225" s="2">
        <v>4966604.4270000048</v>
      </c>
      <c r="G225" s="2">
        <v>240317.06899999973</v>
      </c>
      <c r="H225" s="2">
        <v>4352847.9449999304</v>
      </c>
      <c r="I225" s="2">
        <v>28956734.865000106</v>
      </c>
      <c r="J225" s="2">
        <v>0</v>
      </c>
      <c r="K225" s="2">
        <v>1504327.7080000003</v>
      </c>
      <c r="L225" s="2">
        <v>1063502.4069999997</v>
      </c>
      <c r="M225" s="2">
        <v>340220.45800000057</v>
      </c>
      <c r="N225" s="2">
        <v>0</v>
      </c>
      <c r="O225" s="2">
        <v>912851.4130000018</v>
      </c>
    </row>
    <row r="226" spans="1:15" x14ac:dyDescent="0.3">
      <c r="A226" s="6">
        <v>225</v>
      </c>
      <c r="B226" s="6">
        <v>2018</v>
      </c>
      <c r="C226" s="6">
        <v>9</v>
      </c>
      <c r="D226" s="2">
        <v>895225.69400000584</v>
      </c>
      <c r="E226" s="2">
        <v>1202489.9899999998</v>
      </c>
      <c r="F226" s="2">
        <v>5253123.8850000035</v>
      </c>
      <c r="G226" s="2">
        <v>270750.60099999985</v>
      </c>
      <c r="H226" s="2">
        <v>5296354.4370000418</v>
      </c>
      <c r="I226" s="2">
        <v>27641604.23299982</v>
      </c>
      <c r="J226" s="2">
        <v>0</v>
      </c>
      <c r="K226" s="2">
        <v>1448836.7590000024</v>
      </c>
      <c r="L226" s="2">
        <v>747152.0699999982</v>
      </c>
      <c r="M226" s="2">
        <v>289249.24300000013</v>
      </c>
      <c r="N226" s="2">
        <v>0</v>
      </c>
      <c r="O226" s="2">
        <v>943248.76800000039</v>
      </c>
    </row>
    <row r="227" spans="1:15" x14ac:dyDescent="0.3">
      <c r="A227" s="6">
        <v>226</v>
      </c>
      <c r="B227" s="6">
        <v>2018</v>
      </c>
      <c r="C227" s="6">
        <v>10</v>
      </c>
      <c r="D227" s="2">
        <v>806709.97099999862</v>
      </c>
      <c r="E227" s="2">
        <v>1108277.2950000016</v>
      </c>
      <c r="F227" s="2">
        <v>4519505.5919999704</v>
      </c>
      <c r="G227" s="2">
        <v>260852.93099999963</v>
      </c>
      <c r="H227" s="2">
        <v>4339413.5700000441</v>
      </c>
      <c r="I227" s="2">
        <v>33567229.040999196</v>
      </c>
      <c r="J227" s="2">
        <v>0</v>
      </c>
      <c r="K227" s="2">
        <v>1407384.9819999994</v>
      </c>
      <c r="L227" s="2">
        <v>174672.05499999982</v>
      </c>
      <c r="M227" s="2">
        <v>148460.46800000023</v>
      </c>
      <c r="N227" s="2">
        <v>0</v>
      </c>
      <c r="O227" s="2">
        <v>871230.2560000004</v>
      </c>
    </row>
    <row r="228" spans="1:15" x14ac:dyDescent="0.3">
      <c r="A228" s="6">
        <v>227</v>
      </c>
      <c r="B228" s="6">
        <v>2018</v>
      </c>
      <c r="C228" s="6">
        <v>11</v>
      </c>
      <c r="D228" s="2">
        <v>710523.13699999987</v>
      </c>
      <c r="E228" s="2">
        <v>416884.64099999942</v>
      </c>
      <c r="F228" s="2">
        <v>4881572.4150000457</v>
      </c>
      <c r="G228" s="2">
        <v>245309.11399999974</v>
      </c>
      <c r="H228" s="2">
        <v>2079822.7350000169</v>
      </c>
      <c r="I228" s="2">
        <v>35501562.147999756</v>
      </c>
      <c r="J228" s="2">
        <v>0</v>
      </c>
      <c r="K228" s="2">
        <v>982467.25299999956</v>
      </c>
      <c r="L228" s="2">
        <v>118247.74599999961</v>
      </c>
      <c r="M228" s="2">
        <v>135047.83900000001</v>
      </c>
      <c r="N228" s="2">
        <v>0</v>
      </c>
      <c r="O228" s="2">
        <v>860043.52299999376</v>
      </c>
    </row>
    <row r="229" spans="1:15" x14ac:dyDescent="0.3">
      <c r="A229" s="6">
        <v>228</v>
      </c>
      <c r="B229" s="6">
        <v>2018</v>
      </c>
      <c r="C229" s="6">
        <v>12</v>
      </c>
      <c r="D229" s="2">
        <v>503116.45999999926</v>
      </c>
      <c r="E229" s="2">
        <v>525119.08000000066</v>
      </c>
      <c r="F229" s="2">
        <v>3564527.0030000038</v>
      </c>
      <c r="G229" s="2">
        <v>299494.34499999945</v>
      </c>
      <c r="H229" s="2">
        <v>1704217.598</v>
      </c>
      <c r="I229" s="2">
        <v>39289902.590999164</v>
      </c>
      <c r="J229" s="2">
        <v>0</v>
      </c>
      <c r="K229" s="2">
        <v>1391964.5760000006</v>
      </c>
      <c r="L229" s="2">
        <v>234958.96600000004</v>
      </c>
      <c r="M229" s="2">
        <v>162174.37200000021</v>
      </c>
      <c r="N229" s="2">
        <v>0</v>
      </c>
      <c r="O229" s="2">
        <v>861594.17400000547</v>
      </c>
    </row>
    <row r="230" spans="1:15" x14ac:dyDescent="0.3">
      <c r="A230" s="6">
        <v>229</v>
      </c>
      <c r="B230" s="6">
        <v>2019</v>
      </c>
      <c r="C230" s="6">
        <v>1</v>
      </c>
      <c r="D230" s="2">
        <v>259112.17900000047</v>
      </c>
      <c r="E230" s="2">
        <v>447932.85700000095</v>
      </c>
      <c r="F230" s="2">
        <v>4145511.2730000289</v>
      </c>
      <c r="G230" s="2">
        <v>358376.12700000091</v>
      </c>
      <c r="H230" s="2">
        <v>2584958.1789999846</v>
      </c>
      <c r="I230" s="2">
        <v>42639561.995999612</v>
      </c>
      <c r="J230" s="2">
        <v>0</v>
      </c>
      <c r="K230" s="2">
        <v>1417962.173999998</v>
      </c>
      <c r="L230" s="2">
        <v>124687.6730000002</v>
      </c>
      <c r="M230" s="2">
        <v>96432.679000000207</v>
      </c>
      <c r="N230" s="2">
        <v>0</v>
      </c>
      <c r="O230" s="2">
        <v>825202.8459999992</v>
      </c>
    </row>
    <row r="231" spans="1:15" x14ac:dyDescent="0.3">
      <c r="A231" s="6">
        <v>230</v>
      </c>
      <c r="B231" s="6">
        <v>2019</v>
      </c>
      <c r="C231" s="6">
        <v>2</v>
      </c>
      <c r="D231" s="2">
        <v>269326.76400000061</v>
      </c>
      <c r="E231" s="2">
        <v>906374.20500000066</v>
      </c>
      <c r="F231" s="2">
        <v>2175544.7340000081</v>
      </c>
      <c r="G231" s="2">
        <v>291953.92699999962</v>
      </c>
      <c r="H231" s="2">
        <v>3868918.5160000008</v>
      </c>
      <c r="I231" s="2">
        <v>36806011.822999574</v>
      </c>
      <c r="J231" s="2">
        <v>0</v>
      </c>
      <c r="K231" s="2">
        <v>1337455.1649999998</v>
      </c>
      <c r="L231" s="2">
        <v>290347.27900000039</v>
      </c>
      <c r="M231" s="2">
        <v>179494.74599999993</v>
      </c>
      <c r="N231" s="2">
        <v>0</v>
      </c>
      <c r="O231" s="2">
        <v>647869.22300000896</v>
      </c>
    </row>
    <row r="232" spans="1:15" x14ac:dyDescent="0.3">
      <c r="A232" s="6">
        <v>231</v>
      </c>
      <c r="B232" s="6">
        <v>2019</v>
      </c>
      <c r="C232" s="6">
        <v>3</v>
      </c>
      <c r="D232" s="2">
        <v>496925.78200000001</v>
      </c>
      <c r="E232" s="2">
        <v>935971.53899999941</v>
      </c>
      <c r="F232" s="2">
        <v>2532265.4732299992</v>
      </c>
      <c r="G232" s="2">
        <v>327382.93699999969</v>
      </c>
      <c r="H232" s="2">
        <v>3039099.3149999878</v>
      </c>
      <c r="I232" s="2">
        <v>39727280.953999177</v>
      </c>
      <c r="J232" s="2">
        <v>0</v>
      </c>
      <c r="K232" s="2">
        <v>1284001.6820000005</v>
      </c>
      <c r="L232" s="2">
        <v>270748.73699999985</v>
      </c>
      <c r="M232" s="2">
        <v>55331.152000000009</v>
      </c>
      <c r="N232" s="2">
        <v>0</v>
      </c>
      <c r="O232" s="2">
        <v>903284.77500000072</v>
      </c>
    </row>
    <row r="233" spans="1:15" x14ac:dyDescent="0.3">
      <c r="A233" s="6">
        <v>232</v>
      </c>
      <c r="B233" s="6">
        <v>2019</v>
      </c>
      <c r="C233" s="6">
        <v>4</v>
      </c>
      <c r="D233" s="2">
        <v>756300.21699999948</v>
      </c>
      <c r="E233" s="2">
        <v>952182.62099999562</v>
      </c>
      <c r="F233" s="2">
        <v>2572866.7230000342</v>
      </c>
      <c r="G233" s="2">
        <v>312906.24999999761</v>
      </c>
      <c r="H233" s="2">
        <v>2261734.5979999965</v>
      </c>
      <c r="I233" s="2">
        <v>37990775.552999698</v>
      </c>
      <c r="J233" s="2">
        <v>0</v>
      </c>
      <c r="K233" s="2">
        <v>1069632.2390000008</v>
      </c>
      <c r="L233" s="2">
        <v>298103.58199999999</v>
      </c>
      <c r="M233" s="2">
        <v>55814.4739999999</v>
      </c>
      <c r="N233" s="2">
        <v>0</v>
      </c>
      <c r="O233" s="2">
        <v>847132.97699998645</v>
      </c>
    </row>
    <row r="234" spans="1:15" x14ac:dyDescent="0.3">
      <c r="A234" s="6">
        <v>233</v>
      </c>
      <c r="B234" s="6">
        <v>2019</v>
      </c>
      <c r="C234" s="6">
        <v>5</v>
      </c>
      <c r="D234" s="2">
        <v>1007685.2419999961</v>
      </c>
      <c r="E234" s="2">
        <v>829550.54200000083</v>
      </c>
      <c r="F234" s="2">
        <v>3812161.7830000091</v>
      </c>
      <c r="G234" s="2">
        <v>323412.81100000191</v>
      </c>
      <c r="H234" s="2">
        <v>2173258.2100000125</v>
      </c>
      <c r="I234" s="2">
        <v>36749366.995999642</v>
      </c>
      <c r="J234" s="2">
        <v>0</v>
      </c>
      <c r="K234" s="2">
        <v>772153.19299999962</v>
      </c>
      <c r="L234" s="2">
        <v>171324.70399999991</v>
      </c>
      <c r="M234" s="2">
        <v>64165.913999999953</v>
      </c>
      <c r="N234" s="2">
        <v>0</v>
      </c>
      <c r="O234" s="2">
        <v>818309.9879999843</v>
      </c>
    </row>
    <row r="235" spans="1:15" x14ac:dyDescent="0.3">
      <c r="A235" s="6">
        <v>234</v>
      </c>
      <c r="B235" s="6">
        <v>2019</v>
      </c>
      <c r="C235" s="6">
        <v>6</v>
      </c>
      <c r="D235" s="2">
        <v>1036200.3290000032</v>
      </c>
      <c r="E235" s="2">
        <v>534695.23099999921</v>
      </c>
      <c r="F235" s="2">
        <v>5076147.68899999</v>
      </c>
      <c r="G235" s="2">
        <v>320548.44599999988</v>
      </c>
      <c r="H235" s="2">
        <v>2340201.7159999935</v>
      </c>
      <c r="I235" s="2">
        <v>31875674.76799956</v>
      </c>
      <c r="J235" s="2">
        <v>0</v>
      </c>
      <c r="K235" s="2">
        <v>1426860.2520000003</v>
      </c>
      <c r="L235" s="2">
        <v>21742.779000000002</v>
      </c>
      <c r="M235" s="2">
        <v>64166.678000000022</v>
      </c>
      <c r="N235" s="2">
        <v>0</v>
      </c>
      <c r="O235" s="2">
        <v>766081.94099999743</v>
      </c>
    </row>
    <row r="236" spans="1:15" x14ac:dyDescent="0.3">
      <c r="A236" s="6">
        <v>235</v>
      </c>
      <c r="B236" s="6">
        <v>2019</v>
      </c>
      <c r="C236" s="6">
        <v>7</v>
      </c>
      <c r="D236" s="2">
        <v>1072766.3729999966</v>
      </c>
      <c r="E236" s="2">
        <v>1541740.4100000064</v>
      </c>
      <c r="F236" s="2">
        <v>5047622.0550000444</v>
      </c>
      <c r="G236" s="2">
        <v>349024.85000000044</v>
      </c>
      <c r="H236" s="2">
        <v>3981426.5710000074</v>
      </c>
      <c r="I236" s="2">
        <v>30074841.387998752</v>
      </c>
      <c r="J236" s="2">
        <v>0</v>
      </c>
      <c r="K236" s="2">
        <v>1489606.0759999985</v>
      </c>
      <c r="L236" s="2">
        <v>29110.989999999842</v>
      </c>
      <c r="M236" s="2">
        <v>53203.254000000015</v>
      </c>
      <c r="N236" s="2">
        <v>0</v>
      </c>
      <c r="O236" s="2">
        <v>607270.76000000164</v>
      </c>
    </row>
    <row r="237" spans="1:15" x14ac:dyDescent="0.3">
      <c r="A237" s="6">
        <v>236</v>
      </c>
      <c r="B237" s="6">
        <v>2019</v>
      </c>
      <c r="C237" s="6">
        <v>8</v>
      </c>
      <c r="D237" s="2">
        <v>1093653.7900000128</v>
      </c>
      <c r="E237" s="2">
        <v>1488017.1799999913</v>
      </c>
      <c r="F237" s="2">
        <v>6287175.8940000031</v>
      </c>
      <c r="G237" s="2">
        <v>395355.49400000076</v>
      </c>
      <c r="H237" s="2">
        <v>5216647.360000046</v>
      </c>
      <c r="I237" s="2">
        <v>27992113.018998239</v>
      </c>
      <c r="J237" s="2">
        <v>0</v>
      </c>
      <c r="K237" s="2">
        <v>1500407.2390000003</v>
      </c>
      <c r="L237" s="2">
        <v>27781.17099999986</v>
      </c>
      <c r="M237" s="2">
        <v>64505.795999999966</v>
      </c>
      <c r="N237" s="2">
        <v>0</v>
      </c>
      <c r="O237" s="2">
        <v>800160.66700000002</v>
      </c>
    </row>
    <row r="238" spans="1:15" x14ac:dyDescent="0.3">
      <c r="A238" s="6">
        <v>237</v>
      </c>
      <c r="B238" s="6">
        <v>2019</v>
      </c>
      <c r="C238" s="6">
        <v>9</v>
      </c>
      <c r="D238" s="2">
        <v>988790.47300000582</v>
      </c>
      <c r="E238" s="2">
        <v>1472342.1740000003</v>
      </c>
      <c r="F238" s="2">
        <v>5808611.7559999712</v>
      </c>
      <c r="G238" s="2">
        <v>422937.66600000003</v>
      </c>
      <c r="H238" s="2">
        <v>5110331.432000014</v>
      </c>
      <c r="I238" s="2">
        <v>29245572.601999529</v>
      </c>
      <c r="J238" s="2">
        <v>0</v>
      </c>
      <c r="K238" s="2">
        <v>1450156.9140000003</v>
      </c>
      <c r="L238" s="2">
        <v>33082.248999999982</v>
      </c>
      <c r="M238" s="2">
        <v>49144.217999999979</v>
      </c>
      <c r="N238" s="2">
        <v>0</v>
      </c>
      <c r="O238" s="2">
        <v>831000.62399999436</v>
      </c>
    </row>
    <row r="239" spans="1:15" x14ac:dyDescent="0.3">
      <c r="A239" s="6">
        <v>238</v>
      </c>
      <c r="B239" s="6">
        <v>2019</v>
      </c>
      <c r="C239" s="6">
        <v>10</v>
      </c>
      <c r="D239" s="2">
        <v>984317.77700001793</v>
      </c>
      <c r="E239" s="2">
        <v>1540441.3149999958</v>
      </c>
      <c r="F239" s="2">
        <v>5904325.1760000596</v>
      </c>
      <c r="G239" s="2">
        <v>435631.52199999907</v>
      </c>
      <c r="H239" s="2">
        <v>5728912.7069999678</v>
      </c>
      <c r="I239" s="2">
        <v>31710778.861999255</v>
      </c>
      <c r="J239" s="2">
        <v>0</v>
      </c>
      <c r="K239" s="2">
        <v>1455352.5609999998</v>
      </c>
      <c r="L239" s="2">
        <v>52969.136000000239</v>
      </c>
      <c r="M239" s="2">
        <v>32949.388000000014</v>
      </c>
      <c r="N239" s="2">
        <v>0</v>
      </c>
      <c r="O239" s="2">
        <v>829286.64900000102</v>
      </c>
    </row>
    <row r="240" spans="1:15" x14ac:dyDescent="0.3">
      <c r="A240" s="6">
        <v>239</v>
      </c>
      <c r="B240" s="6">
        <v>2019</v>
      </c>
      <c r="C240" s="6">
        <v>11</v>
      </c>
      <c r="D240" s="2">
        <v>870089.68100000697</v>
      </c>
      <c r="E240" s="2">
        <v>1623638.5320000038</v>
      </c>
      <c r="F240" s="2">
        <v>5047455.5089999922</v>
      </c>
      <c r="G240" s="2">
        <v>410213.99400000036</v>
      </c>
      <c r="H240" s="2">
        <v>5626199.5779999653</v>
      </c>
      <c r="I240" s="2">
        <v>31038582.207000315</v>
      </c>
      <c r="J240" s="2">
        <v>0</v>
      </c>
      <c r="K240" s="2">
        <v>1445624.7320000001</v>
      </c>
      <c r="L240" s="2">
        <v>34898.953999999969</v>
      </c>
      <c r="M240" s="2">
        <v>17092.767000000011</v>
      </c>
      <c r="N240" s="2">
        <v>0</v>
      </c>
      <c r="O240" s="2">
        <v>794001.00400000357</v>
      </c>
    </row>
    <row r="241" spans="1:15" x14ac:dyDescent="0.3">
      <c r="A241" s="6">
        <v>240</v>
      </c>
      <c r="B241" s="6">
        <v>2019</v>
      </c>
      <c r="C241" s="6">
        <v>12</v>
      </c>
      <c r="D241" s="2">
        <v>505005.06399998482</v>
      </c>
      <c r="E241" s="2">
        <v>1691031.9790000042</v>
      </c>
      <c r="F241" s="2">
        <v>4980091.8969999859</v>
      </c>
      <c r="G241" s="2">
        <v>436811.14300000027</v>
      </c>
      <c r="H241" s="2">
        <v>4542306.5119999954</v>
      </c>
      <c r="I241" s="2">
        <v>33890903.941000454</v>
      </c>
      <c r="J241" s="2">
        <v>0</v>
      </c>
      <c r="K241" s="2">
        <v>1479544.4640000018</v>
      </c>
      <c r="L241" s="2">
        <v>42962.338999999942</v>
      </c>
      <c r="M241" s="2">
        <v>18781.619999999984</v>
      </c>
      <c r="N241" s="2">
        <v>0</v>
      </c>
      <c r="O241" s="2">
        <v>843502.38100001158</v>
      </c>
    </row>
    <row r="242" spans="1:15" x14ac:dyDescent="0.3">
      <c r="A242" s="6">
        <v>241</v>
      </c>
      <c r="B242" s="6">
        <v>2020</v>
      </c>
      <c r="C242" s="6">
        <v>1</v>
      </c>
      <c r="D242" s="2">
        <v>349381.01299999229</v>
      </c>
      <c r="E242" s="2">
        <v>1767726.0920000081</v>
      </c>
      <c r="F242" s="2">
        <v>2685623.67300004</v>
      </c>
      <c r="G242" s="2">
        <v>379341.3520000006</v>
      </c>
      <c r="H242" s="2">
        <v>5656003.7785000214</v>
      </c>
      <c r="I242" s="2">
        <v>38002834.142000027</v>
      </c>
      <c r="J242" s="2">
        <v>0</v>
      </c>
      <c r="K242" s="2">
        <v>1158648.0209999997</v>
      </c>
      <c r="L242" s="2">
        <v>43330.387999999963</v>
      </c>
      <c r="M242" s="2">
        <v>17590.283000000007</v>
      </c>
      <c r="N242" s="2">
        <v>0</v>
      </c>
      <c r="O242" s="2">
        <v>910619.95700001251</v>
      </c>
    </row>
    <row r="243" spans="1:15" x14ac:dyDescent="0.3">
      <c r="A243" s="6">
        <v>242</v>
      </c>
      <c r="B243" s="6">
        <v>2020</v>
      </c>
      <c r="C243" s="6">
        <v>2</v>
      </c>
      <c r="D243" s="2">
        <v>318593.78099999763</v>
      </c>
      <c r="E243" s="2">
        <v>1000854.5270000005</v>
      </c>
      <c r="F243" s="2">
        <v>2710305.1270000217</v>
      </c>
      <c r="G243" s="2">
        <v>357365.28399999975</v>
      </c>
      <c r="H243" s="2">
        <v>3349399.1599999759</v>
      </c>
      <c r="I243" s="2">
        <v>38257641.984000206</v>
      </c>
      <c r="J243" s="2">
        <v>0</v>
      </c>
      <c r="K243" s="2">
        <v>948638.2640000009</v>
      </c>
      <c r="L243" s="2">
        <v>30314.234999999888</v>
      </c>
      <c r="M243" s="2">
        <v>16218.864000000005</v>
      </c>
      <c r="N243" s="2">
        <v>0</v>
      </c>
      <c r="O243" s="2">
        <v>893150.02599999856</v>
      </c>
    </row>
    <row r="244" spans="1:15" x14ac:dyDescent="0.3">
      <c r="A244" s="6">
        <v>243</v>
      </c>
      <c r="B244" s="6">
        <v>2020</v>
      </c>
      <c r="C244" s="6">
        <v>3</v>
      </c>
      <c r="D244" s="2">
        <v>475987.98299999523</v>
      </c>
      <c r="E244" s="2">
        <v>643318.20000000007</v>
      </c>
      <c r="F244" s="2">
        <v>2215236.9189999998</v>
      </c>
      <c r="G244" s="2">
        <v>419482.93699999875</v>
      </c>
      <c r="H244" s="2">
        <v>2616896.5279999808</v>
      </c>
      <c r="I244" s="2">
        <v>40523657.359000288</v>
      </c>
      <c r="J244" s="2">
        <v>0</v>
      </c>
      <c r="K244" s="2">
        <v>1282120.8909999998</v>
      </c>
      <c r="L244" s="2">
        <v>4176.8449999999984</v>
      </c>
      <c r="M244" s="2">
        <v>80045.746999999974</v>
      </c>
      <c r="N244" s="2">
        <v>0</v>
      </c>
      <c r="O244" s="2">
        <v>926059.61800000025</v>
      </c>
    </row>
    <row r="245" spans="1:15" x14ac:dyDescent="0.3">
      <c r="A245" s="6">
        <v>244</v>
      </c>
      <c r="B245" s="6">
        <v>2020</v>
      </c>
      <c r="C245" s="6">
        <v>4</v>
      </c>
      <c r="D245" s="2">
        <v>833919.21300000686</v>
      </c>
      <c r="E245" s="2">
        <v>202915.35899999944</v>
      </c>
      <c r="F245" s="2">
        <v>3039063.0660000322</v>
      </c>
      <c r="G245" s="2">
        <v>438444.34199999867</v>
      </c>
      <c r="H245" s="2">
        <v>2068551.7990000017</v>
      </c>
      <c r="I245" s="2">
        <v>32258891.119998984</v>
      </c>
      <c r="J245" s="2">
        <v>0</v>
      </c>
      <c r="K245" s="2">
        <v>1358751.6360000006</v>
      </c>
      <c r="L245" s="2">
        <v>7607.1380000000172</v>
      </c>
      <c r="M245" s="2">
        <v>117382.13300000013</v>
      </c>
      <c r="N245" s="2">
        <v>0</v>
      </c>
      <c r="O245" s="2">
        <v>857438.21900000097</v>
      </c>
    </row>
    <row r="246" spans="1:15" x14ac:dyDescent="0.3">
      <c r="A246" s="6">
        <v>245</v>
      </c>
      <c r="B246" s="6">
        <v>2020</v>
      </c>
      <c r="C246" s="6">
        <v>5</v>
      </c>
      <c r="D246" s="2">
        <v>1079309.9110000096</v>
      </c>
      <c r="E246" s="2">
        <v>478775.06800000026</v>
      </c>
      <c r="F246" s="2">
        <v>3764506.8270000033</v>
      </c>
      <c r="G246" s="2">
        <v>442067.47299999901</v>
      </c>
      <c r="H246" s="2">
        <v>1965848.8720000086</v>
      </c>
      <c r="I246" s="2">
        <v>31473563.433999453</v>
      </c>
      <c r="J246" s="2">
        <v>0</v>
      </c>
      <c r="K246" s="2">
        <v>1481693.3600000006</v>
      </c>
      <c r="L246" s="2">
        <v>7707.9590000000062</v>
      </c>
      <c r="M246" s="2">
        <v>72531.988000000027</v>
      </c>
      <c r="N246" s="2">
        <v>0</v>
      </c>
      <c r="O246" s="2">
        <v>876638.44200001738</v>
      </c>
    </row>
    <row r="247" spans="1:15" x14ac:dyDescent="0.3">
      <c r="A247" s="6">
        <v>246</v>
      </c>
      <c r="B247" s="6">
        <v>2020</v>
      </c>
      <c r="C247" s="6">
        <v>6</v>
      </c>
      <c r="D247" s="2">
        <v>1109099.0680000004</v>
      </c>
      <c r="E247" s="2">
        <v>610747.00700000033</v>
      </c>
      <c r="F247" s="2">
        <v>4842815.9800000032</v>
      </c>
      <c r="G247" s="2">
        <v>442659.85399999941</v>
      </c>
      <c r="H247" s="2">
        <v>2399894.5549999895</v>
      </c>
      <c r="I247" s="2">
        <v>30118870.358999975</v>
      </c>
      <c r="J247" s="2">
        <v>0</v>
      </c>
      <c r="K247" s="2">
        <v>1036979.6019999997</v>
      </c>
      <c r="L247" s="2">
        <v>3902.0360000000019</v>
      </c>
      <c r="M247" s="2">
        <v>36406.172999999995</v>
      </c>
      <c r="N247" s="2">
        <v>0</v>
      </c>
      <c r="O247" s="2">
        <v>839866.19999999623</v>
      </c>
    </row>
    <row r="248" spans="1:15" x14ac:dyDescent="0.3">
      <c r="A248" s="6">
        <v>247</v>
      </c>
      <c r="B248" s="6">
        <v>2020</v>
      </c>
      <c r="C248" s="6">
        <v>7</v>
      </c>
      <c r="D248" s="2">
        <v>1181655.6440000013</v>
      </c>
      <c r="E248" s="2">
        <v>507278.99199999939</v>
      </c>
      <c r="F248" s="2">
        <v>5710243.9250000054</v>
      </c>
      <c r="G248" s="2">
        <v>476360.39999999956</v>
      </c>
      <c r="H248" s="2">
        <v>2227369.6080000023</v>
      </c>
      <c r="I248" s="2">
        <v>32694052.882000219</v>
      </c>
      <c r="J248" s="2">
        <v>0</v>
      </c>
      <c r="K248" s="2">
        <v>469185.75199999969</v>
      </c>
      <c r="L248" s="2">
        <v>1290.2599999999998</v>
      </c>
      <c r="M248" s="2">
        <v>45082.396000000059</v>
      </c>
      <c r="N248" s="2">
        <v>0</v>
      </c>
      <c r="O248" s="2">
        <v>871865.82100001257</v>
      </c>
    </row>
    <row r="249" spans="1:15" x14ac:dyDescent="0.3">
      <c r="A249" s="6">
        <v>248</v>
      </c>
      <c r="B249" s="6">
        <v>2020</v>
      </c>
      <c r="C249" s="6">
        <v>8</v>
      </c>
      <c r="D249" s="2">
        <v>1086053.2779999846</v>
      </c>
      <c r="E249" s="2">
        <v>513325.49900000024</v>
      </c>
      <c r="F249" s="2">
        <v>6607650.6509999791</v>
      </c>
      <c r="G249" s="2">
        <v>505790.45800000138</v>
      </c>
      <c r="H249" s="2">
        <v>2338104.355000014</v>
      </c>
      <c r="I249" s="2">
        <v>32195047.103000194</v>
      </c>
      <c r="J249" s="2">
        <v>0</v>
      </c>
      <c r="K249" s="2">
        <v>872388.71500000136</v>
      </c>
      <c r="L249" s="2">
        <v>2492.5370000000003</v>
      </c>
      <c r="M249" s="2">
        <v>42551.923000000032</v>
      </c>
      <c r="N249" s="2">
        <v>0</v>
      </c>
      <c r="O249" s="2">
        <v>958482.55199999455</v>
      </c>
    </row>
    <row r="250" spans="1:15" x14ac:dyDescent="0.3">
      <c r="A250" s="6">
        <v>249</v>
      </c>
      <c r="B250" s="6">
        <v>2020</v>
      </c>
      <c r="C250" s="6">
        <v>9</v>
      </c>
      <c r="D250" s="2">
        <v>1097080.8480000033</v>
      </c>
      <c r="E250" s="2">
        <v>411815.60899999924</v>
      </c>
      <c r="F250" s="2">
        <v>6420482.0029999297</v>
      </c>
      <c r="G250" s="2">
        <v>542795.27400000102</v>
      </c>
      <c r="H250" s="2">
        <v>2143234.4900000053</v>
      </c>
      <c r="I250" s="2">
        <v>34076338.096999526</v>
      </c>
      <c r="J250" s="2">
        <v>0</v>
      </c>
      <c r="K250" s="2">
        <v>1341182.799999998</v>
      </c>
      <c r="L250" s="2">
        <v>1806.3000000000004</v>
      </c>
      <c r="M250" s="2">
        <v>55302.048000000039</v>
      </c>
      <c r="N250" s="2">
        <v>0</v>
      </c>
      <c r="O250" s="2">
        <v>921977.0920000117</v>
      </c>
    </row>
    <row r="251" spans="1:15" x14ac:dyDescent="0.3">
      <c r="A251" s="6">
        <v>250</v>
      </c>
      <c r="B251" s="6">
        <v>2020</v>
      </c>
      <c r="C251" s="6">
        <v>10</v>
      </c>
      <c r="D251" s="2">
        <v>1067783.8289999941</v>
      </c>
      <c r="E251" s="2">
        <v>1489177.6419999967</v>
      </c>
      <c r="F251" s="2">
        <v>5541280.4220000077</v>
      </c>
      <c r="G251" s="2">
        <v>506317.30300000106</v>
      </c>
      <c r="H251" s="2">
        <v>5179543.4019999765</v>
      </c>
      <c r="I251" s="2">
        <v>33198606.394999713</v>
      </c>
      <c r="J251" s="2">
        <v>0</v>
      </c>
      <c r="K251" s="2">
        <v>1381018.3649999993</v>
      </c>
      <c r="L251" s="2">
        <v>328753.20499999961</v>
      </c>
      <c r="M251" s="2">
        <v>176764.87299999988</v>
      </c>
      <c r="N251" s="2">
        <v>0</v>
      </c>
      <c r="O251" s="2">
        <v>899536.31100001233</v>
      </c>
    </row>
    <row r="252" spans="1:15" x14ac:dyDescent="0.3">
      <c r="A252" s="6">
        <v>251</v>
      </c>
      <c r="B252" s="6">
        <v>2020</v>
      </c>
      <c r="C252" s="6">
        <v>11</v>
      </c>
      <c r="D252" s="2">
        <v>901729.81700000027</v>
      </c>
      <c r="E252" s="2">
        <v>1480389.7089999998</v>
      </c>
      <c r="F252" s="2">
        <v>4959528.0170000214</v>
      </c>
      <c r="G252" s="2">
        <v>445437.18099999998</v>
      </c>
      <c r="H252" s="2">
        <v>6022585.3200000012</v>
      </c>
      <c r="I252" s="2">
        <v>29327855.676000081</v>
      </c>
      <c r="J252" s="2">
        <v>0</v>
      </c>
      <c r="K252" s="2">
        <v>1340054.7400000002</v>
      </c>
      <c r="L252" s="2">
        <v>516825.97899999755</v>
      </c>
      <c r="M252" s="2">
        <v>327336.88800000038</v>
      </c>
      <c r="N252" s="2">
        <v>0</v>
      </c>
      <c r="O252" s="2">
        <v>918788.36600000667</v>
      </c>
    </row>
    <row r="253" spans="1:15" x14ac:dyDescent="0.3">
      <c r="A253" s="6">
        <v>252</v>
      </c>
      <c r="B253" s="6">
        <v>2020</v>
      </c>
      <c r="C253" s="6">
        <v>12</v>
      </c>
      <c r="D253" s="2">
        <v>512917.2920000024</v>
      </c>
      <c r="E253" s="2">
        <v>1779262.5060000108</v>
      </c>
      <c r="F253" s="2">
        <v>5414912.7059999714</v>
      </c>
      <c r="G253" s="2">
        <v>457104.20799999894</v>
      </c>
      <c r="H253" s="2">
        <v>6030856.5770000182</v>
      </c>
      <c r="I253" s="2">
        <v>32543576.041999705</v>
      </c>
      <c r="J253" s="2">
        <v>0</v>
      </c>
      <c r="K253" s="2">
        <v>1378191.4640000002</v>
      </c>
      <c r="L253" s="2">
        <v>413256.60500000004</v>
      </c>
      <c r="M253" s="2">
        <v>250930.17999999947</v>
      </c>
      <c r="N253" s="2">
        <v>0</v>
      </c>
      <c r="O253" s="2">
        <v>797861.70100000792</v>
      </c>
    </row>
    <row r="254" spans="1:15" x14ac:dyDescent="0.3">
      <c r="A254" s="6">
        <v>253</v>
      </c>
      <c r="B254" s="6">
        <v>2021</v>
      </c>
      <c r="C254" s="6">
        <v>1</v>
      </c>
      <c r="D254" s="2">
        <v>291538.10200000874</v>
      </c>
      <c r="E254" s="2">
        <v>1601137.2580000067</v>
      </c>
      <c r="F254" s="2">
        <v>5356499.2909999983</v>
      </c>
      <c r="G254" s="2">
        <v>507612.56300000066</v>
      </c>
      <c r="H254" s="2">
        <v>5869750.5759999976</v>
      </c>
      <c r="I254" s="2">
        <v>34376214.609000407</v>
      </c>
      <c r="J254" s="2">
        <v>0</v>
      </c>
      <c r="K254" s="2">
        <v>1375287.6239999973</v>
      </c>
      <c r="L254" s="2">
        <v>718760.82699999854</v>
      </c>
      <c r="M254" s="2">
        <v>291784.8749999993</v>
      </c>
      <c r="N254" s="2">
        <v>0</v>
      </c>
      <c r="O254" s="2">
        <v>955751.5790000126</v>
      </c>
    </row>
    <row r="255" spans="1:15" x14ac:dyDescent="0.3">
      <c r="A255" s="6">
        <v>254</v>
      </c>
      <c r="B255" s="6">
        <v>2021</v>
      </c>
      <c r="C255" s="6">
        <v>2</v>
      </c>
      <c r="D255" s="2">
        <v>236097.26200000863</v>
      </c>
      <c r="E255" s="2">
        <v>1261537.1450000023</v>
      </c>
      <c r="F255" s="2">
        <v>3463660.9820000627</v>
      </c>
      <c r="G255" s="2">
        <v>405105.4609999996</v>
      </c>
      <c r="H255" s="2">
        <v>3837334.3320000181</v>
      </c>
      <c r="I255" s="2">
        <v>34966420.591000058</v>
      </c>
      <c r="J255" s="2">
        <v>0</v>
      </c>
      <c r="K255" s="2">
        <v>1238813.3689999999</v>
      </c>
      <c r="L255" s="2">
        <v>241722.61800000031</v>
      </c>
      <c r="M255" s="2">
        <v>98527.951000000117</v>
      </c>
      <c r="N255" s="2">
        <v>0</v>
      </c>
      <c r="O255" s="2">
        <v>906212.91100001591</v>
      </c>
    </row>
    <row r="256" spans="1:15" x14ac:dyDescent="0.3">
      <c r="A256" s="6">
        <v>255</v>
      </c>
      <c r="B256" s="6">
        <v>2021</v>
      </c>
      <c r="C256" s="6">
        <v>3</v>
      </c>
      <c r="D256" s="2">
        <v>240030.2039999988</v>
      </c>
      <c r="E256" s="2">
        <v>779020.91899999988</v>
      </c>
      <c r="F256" s="2">
        <v>4032722.0180000011</v>
      </c>
      <c r="G256" s="2">
        <v>634787.68699999794</v>
      </c>
      <c r="H256" s="2">
        <v>4312033.8879999733</v>
      </c>
      <c r="I256" s="2">
        <v>40894459.390999451</v>
      </c>
      <c r="J256" s="2">
        <v>0</v>
      </c>
      <c r="K256" s="2">
        <v>1373720.1360000011</v>
      </c>
      <c r="L256" s="2">
        <v>202762.09600000002</v>
      </c>
      <c r="M256" s="2">
        <v>17098.708999999999</v>
      </c>
      <c r="N256" s="2">
        <v>422583.17699999968</v>
      </c>
      <c r="O256" s="2">
        <v>823862.17000000295</v>
      </c>
    </row>
    <row r="257" spans="1:15" x14ac:dyDescent="0.3">
      <c r="A257" s="6">
        <v>256</v>
      </c>
      <c r="B257" s="6">
        <v>2021</v>
      </c>
      <c r="C257" s="6">
        <v>4</v>
      </c>
      <c r="D257" s="2">
        <v>669043.33300000115</v>
      </c>
      <c r="E257" s="2">
        <v>740975.60900000005</v>
      </c>
      <c r="F257" s="2">
        <v>4513712.2150000101</v>
      </c>
      <c r="G257" s="2">
        <v>641438.99800000107</v>
      </c>
      <c r="H257" s="2">
        <v>4193699.1240000455</v>
      </c>
      <c r="I257" s="2">
        <v>35332834.339999937</v>
      </c>
      <c r="J257" s="2">
        <v>0</v>
      </c>
      <c r="K257" s="2">
        <v>1110495.8890000004</v>
      </c>
      <c r="L257" s="2">
        <v>162653.9040000003</v>
      </c>
      <c r="M257" s="2">
        <v>136148.39999999991</v>
      </c>
      <c r="N257" s="2">
        <v>710413.39799999993</v>
      </c>
      <c r="O257" s="2">
        <v>769778.82800001081</v>
      </c>
    </row>
    <row r="258" spans="1:15" x14ac:dyDescent="0.3">
      <c r="A258" s="6">
        <v>257</v>
      </c>
      <c r="B258" s="6">
        <v>2021</v>
      </c>
      <c r="C258" s="6">
        <v>5</v>
      </c>
      <c r="D258" s="2">
        <v>954270.46999999555</v>
      </c>
      <c r="E258" s="2">
        <v>1059848.267999999</v>
      </c>
      <c r="F258" s="2">
        <v>5293499.6850000201</v>
      </c>
      <c r="G258" s="2">
        <v>700597.11000000138</v>
      </c>
      <c r="H258" s="2">
        <v>4333720.2420000276</v>
      </c>
      <c r="I258" s="2">
        <v>33616530.629999489</v>
      </c>
      <c r="J258" s="2">
        <v>0</v>
      </c>
      <c r="K258" s="2">
        <v>1078741.129999999</v>
      </c>
      <c r="L258" s="2">
        <v>216812.17300000039</v>
      </c>
      <c r="M258" s="2">
        <v>97662.392000000051</v>
      </c>
      <c r="N258" s="2">
        <v>1504832.453999999</v>
      </c>
      <c r="O258" s="2">
        <v>738487.28600000672</v>
      </c>
    </row>
    <row r="259" spans="1:15" x14ac:dyDescent="0.3">
      <c r="A259" s="6">
        <v>258</v>
      </c>
      <c r="B259" s="6">
        <v>2021</v>
      </c>
      <c r="C259" s="6">
        <v>6</v>
      </c>
      <c r="D259" s="2">
        <v>1041493.3789999997</v>
      </c>
      <c r="E259" s="2">
        <v>1583648.400999998</v>
      </c>
      <c r="F259" s="2">
        <v>5833402.7230000272</v>
      </c>
      <c r="G259" s="2">
        <v>726632.59600000002</v>
      </c>
      <c r="H259" s="2">
        <v>5718815.5109999627</v>
      </c>
      <c r="I259" s="2">
        <v>27810533.470999982</v>
      </c>
      <c r="J259" s="2">
        <v>0</v>
      </c>
      <c r="K259" s="2">
        <v>578932.38899999997</v>
      </c>
      <c r="L259" s="2">
        <v>1146626.982999997</v>
      </c>
      <c r="M259" s="2">
        <v>348371.49500000023</v>
      </c>
      <c r="N259" s="2">
        <v>1629685.6239999998</v>
      </c>
      <c r="O259" s="2">
        <v>766286.28099999949</v>
      </c>
    </row>
    <row r="260" spans="1:15" x14ac:dyDescent="0.3">
      <c r="A260" s="6">
        <v>259</v>
      </c>
      <c r="B260" s="6">
        <v>2021</v>
      </c>
      <c r="C260" s="6">
        <v>7</v>
      </c>
      <c r="D260" s="2">
        <v>1203885.8370000024</v>
      </c>
      <c r="E260" s="2">
        <v>1552713.1779999959</v>
      </c>
      <c r="F260" s="2">
        <v>7224245.3920000494</v>
      </c>
      <c r="G260" s="2">
        <v>767360.73400000331</v>
      </c>
      <c r="H260" s="2">
        <v>6788424.1629999075</v>
      </c>
      <c r="I260" s="2">
        <v>25666549.925000124</v>
      </c>
      <c r="J260" s="2">
        <v>0</v>
      </c>
      <c r="K260" s="2">
        <v>788646.27700000012</v>
      </c>
      <c r="L260" s="2">
        <v>1058264.8089999964</v>
      </c>
      <c r="M260" s="2">
        <v>301982.41099999985</v>
      </c>
      <c r="N260" s="2">
        <v>1905426.889999999</v>
      </c>
      <c r="O260" s="2">
        <v>797836.99199999392</v>
      </c>
    </row>
    <row r="261" spans="1:15" x14ac:dyDescent="0.3">
      <c r="A261" s="6">
        <v>260</v>
      </c>
      <c r="B261" s="6">
        <v>2021</v>
      </c>
      <c r="C261" s="6">
        <v>8</v>
      </c>
      <c r="D261" s="2">
        <v>1180637.4399999972</v>
      </c>
      <c r="E261" s="2">
        <v>1810363.068</v>
      </c>
      <c r="F261" s="2">
        <v>8203455.9390000552</v>
      </c>
      <c r="G261" s="2">
        <v>814567.60400000005</v>
      </c>
      <c r="H261" s="2">
        <v>6872449.4699999811</v>
      </c>
      <c r="I261" s="2">
        <v>24427658.68000003</v>
      </c>
      <c r="J261" s="2">
        <v>0</v>
      </c>
      <c r="K261" s="2">
        <v>1488641.6249999995</v>
      </c>
      <c r="L261" s="2">
        <v>1396732.3059999999</v>
      </c>
      <c r="M261" s="2">
        <v>317936.10299999954</v>
      </c>
      <c r="N261" s="2">
        <v>1906367.2809999986</v>
      </c>
      <c r="O261" s="2">
        <v>767560.05300000019</v>
      </c>
    </row>
    <row r="262" spans="1:15" x14ac:dyDescent="0.3">
      <c r="A262" s="6">
        <v>261</v>
      </c>
      <c r="B262" s="6">
        <v>2021</v>
      </c>
      <c r="C262" s="6">
        <v>9</v>
      </c>
      <c r="D262" s="2">
        <v>1115629.4920000064</v>
      </c>
      <c r="E262" s="2">
        <v>1680310.3609999965</v>
      </c>
      <c r="F262" s="2">
        <v>7918059.3100000173</v>
      </c>
      <c r="G262" s="2">
        <v>961286.44700000167</v>
      </c>
      <c r="H262" s="2">
        <v>6542493.6719999714</v>
      </c>
      <c r="I262" s="2">
        <v>25410031.183999397</v>
      </c>
      <c r="J262" s="2">
        <v>0</v>
      </c>
      <c r="K262" s="2">
        <v>1445740.024999999</v>
      </c>
      <c r="L262" s="2">
        <v>1390315.2220000036</v>
      </c>
      <c r="M262" s="2">
        <v>394673.59299999929</v>
      </c>
      <c r="N262" s="2">
        <v>1775676.4760000014</v>
      </c>
      <c r="O262" s="2">
        <v>685670.68999999622</v>
      </c>
    </row>
    <row r="263" spans="1:15" x14ac:dyDescent="0.3">
      <c r="A263" s="6">
        <v>262</v>
      </c>
      <c r="B263" s="6">
        <v>2021</v>
      </c>
      <c r="C263" s="6">
        <v>10</v>
      </c>
      <c r="D263" s="2">
        <v>365620.46899999987</v>
      </c>
      <c r="E263" s="2">
        <v>1727801.7049999959</v>
      </c>
      <c r="F263" s="2">
        <v>7291714.0729998853</v>
      </c>
      <c r="G263" s="2">
        <v>941361.72709143639</v>
      </c>
      <c r="H263" s="2">
        <v>7643189.3909999728</v>
      </c>
      <c r="I263" s="2">
        <v>25948882.364998847</v>
      </c>
      <c r="J263" s="2">
        <v>0</v>
      </c>
      <c r="K263" s="2">
        <v>1410450.8779999979</v>
      </c>
      <c r="L263" s="2">
        <v>1366504.0300000042</v>
      </c>
      <c r="M263" s="2">
        <v>478244.4940000003</v>
      </c>
      <c r="N263" s="2">
        <v>1597089.5910000002</v>
      </c>
      <c r="O263" s="2">
        <v>544306.06800000055</v>
      </c>
    </row>
    <row r="264" spans="1:15" x14ac:dyDescent="0.3">
      <c r="A264" s="6">
        <v>263</v>
      </c>
      <c r="B264" s="6">
        <v>2021</v>
      </c>
      <c r="C264" s="6">
        <v>11</v>
      </c>
      <c r="D264" s="2">
        <v>608176.26499999745</v>
      </c>
      <c r="E264" s="2">
        <v>1530662.3310000028</v>
      </c>
      <c r="F264" s="2">
        <v>5920985.1760000279</v>
      </c>
      <c r="G264" s="2">
        <v>873503.82900000154</v>
      </c>
      <c r="H264" s="2">
        <v>6928392.4039999982</v>
      </c>
      <c r="I264" s="2">
        <v>29691320.421998739</v>
      </c>
      <c r="J264" s="2">
        <v>0</v>
      </c>
      <c r="K264" s="2">
        <v>1318674.6300000001</v>
      </c>
      <c r="L264" s="2">
        <v>1011303.7770000028</v>
      </c>
      <c r="M264" s="2">
        <v>396850.91300000064</v>
      </c>
      <c r="N264" s="2">
        <v>1071436.3499999982</v>
      </c>
      <c r="O264" s="2">
        <v>699237.04599999706</v>
      </c>
    </row>
    <row r="265" spans="1:15" x14ac:dyDescent="0.3">
      <c r="A265" s="6">
        <v>264</v>
      </c>
      <c r="B265" s="6">
        <v>2021</v>
      </c>
      <c r="C265" s="6">
        <v>12</v>
      </c>
      <c r="D265" s="2">
        <v>262575.1549999945</v>
      </c>
      <c r="E265" s="2">
        <v>1161469.6299999994</v>
      </c>
      <c r="F265" s="2">
        <v>6041040.8224999988</v>
      </c>
      <c r="G265" s="2">
        <v>851341.63099999819</v>
      </c>
      <c r="H265" s="2">
        <v>5858974.974999968</v>
      </c>
      <c r="I265" s="2">
        <v>34653466.945000798</v>
      </c>
      <c r="J265" s="2">
        <v>0</v>
      </c>
      <c r="K265" s="2">
        <v>1487202.3200000024</v>
      </c>
      <c r="L265" s="2">
        <v>325140.28899999906</v>
      </c>
      <c r="M265" s="2">
        <v>280928.43799999979</v>
      </c>
      <c r="N265" s="2">
        <v>569548.23600000096</v>
      </c>
      <c r="O265" s="2">
        <v>685475.71100000117</v>
      </c>
    </row>
    <row r="266" spans="1:15" x14ac:dyDescent="0.3">
      <c r="A266" s="6">
        <v>265</v>
      </c>
      <c r="B266" s="6">
        <v>2022</v>
      </c>
      <c r="C266" s="6">
        <v>1</v>
      </c>
      <c r="D266" s="2">
        <v>192909.63899999947</v>
      </c>
      <c r="E266" s="2">
        <v>696701.96499999939</v>
      </c>
      <c r="F266" s="2">
        <v>4642784.9240000136</v>
      </c>
      <c r="G266" s="2">
        <v>914669.76999999897</v>
      </c>
      <c r="H266" s="2">
        <v>4828564.5989999883</v>
      </c>
      <c r="I266" s="2">
        <v>39192611.080000252</v>
      </c>
      <c r="J266" s="2">
        <v>0</v>
      </c>
      <c r="K266" s="2">
        <v>1484694.6670000006</v>
      </c>
      <c r="L266" s="2">
        <v>129028.84800000003</v>
      </c>
      <c r="M266" s="2">
        <v>340457.83099999966</v>
      </c>
      <c r="N266" s="2">
        <v>422293.19199999998</v>
      </c>
      <c r="O266" s="2">
        <v>692734.65499999817</v>
      </c>
    </row>
    <row r="267" spans="1:15" x14ac:dyDescent="0.3">
      <c r="A267" s="6">
        <v>266</v>
      </c>
      <c r="B267" s="6">
        <v>2022</v>
      </c>
      <c r="C267" s="6">
        <v>2</v>
      </c>
      <c r="D267" s="2">
        <v>175717.11899999826</v>
      </c>
      <c r="E267" s="2">
        <v>523149.36000000103</v>
      </c>
      <c r="F267" s="2">
        <v>4525591.2540000221</v>
      </c>
      <c r="G267" s="2">
        <v>887525.6780000024</v>
      </c>
      <c r="H267" s="2">
        <v>2905553.3109999979</v>
      </c>
      <c r="I267" s="2">
        <v>38157459.723999701</v>
      </c>
      <c r="J267" s="2">
        <v>0</v>
      </c>
      <c r="K267" s="2">
        <v>1267475.5970000008</v>
      </c>
      <c r="L267" s="2">
        <v>92739.67300000001</v>
      </c>
      <c r="M267" s="2">
        <v>240658.58200000002</v>
      </c>
      <c r="N267" s="2">
        <v>339087.69099999999</v>
      </c>
      <c r="O267" s="2">
        <v>554200.60200000135</v>
      </c>
    </row>
    <row r="268" spans="1:15" x14ac:dyDescent="0.3">
      <c r="A268" s="6">
        <v>267</v>
      </c>
      <c r="B268" s="6">
        <v>2022</v>
      </c>
      <c r="C268" s="6">
        <v>3</v>
      </c>
      <c r="D268" s="2">
        <v>211206.84099999824</v>
      </c>
      <c r="E268" s="2">
        <v>587858.73799999966</v>
      </c>
      <c r="F268" s="2">
        <v>5325963.2020001132</v>
      </c>
      <c r="G268" s="2">
        <v>1033617.9700000036</v>
      </c>
      <c r="H268" s="2">
        <v>2246132.460999988</v>
      </c>
      <c r="I268" s="2">
        <v>43129554.834001407</v>
      </c>
      <c r="J268" s="2">
        <v>0</v>
      </c>
      <c r="K268" s="2">
        <v>1476862.3780000028</v>
      </c>
      <c r="L268" s="2">
        <v>82137.090999999855</v>
      </c>
      <c r="M268" s="2">
        <v>246993.90099999998</v>
      </c>
      <c r="N268" s="2">
        <v>437007.90099999937</v>
      </c>
      <c r="O268" s="2">
        <v>583922.17799999786</v>
      </c>
    </row>
    <row r="269" spans="1:15" x14ac:dyDescent="0.3">
      <c r="A269" s="6">
        <v>268</v>
      </c>
      <c r="B269" s="6">
        <v>2022</v>
      </c>
      <c r="C269" s="6">
        <v>4</v>
      </c>
      <c r="D269" s="2">
        <v>502784.27600000153</v>
      </c>
      <c r="E269" s="2">
        <v>252316.33300000019</v>
      </c>
      <c r="F269" s="2">
        <v>4965047.0960001657</v>
      </c>
      <c r="G269" s="2">
        <v>1005253.0600000023</v>
      </c>
      <c r="H269" s="2">
        <v>1164275.4829999916</v>
      </c>
      <c r="I269" s="2">
        <v>39309946.333999537</v>
      </c>
      <c r="J269" s="2">
        <v>0</v>
      </c>
      <c r="K269" s="2">
        <v>1437665.8189999978</v>
      </c>
      <c r="L269" s="2">
        <v>78829.254999999976</v>
      </c>
      <c r="M269" s="2">
        <v>145.613</v>
      </c>
      <c r="N269" s="2">
        <v>556985.47599999851</v>
      </c>
      <c r="O269" s="2">
        <v>671399.87600000238</v>
      </c>
    </row>
    <row r="270" spans="1:15" x14ac:dyDescent="0.3">
      <c r="A270" s="6">
        <v>269</v>
      </c>
      <c r="B270" s="6">
        <v>2022</v>
      </c>
      <c r="C270" s="6">
        <v>5</v>
      </c>
      <c r="D270" s="2">
        <v>944697.21899999853</v>
      </c>
      <c r="E270" s="2">
        <v>500023.70600000006</v>
      </c>
      <c r="F270" s="2">
        <v>5818921.0284999069</v>
      </c>
      <c r="G270" s="2">
        <v>1004282.4329999971</v>
      </c>
      <c r="H270" s="2">
        <v>1138835.6649999849</v>
      </c>
      <c r="I270" s="2">
        <v>37250508.85900043</v>
      </c>
      <c r="J270" s="2">
        <v>0</v>
      </c>
      <c r="K270" s="2">
        <v>1441556.0010000002</v>
      </c>
      <c r="L270" s="2">
        <v>44045.765000000029</v>
      </c>
      <c r="M270" s="2">
        <v>10.452999999999999</v>
      </c>
      <c r="N270" s="2">
        <v>1481114.892</v>
      </c>
      <c r="O270" s="2">
        <v>684678.46900000074</v>
      </c>
    </row>
    <row r="271" spans="1:15" x14ac:dyDescent="0.3">
      <c r="A271" s="6">
        <v>270</v>
      </c>
      <c r="B271" s="6">
        <v>2022</v>
      </c>
      <c r="C271" s="6">
        <v>6</v>
      </c>
      <c r="D271" s="2">
        <v>984369.57400000561</v>
      </c>
      <c r="E271" s="2">
        <v>682151.99600000062</v>
      </c>
      <c r="F271" s="2">
        <v>5774772.175000065</v>
      </c>
      <c r="G271" s="2">
        <v>977980.51999999885</v>
      </c>
      <c r="H271" s="2">
        <v>1761810.4820000057</v>
      </c>
      <c r="I271" s="2">
        <v>34532204.953999475</v>
      </c>
      <c r="J271" s="2">
        <v>0</v>
      </c>
      <c r="K271" s="2">
        <v>741752.04899999942</v>
      </c>
      <c r="L271" s="2">
        <v>34119.692999999956</v>
      </c>
      <c r="M271" s="2">
        <v>0</v>
      </c>
      <c r="N271" s="2">
        <v>1775278.4470000009</v>
      </c>
      <c r="O271" s="2">
        <v>719951.93599999952</v>
      </c>
    </row>
    <row r="272" spans="1:15" x14ac:dyDescent="0.3">
      <c r="A272" s="6">
        <v>271</v>
      </c>
      <c r="B272" s="6">
        <v>2022</v>
      </c>
      <c r="C272" s="6">
        <v>7</v>
      </c>
      <c r="D272" s="2">
        <v>1148399.8889999785</v>
      </c>
      <c r="E272" s="2">
        <v>716738.33899999969</v>
      </c>
      <c r="F272" s="2">
        <v>8161031.192000268</v>
      </c>
      <c r="G272" s="2">
        <v>1142322.2210000097</v>
      </c>
      <c r="H272" s="2">
        <v>1519528.0850000076</v>
      </c>
      <c r="I272" s="2">
        <v>33937509.350999035</v>
      </c>
      <c r="J272" s="2">
        <v>0</v>
      </c>
      <c r="K272" s="2">
        <v>635785.12899999926</v>
      </c>
      <c r="L272" s="2">
        <v>42631.309999999903</v>
      </c>
      <c r="M272" s="2">
        <v>0</v>
      </c>
      <c r="N272" s="2">
        <v>1895248.8830000011</v>
      </c>
      <c r="O272" s="2">
        <v>688330.46200000087</v>
      </c>
    </row>
    <row r="273" spans="1:15" x14ac:dyDescent="0.3">
      <c r="A273" s="6">
        <v>272</v>
      </c>
      <c r="B273" s="6">
        <v>2022</v>
      </c>
      <c r="C273" s="6">
        <v>8</v>
      </c>
      <c r="D273" s="2">
        <v>1048038.0449999803</v>
      </c>
      <c r="E273" s="2">
        <v>747688.01599999855</v>
      </c>
      <c r="F273" s="2">
        <v>9153487.4229999147</v>
      </c>
      <c r="G273" s="2">
        <v>1282265.1600000025</v>
      </c>
      <c r="H273" s="2">
        <v>1646443.8899999887</v>
      </c>
      <c r="I273" s="2">
        <v>32596805.715000652</v>
      </c>
      <c r="J273" s="2">
        <v>0</v>
      </c>
      <c r="K273" s="2">
        <v>1182331.8049999992</v>
      </c>
      <c r="L273" s="2">
        <v>48943.988999999994</v>
      </c>
      <c r="M273" s="2">
        <v>0</v>
      </c>
      <c r="N273" s="2">
        <v>1844535.4899999998</v>
      </c>
      <c r="O273" s="2">
        <v>684612.12700000114</v>
      </c>
    </row>
    <row r="274" spans="1:15" x14ac:dyDescent="0.3">
      <c r="A274" s="6">
        <v>273</v>
      </c>
      <c r="B274" s="6">
        <v>2022</v>
      </c>
      <c r="C274" s="6">
        <v>9</v>
      </c>
      <c r="D274" s="2">
        <v>964316.37199998391</v>
      </c>
      <c r="E274" s="2">
        <v>705393.35600000026</v>
      </c>
      <c r="F274" s="2">
        <v>9073832.7720001191</v>
      </c>
      <c r="G274" s="2">
        <v>1374053.168999987</v>
      </c>
      <c r="H274" s="2">
        <v>1666511.682000014</v>
      </c>
      <c r="I274" s="2">
        <v>31762733.837999921</v>
      </c>
      <c r="J274" s="2">
        <v>0</v>
      </c>
      <c r="K274" s="2">
        <v>1103195.0270000007</v>
      </c>
      <c r="L274" s="2">
        <v>67056.514999999927</v>
      </c>
      <c r="M274" s="2">
        <v>0</v>
      </c>
      <c r="N274" s="2">
        <v>1800759.0370000002</v>
      </c>
      <c r="O274" s="2">
        <v>669117.05199999642</v>
      </c>
    </row>
    <row r="275" spans="1:15" x14ac:dyDescent="0.3">
      <c r="A275" s="6">
        <v>274</v>
      </c>
      <c r="B275" s="6">
        <v>2022</v>
      </c>
      <c r="C275" s="6">
        <v>10</v>
      </c>
      <c r="D275" s="2">
        <v>822476.55499999446</v>
      </c>
      <c r="E275" s="2">
        <v>675967.02900000068</v>
      </c>
      <c r="F275" s="2">
        <v>9549743.3000001516</v>
      </c>
      <c r="G275" s="2">
        <v>1493053.6449999777</v>
      </c>
      <c r="H275" s="2">
        <v>1779017.1639999957</v>
      </c>
      <c r="I275" s="2">
        <v>33169743.143999733</v>
      </c>
      <c r="J275" s="2">
        <v>0</v>
      </c>
      <c r="K275" s="2">
        <v>1493123.8879999996</v>
      </c>
      <c r="L275" s="2">
        <v>57649.36599999998</v>
      </c>
      <c r="M275" s="2">
        <v>0</v>
      </c>
      <c r="N275" s="2">
        <v>1591779.2980000009</v>
      </c>
      <c r="O275" s="2">
        <v>675210.89300000016</v>
      </c>
    </row>
    <row r="276" spans="1:15" x14ac:dyDescent="0.3">
      <c r="A276" s="6">
        <v>275</v>
      </c>
      <c r="B276" s="6">
        <v>2022</v>
      </c>
      <c r="C276" s="6">
        <v>11</v>
      </c>
      <c r="D276" s="2">
        <v>672106.05199999548</v>
      </c>
      <c r="E276" s="2">
        <v>597657.03100000008</v>
      </c>
      <c r="F276" s="2">
        <v>6117196.7630000785</v>
      </c>
      <c r="G276" s="2">
        <v>1249786.5130000107</v>
      </c>
      <c r="H276" s="2">
        <v>1717699.0809999951</v>
      </c>
      <c r="I276" s="2">
        <v>36296658.195999205</v>
      </c>
      <c r="J276" s="2">
        <v>1004.2019999999998</v>
      </c>
      <c r="K276" s="2">
        <v>816124.5959999999</v>
      </c>
      <c r="L276" s="2">
        <v>41591.034999999945</v>
      </c>
      <c r="M276" s="2">
        <v>0</v>
      </c>
      <c r="N276" s="2">
        <v>1465239.1190000004</v>
      </c>
      <c r="O276" s="2">
        <v>585068.7470000023</v>
      </c>
    </row>
    <row r="277" spans="1:15" x14ac:dyDescent="0.3">
      <c r="A277" s="6">
        <v>276</v>
      </c>
      <c r="B277" s="6">
        <v>2022</v>
      </c>
      <c r="C277" s="6">
        <v>12</v>
      </c>
      <c r="D277" s="2">
        <v>306650.58000000188</v>
      </c>
      <c r="E277" s="2">
        <v>209905.47599999962</v>
      </c>
      <c r="F277" s="2">
        <v>6462597.27100005</v>
      </c>
      <c r="G277" s="2">
        <v>1348495.9299999967</v>
      </c>
      <c r="H277" s="2">
        <v>1978251.1589999932</v>
      </c>
      <c r="I277" s="2">
        <v>38617606.288998224</v>
      </c>
      <c r="J277" s="2">
        <v>7848.5080000000016</v>
      </c>
      <c r="K277" s="2">
        <v>1470297.5180000034</v>
      </c>
      <c r="L277" s="2">
        <v>33471.523999999983</v>
      </c>
      <c r="M277" s="2">
        <v>2870.6759999999999</v>
      </c>
      <c r="N277" s="2">
        <v>853375.81499999727</v>
      </c>
      <c r="O277" s="2">
        <v>675388.76499999769</v>
      </c>
    </row>
    <row r="278" spans="1:15" x14ac:dyDescent="0.3">
      <c r="A278" s="6">
        <v>277</v>
      </c>
      <c r="B278" s="6">
        <v>2023</v>
      </c>
      <c r="C278" s="6">
        <v>1</v>
      </c>
      <c r="D278" s="2">
        <v>225045.19100000392</v>
      </c>
      <c r="E278" s="2">
        <v>393204.99099999992</v>
      </c>
      <c r="F278" s="2">
        <v>6387675.145000034</v>
      </c>
      <c r="G278" s="2">
        <v>1462580.6869999978</v>
      </c>
      <c r="H278" s="2">
        <v>1723932.1320000037</v>
      </c>
      <c r="I278" s="2">
        <v>40838463.99900046</v>
      </c>
      <c r="J278" s="2">
        <v>5001.2090000000026</v>
      </c>
      <c r="K278" s="2">
        <v>1492829.6250000014</v>
      </c>
      <c r="L278" s="2">
        <v>20090.790999999987</v>
      </c>
      <c r="M278" s="2">
        <v>7103.5710000000008</v>
      </c>
      <c r="N278" s="2">
        <v>380076.44500000117</v>
      </c>
      <c r="O278" s="2">
        <v>676617.42699999362</v>
      </c>
    </row>
    <row r="279" spans="1:15" x14ac:dyDescent="0.3">
      <c r="A279" s="6">
        <v>278</v>
      </c>
      <c r="B279" s="6">
        <v>2023</v>
      </c>
      <c r="C279" s="6">
        <v>2</v>
      </c>
      <c r="D279" s="2">
        <v>178527.07000000423</v>
      </c>
      <c r="E279" s="2">
        <v>352507.65199999965</v>
      </c>
      <c r="F279" s="2">
        <v>6562083.1390000256</v>
      </c>
      <c r="G279" s="2">
        <v>1477968.9659999942</v>
      </c>
      <c r="H279" s="2">
        <v>1167370.7299999977</v>
      </c>
      <c r="I279" s="2">
        <v>38794731.486000352</v>
      </c>
      <c r="J279" s="2">
        <v>4383.8640000000005</v>
      </c>
      <c r="K279" s="2">
        <v>1163653.5199999979</v>
      </c>
      <c r="L279" s="2">
        <v>18243.702000000019</v>
      </c>
      <c r="M279" s="2">
        <v>6056.273000000001</v>
      </c>
      <c r="N279" s="2">
        <v>351750.7329999996</v>
      </c>
      <c r="O279" s="2">
        <v>603969.54299999727</v>
      </c>
    </row>
    <row r="280" spans="1:15" x14ac:dyDescent="0.3">
      <c r="A280" s="6">
        <v>279</v>
      </c>
      <c r="B280" s="6">
        <v>2023</v>
      </c>
      <c r="C280" s="6">
        <v>3</v>
      </c>
      <c r="D280" s="2">
        <v>253532.22800000585</v>
      </c>
      <c r="E280" s="2">
        <v>668828.27100000018</v>
      </c>
      <c r="F280" s="2">
        <v>6120941.1699999347</v>
      </c>
      <c r="G280" s="2">
        <v>1533041.1249999905</v>
      </c>
      <c r="H280" s="2">
        <v>1213065.3399999982</v>
      </c>
      <c r="I280" s="2">
        <v>44976523.823001005</v>
      </c>
      <c r="J280" s="2">
        <v>5981.6909999999934</v>
      </c>
      <c r="K280" s="2">
        <v>1279239.1679999984</v>
      </c>
      <c r="L280" s="2">
        <v>21553.153999999991</v>
      </c>
      <c r="M280" s="2">
        <v>11235.89</v>
      </c>
      <c r="N280" s="2">
        <v>476819.06499999936</v>
      </c>
      <c r="O280" s="2">
        <v>562154.9160000016</v>
      </c>
    </row>
    <row r="281" spans="1:15" x14ac:dyDescent="0.3">
      <c r="A281" s="6">
        <v>280</v>
      </c>
      <c r="B281" s="6">
        <v>2023</v>
      </c>
      <c r="C281" s="6">
        <v>4</v>
      </c>
      <c r="D281" s="2">
        <v>561175.53399999929</v>
      </c>
      <c r="E281" s="2">
        <v>575352.92900000117</v>
      </c>
      <c r="F281" s="2">
        <v>4853266.2340000402</v>
      </c>
      <c r="G281" s="2">
        <v>1613629.724999984</v>
      </c>
      <c r="H281" s="2">
        <v>1575248.199000003</v>
      </c>
      <c r="I281" s="2">
        <v>39063389.416000411</v>
      </c>
      <c r="J281" s="2">
        <v>5801.0609999999979</v>
      </c>
      <c r="K281" s="2">
        <v>1387234.9639999983</v>
      </c>
      <c r="L281" s="2">
        <v>22113.550999999996</v>
      </c>
      <c r="M281" s="2">
        <v>11144.984999999997</v>
      </c>
      <c r="N281" s="2">
        <v>783555.26900000102</v>
      </c>
      <c r="O281" s="2">
        <v>594489.74199999962</v>
      </c>
    </row>
    <row r="282" spans="1:15" x14ac:dyDescent="0.3">
      <c r="A282" s="6">
        <v>281</v>
      </c>
      <c r="B282" s="6">
        <v>2023</v>
      </c>
      <c r="C282" s="6">
        <v>5</v>
      </c>
      <c r="D282" s="2">
        <v>959032.86899998225</v>
      </c>
      <c r="E282" s="2">
        <v>502854.99000000046</v>
      </c>
      <c r="F282" s="2">
        <v>6878180.9159999434</v>
      </c>
      <c r="G282" s="2">
        <v>3758816.5150000001</v>
      </c>
      <c r="H282" s="2">
        <v>1193043.824999999</v>
      </c>
      <c r="I282" s="2">
        <v>36745486.924998783</v>
      </c>
      <c r="J282" s="2">
        <v>5343.2460000000028</v>
      </c>
      <c r="K282" s="2">
        <v>1492574.8180000009</v>
      </c>
      <c r="L282" s="2">
        <v>20593.127000000022</v>
      </c>
      <c r="M282" s="2">
        <v>7437.7520000000004</v>
      </c>
      <c r="N282" s="2">
        <v>1515568.2580000008</v>
      </c>
      <c r="O282" s="2">
        <v>661790.13999999687</v>
      </c>
    </row>
    <row r="283" spans="1:15" x14ac:dyDescent="0.3">
      <c r="A283" s="6">
        <v>282</v>
      </c>
      <c r="B283" s="6">
        <v>2023</v>
      </c>
      <c r="C283" s="6">
        <v>6</v>
      </c>
      <c r="D283" s="2">
        <v>979992.37699998321</v>
      </c>
      <c r="E283" s="2">
        <v>715132.2050000017</v>
      </c>
      <c r="F283" s="2">
        <v>8576419.3150000721</v>
      </c>
      <c r="G283" s="2">
        <v>3590290.1030000178</v>
      </c>
      <c r="H283" s="2">
        <v>2196556.4959999882</v>
      </c>
      <c r="I283" s="2">
        <v>31332275.543000005</v>
      </c>
      <c r="J283" s="2">
        <v>4176.2380000000012</v>
      </c>
      <c r="K283" s="2">
        <v>1447130.995000001</v>
      </c>
      <c r="L283" s="2">
        <v>21532.997000000007</v>
      </c>
      <c r="M283" s="2">
        <v>2802.1520000000019</v>
      </c>
      <c r="N283" s="2">
        <v>1493136.9880000008</v>
      </c>
      <c r="O283" s="2">
        <v>556725.92400000151</v>
      </c>
    </row>
    <row r="284" spans="1:15" x14ac:dyDescent="0.3">
      <c r="A284" s="6">
        <v>283</v>
      </c>
      <c r="B284" s="6">
        <v>2023</v>
      </c>
      <c r="C284" s="6">
        <v>7</v>
      </c>
      <c r="D284" s="2">
        <v>1073113.8489999874</v>
      </c>
      <c r="E284" s="2">
        <v>833343.51699999813</v>
      </c>
      <c r="F284" s="2">
        <v>9945467.9889998958</v>
      </c>
      <c r="G284" s="2">
        <v>4133202.7930000103</v>
      </c>
      <c r="H284" s="2">
        <v>1588242.1049999963</v>
      </c>
      <c r="I284" s="2">
        <v>30999151.377999756</v>
      </c>
      <c r="J284" s="2">
        <v>3724.9570000000022</v>
      </c>
      <c r="K284" s="2">
        <v>1469504.0859999983</v>
      </c>
      <c r="L284" s="2">
        <v>22014.539999999997</v>
      </c>
      <c r="M284" s="2">
        <v>3349.2410000000013</v>
      </c>
      <c r="N284" s="2">
        <v>1714436.7510000004</v>
      </c>
      <c r="O284" s="2">
        <v>502492.31500000349</v>
      </c>
    </row>
    <row r="285" spans="1:15" x14ac:dyDescent="0.3">
      <c r="A285" s="6">
        <v>284</v>
      </c>
      <c r="B285" s="6">
        <v>2023</v>
      </c>
      <c r="C285" s="6">
        <v>8</v>
      </c>
      <c r="D285" s="2">
        <v>1110545.7359999733</v>
      </c>
      <c r="E285" s="2">
        <v>768811.0699999996</v>
      </c>
      <c r="F285" s="2">
        <v>9125533.6360000707</v>
      </c>
      <c r="G285" s="2">
        <v>4653854.574000014</v>
      </c>
      <c r="H285" s="2">
        <v>1496650.7810000074</v>
      </c>
      <c r="I285" s="2">
        <v>33186529.985999305</v>
      </c>
      <c r="J285" s="2">
        <v>5288.652000000001</v>
      </c>
      <c r="K285" s="2">
        <v>1494983.3399999966</v>
      </c>
      <c r="L285" s="2">
        <v>31890.881000000034</v>
      </c>
      <c r="M285" s="2">
        <v>1222.509</v>
      </c>
      <c r="N285" s="2">
        <v>1847191.3720000009</v>
      </c>
      <c r="O285" s="2">
        <v>538284.03000000038</v>
      </c>
    </row>
    <row r="286" spans="1:15" x14ac:dyDescent="0.3">
      <c r="A286" s="6">
        <v>285</v>
      </c>
      <c r="B286" s="6">
        <v>2023</v>
      </c>
      <c r="C286" s="6">
        <v>9</v>
      </c>
      <c r="D286" s="2">
        <v>1051577.6670000011</v>
      </c>
      <c r="E286" s="2">
        <v>574350.98099999945</v>
      </c>
      <c r="F286" s="2">
        <v>9179084.5680001397</v>
      </c>
      <c r="G286" s="2">
        <v>5079336.7460000208</v>
      </c>
      <c r="H286" s="2">
        <v>1395149.053000005</v>
      </c>
      <c r="I286" s="2">
        <v>33855687.211999752</v>
      </c>
      <c r="J286" s="2">
        <v>5712.6439999999975</v>
      </c>
      <c r="K286" s="2">
        <v>1226199.7989999996</v>
      </c>
      <c r="L286" s="2">
        <v>45184.522000000041</v>
      </c>
      <c r="M286" s="2">
        <v>1099.2909999999999</v>
      </c>
      <c r="N286" s="2">
        <v>1734265.9410000008</v>
      </c>
      <c r="O286" s="2">
        <v>602780.55899999943</v>
      </c>
    </row>
    <row r="287" spans="1:15" x14ac:dyDescent="0.3">
      <c r="A287" s="6">
        <v>286</v>
      </c>
      <c r="B287" s="6">
        <v>2023</v>
      </c>
      <c r="C287" s="6">
        <v>10</v>
      </c>
      <c r="D287" s="2">
        <v>1030873.0649999657</v>
      </c>
      <c r="E287" s="2">
        <v>736396.42799999856</v>
      </c>
      <c r="F287" s="2">
        <v>9699445.6080000177</v>
      </c>
      <c r="G287" s="2">
        <v>5393291.45800009</v>
      </c>
      <c r="H287" s="2">
        <v>1441071.6540000034</v>
      </c>
      <c r="I287" s="2">
        <v>36581654.398000233</v>
      </c>
      <c r="J287" s="2">
        <v>5530.9340000000047</v>
      </c>
      <c r="K287" s="2">
        <v>360595.11999999965</v>
      </c>
      <c r="L287" s="2">
        <v>65463.025999999911</v>
      </c>
      <c r="M287" s="2">
        <v>982.27900000000022</v>
      </c>
      <c r="N287" s="2">
        <v>1728461.7490000005</v>
      </c>
      <c r="O287" s="2">
        <v>545440.50199999963</v>
      </c>
    </row>
    <row r="288" spans="1:15" x14ac:dyDescent="0.3">
      <c r="A288" s="6">
        <v>287</v>
      </c>
      <c r="B288" s="6">
        <v>2023</v>
      </c>
      <c r="C288" s="6">
        <v>11</v>
      </c>
      <c r="D288" s="2">
        <v>894115.7919999907</v>
      </c>
      <c r="E288" s="2">
        <v>866468.70399999956</v>
      </c>
      <c r="F288" s="2">
        <v>8073219.567000106</v>
      </c>
      <c r="G288" s="2">
        <v>5948958.2320000604</v>
      </c>
      <c r="H288" s="2">
        <v>2567127.179000013</v>
      </c>
      <c r="I288" s="2">
        <v>37136737.160999939</v>
      </c>
      <c r="J288" s="2">
        <v>6664.3590000000058</v>
      </c>
      <c r="K288" s="2">
        <v>447023.57799999928</v>
      </c>
      <c r="L288" s="2">
        <v>129577.15000000014</v>
      </c>
      <c r="M288" s="2">
        <v>3307.7549999999992</v>
      </c>
      <c r="N288" s="2">
        <v>1572355.959</v>
      </c>
      <c r="O288" s="2">
        <v>565931.47899999947</v>
      </c>
    </row>
    <row r="289" spans="1:15" x14ac:dyDescent="0.3">
      <c r="A289" s="6">
        <v>288</v>
      </c>
      <c r="B289" s="6">
        <v>2023</v>
      </c>
      <c r="C289" s="6">
        <v>12</v>
      </c>
      <c r="D289" s="2">
        <v>603911.86599999503</v>
      </c>
      <c r="E289" s="2">
        <v>645368.61700000113</v>
      </c>
      <c r="F289" s="2">
        <v>8274145.5100001236</v>
      </c>
      <c r="G289" s="2">
        <v>6066471.4009999642</v>
      </c>
      <c r="H289" s="2">
        <v>2858574.0730000199</v>
      </c>
      <c r="I289" s="2">
        <v>38608568.189399645</v>
      </c>
      <c r="J289" s="2">
        <v>5693.6330000000034</v>
      </c>
      <c r="K289" s="2">
        <v>1242753.878000001</v>
      </c>
      <c r="L289" s="2">
        <v>107433.07899999974</v>
      </c>
      <c r="M289" s="2">
        <v>4894.9960000000019</v>
      </c>
      <c r="N289" s="2">
        <v>1182584.7899999963</v>
      </c>
      <c r="O289" s="2">
        <v>523819.38100000418</v>
      </c>
    </row>
    <row r="290" spans="1:15" x14ac:dyDescent="0.3">
      <c r="A290" s="6">
        <v>289</v>
      </c>
      <c r="B290" s="6">
        <v>2024</v>
      </c>
      <c r="C290" s="6">
        <v>1</v>
      </c>
      <c r="D290" s="2">
        <v>299603.55800001835</v>
      </c>
      <c r="E290" s="2">
        <v>613767.48000000056</v>
      </c>
      <c r="F290" s="2">
        <v>5496652.7300000247</v>
      </c>
      <c r="G290" s="2">
        <v>5779142.4640000397</v>
      </c>
      <c r="H290" s="2">
        <v>2620028.4799999837</v>
      </c>
      <c r="I290" s="2">
        <v>41807075.99700094</v>
      </c>
      <c r="J290" s="2">
        <v>5338.7309999999961</v>
      </c>
      <c r="K290" s="2">
        <v>1447149.5889999995</v>
      </c>
      <c r="L290" s="2">
        <v>47003.550000000054</v>
      </c>
      <c r="M290" s="2">
        <v>6261.1489999999985</v>
      </c>
      <c r="N290" s="2">
        <v>434713.59100000013</v>
      </c>
      <c r="O290" s="2">
        <v>571490.5779999973</v>
      </c>
    </row>
    <row r="291" spans="1:15" x14ac:dyDescent="0.3">
      <c r="A291" s="6">
        <v>290</v>
      </c>
      <c r="B291" s="6">
        <v>2024</v>
      </c>
      <c r="C291" s="6">
        <v>2</v>
      </c>
      <c r="D291" s="2">
        <v>313451.10900000593</v>
      </c>
      <c r="E291" s="2">
        <v>810019.16500000085</v>
      </c>
      <c r="F291" s="2">
        <v>6248023.9640000314</v>
      </c>
      <c r="G291" s="2">
        <v>5549854.0540000256</v>
      </c>
      <c r="H291" s="2">
        <v>1543730.2830000049</v>
      </c>
      <c r="I291" s="2">
        <v>41158039.608000748</v>
      </c>
      <c r="J291" s="2">
        <v>5545.5460000000039</v>
      </c>
      <c r="K291" s="2">
        <v>1383340.8859999976</v>
      </c>
      <c r="L291" s="2">
        <v>29231.974000000031</v>
      </c>
      <c r="M291" s="2">
        <v>9415.6070000000072</v>
      </c>
      <c r="N291" s="2">
        <v>310837.07500000001</v>
      </c>
      <c r="O291" s="2">
        <v>596205.17700000736</v>
      </c>
    </row>
    <row r="292" spans="1:15" x14ac:dyDescent="0.3">
      <c r="A292" s="6">
        <v>291</v>
      </c>
      <c r="B292" s="6">
        <v>2024</v>
      </c>
      <c r="C292" s="6">
        <v>3</v>
      </c>
      <c r="D292" s="2">
        <v>464671.68700001691</v>
      </c>
      <c r="E292" s="2">
        <v>556531.59300000023</v>
      </c>
      <c r="F292" s="2">
        <v>5210013.5039999504</v>
      </c>
      <c r="G292" s="2">
        <v>5942193.8050000649</v>
      </c>
      <c r="H292" s="2">
        <v>1531374.8379999953</v>
      </c>
      <c r="I292" s="2">
        <v>45319554.445000693</v>
      </c>
      <c r="J292" s="2">
        <v>6799.9709999999959</v>
      </c>
      <c r="K292" s="2">
        <v>1400648.9770000004</v>
      </c>
      <c r="L292" s="2">
        <v>72297.462</v>
      </c>
      <c r="M292" s="2">
        <v>4565.0429999999969</v>
      </c>
      <c r="N292" s="2">
        <v>383096.1389999995</v>
      </c>
      <c r="O292" s="2">
        <v>578053.81200000586</v>
      </c>
    </row>
    <row r="293" spans="1:15" x14ac:dyDescent="0.3">
      <c r="A293" s="6">
        <v>292</v>
      </c>
      <c r="B293" s="6">
        <v>2024</v>
      </c>
      <c r="C293" s="6">
        <v>4</v>
      </c>
      <c r="D293" s="2">
        <v>712086.44700001774</v>
      </c>
      <c r="E293" s="2">
        <v>207504.80300000007</v>
      </c>
      <c r="F293" s="2">
        <v>5894657.680999903</v>
      </c>
      <c r="G293" s="2">
        <v>5630334.417000005</v>
      </c>
      <c r="H293" s="2">
        <v>1404223.2830000028</v>
      </c>
      <c r="I293" s="2">
        <v>40914898.064000636</v>
      </c>
      <c r="J293" s="2">
        <v>6158.5300000000007</v>
      </c>
      <c r="K293" s="2">
        <v>1434791.6999999997</v>
      </c>
      <c r="L293" s="2">
        <v>49413.661999999364</v>
      </c>
      <c r="M293" s="2">
        <v>4304.7019999999966</v>
      </c>
      <c r="N293" s="2">
        <v>772690.7440000003</v>
      </c>
      <c r="O293" s="2">
        <v>486777.2970000045</v>
      </c>
    </row>
    <row r="294" spans="1:15" x14ac:dyDescent="0.3">
      <c r="A294" s="6">
        <v>293</v>
      </c>
      <c r="B294" s="6">
        <v>2024</v>
      </c>
      <c r="C294" s="6">
        <v>5</v>
      </c>
      <c r="D294" s="2">
        <v>1036787.4850000209</v>
      </c>
      <c r="E294" s="2">
        <v>415646.68</v>
      </c>
      <c r="F294" s="2">
        <v>8751061.9289998356</v>
      </c>
      <c r="G294" s="2">
        <v>5508900.0219999813</v>
      </c>
      <c r="H294" s="2">
        <v>1192595.2019999959</v>
      </c>
      <c r="I294" s="2">
        <v>37427924.024001054</v>
      </c>
      <c r="J294" s="2">
        <v>5903.645000000005</v>
      </c>
      <c r="K294" s="2">
        <v>1265158.7229999995</v>
      </c>
      <c r="L294" s="2">
        <v>20622.043999999933</v>
      </c>
      <c r="M294" s="2">
        <v>40061.114000000001</v>
      </c>
      <c r="N294" s="2">
        <v>1559411.2470000018</v>
      </c>
      <c r="O294" s="2">
        <v>555697.89700000233</v>
      </c>
    </row>
    <row r="295" spans="1:15" x14ac:dyDescent="0.3">
      <c r="A295" s="6">
        <v>294</v>
      </c>
      <c r="B295" s="6">
        <v>2024</v>
      </c>
      <c r="C295" s="6">
        <v>6</v>
      </c>
      <c r="D295" s="2">
        <v>1077344.0609999693</v>
      </c>
      <c r="E295" s="2">
        <v>541868.91000000015</v>
      </c>
      <c r="F295" s="2">
        <v>9592099.3619999848</v>
      </c>
      <c r="G295" s="2">
        <v>5123569.1130000716</v>
      </c>
      <c r="H295" s="2">
        <v>1414397.6479999914</v>
      </c>
      <c r="I295" s="2">
        <v>32353430.267999411</v>
      </c>
      <c r="J295" s="2">
        <v>1723.9899999999998</v>
      </c>
      <c r="K295" s="2">
        <v>1440311.1919999979</v>
      </c>
      <c r="L295" s="2">
        <v>21323.37300000004</v>
      </c>
      <c r="M295" s="2">
        <v>1352.3</v>
      </c>
      <c r="N295" s="2">
        <v>1594319.83</v>
      </c>
      <c r="O295" s="2">
        <v>578346.6520000014</v>
      </c>
    </row>
    <row r="296" spans="1:15" x14ac:dyDescent="0.3">
      <c r="A296" s="6">
        <v>295</v>
      </c>
      <c r="B296" s="6">
        <v>2024</v>
      </c>
      <c r="C296" s="6">
        <v>7</v>
      </c>
      <c r="D296" s="2">
        <v>1078012.9319999965</v>
      </c>
      <c r="E296" s="2">
        <v>666165.84600000107</v>
      </c>
      <c r="F296" s="2">
        <v>10917113.658000132</v>
      </c>
      <c r="G296" s="2">
        <v>5563417.7659999914</v>
      </c>
      <c r="H296" s="2">
        <v>2504161.5550000016</v>
      </c>
      <c r="I296" s="2">
        <v>31610175.176999066</v>
      </c>
      <c r="J296" s="2">
        <v>3468.6130000000007</v>
      </c>
      <c r="K296" s="2">
        <v>1491835.2530000005</v>
      </c>
      <c r="L296" s="2">
        <v>48556.996000000057</v>
      </c>
      <c r="M296" s="2">
        <v>6509.2689999999975</v>
      </c>
      <c r="N296" s="2">
        <v>1654263.3199999998</v>
      </c>
      <c r="O296" s="2">
        <v>577405.35999999964</v>
      </c>
    </row>
    <row r="297" spans="1:15" x14ac:dyDescent="0.3">
      <c r="A297" s="6">
        <v>296</v>
      </c>
      <c r="B297" s="6">
        <v>2024</v>
      </c>
      <c r="C297" s="6">
        <v>8</v>
      </c>
      <c r="D297" s="2">
        <v>1084835.3699999861</v>
      </c>
      <c r="E297" s="2">
        <v>889848.02500000084</v>
      </c>
      <c r="F297" s="2">
        <v>11884514.446999833</v>
      </c>
      <c r="G297" s="2">
        <v>6393456.7190000527</v>
      </c>
      <c r="H297" s="2">
        <v>3229597.5679999818</v>
      </c>
      <c r="I297" s="2">
        <v>30137297.081999611</v>
      </c>
      <c r="J297" s="2">
        <v>4666.9279999999981</v>
      </c>
      <c r="K297" s="2">
        <v>1492515.2560000008</v>
      </c>
      <c r="L297" s="2">
        <v>88635.546999999846</v>
      </c>
      <c r="M297" s="2">
        <v>9457.2620000000006</v>
      </c>
      <c r="N297" s="2">
        <v>1617492.7640000021</v>
      </c>
      <c r="O297" s="2">
        <v>517232.4530000044</v>
      </c>
    </row>
    <row r="298" spans="1:15" x14ac:dyDescent="0.3">
      <c r="A298" s="6">
        <v>297</v>
      </c>
      <c r="B298" s="6">
        <v>2024</v>
      </c>
      <c r="C298" s="6">
        <v>9</v>
      </c>
      <c r="D298" s="2">
        <v>1195675.645</v>
      </c>
      <c r="E298" s="2">
        <v>983201.75799999828</v>
      </c>
      <c r="F298" s="2">
        <v>11830532.459999982</v>
      </c>
      <c r="G298" s="2">
        <v>6759343.928000018</v>
      </c>
      <c r="H298" s="2">
        <v>4794739.4630000563</v>
      </c>
      <c r="I298" s="2">
        <v>28711235.538999781</v>
      </c>
      <c r="J298" s="2">
        <v>5143.9339999999956</v>
      </c>
      <c r="K298" s="2">
        <v>1426853.777999999</v>
      </c>
      <c r="L298" s="2">
        <v>123644.63899999997</v>
      </c>
      <c r="M298" s="2">
        <v>34806.950000000019</v>
      </c>
      <c r="N298" s="2">
        <v>1572227.483</v>
      </c>
      <c r="O298" s="2">
        <v>564481.44200000423</v>
      </c>
    </row>
    <row r="299" spans="1:15" x14ac:dyDescent="0.3">
      <c r="A299" s="6">
        <v>298</v>
      </c>
      <c r="B299" s="6">
        <v>2024</v>
      </c>
      <c r="C299" s="6">
        <v>10</v>
      </c>
      <c r="D299" s="2">
        <v>980584.71400000353</v>
      </c>
      <c r="E299" s="2">
        <v>1726091.5539999993</v>
      </c>
      <c r="F299" s="2">
        <v>10750731.018000118</v>
      </c>
      <c r="G299" s="2">
        <v>7619338.9020000203</v>
      </c>
      <c r="H299" s="2">
        <v>5179389.1029999917</v>
      </c>
      <c r="I299" s="2">
        <v>29937512.051999293</v>
      </c>
      <c r="J299" s="2">
        <v>2228.171000000003</v>
      </c>
      <c r="K299" s="2">
        <v>1485279.7980000011</v>
      </c>
      <c r="L299" s="2">
        <v>86953.126999999979</v>
      </c>
      <c r="M299" s="2">
        <v>20687.596000000009</v>
      </c>
      <c r="N299" s="2">
        <v>1679142.4349999994</v>
      </c>
      <c r="O299" s="2">
        <v>613117.15599999519</v>
      </c>
    </row>
    <row r="300" spans="1:15" x14ac:dyDescent="0.3">
      <c r="A300" s="6">
        <v>299</v>
      </c>
      <c r="B300" s="6">
        <v>2024</v>
      </c>
      <c r="C300" s="6">
        <v>11</v>
      </c>
      <c r="D300" s="2">
        <v>810514.14199999149</v>
      </c>
      <c r="E300" s="2">
        <v>945107.15100000438</v>
      </c>
      <c r="F300" s="2">
        <v>10004584.201000025</v>
      </c>
      <c r="G300" s="2">
        <v>7327936.1140000019</v>
      </c>
      <c r="H300" s="2">
        <v>3317990.4230000284</v>
      </c>
      <c r="I300" s="2">
        <v>33189606.540998511</v>
      </c>
      <c r="J300" s="2">
        <v>1766.1079999999999</v>
      </c>
      <c r="K300" s="2">
        <v>691834.50499999931</v>
      </c>
      <c r="L300" s="2">
        <v>92238.70300000011</v>
      </c>
      <c r="M300" s="2">
        <v>5466.0959999999986</v>
      </c>
      <c r="N300" s="2">
        <v>1230299.0880000002</v>
      </c>
      <c r="O300" s="2">
        <v>581981.43900000758</v>
      </c>
    </row>
    <row r="301" spans="1:15" x14ac:dyDescent="0.3">
      <c r="A301" s="6">
        <v>300</v>
      </c>
      <c r="B301" s="6">
        <v>2024</v>
      </c>
      <c r="C301" s="6">
        <v>12</v>
      </c>
      <c r="D301" s="2">
        <v>445790.13500001346</v>
      </c>
      <c r="E301" s="2">
        <v>753159.87899999938</v>
      </c>
      <c r="F301" s="2">
        <v>9409209.7440002039</v>
      </c>
      <c r="G301" s="2">
        <v>7743110.8239999721</v>
      </c>
      <c r="H301" s="2">
        <v>2875883.4389999858</v>
      </c>
      <c r="I301" s="2">
        <v>35745017.25299836</v>
      </c>
      <c r="J301" s="2">
        <v>2719.9039999999986</v>
      </c>
      <c r="K301" s="2">
        <v>769563.56499999948</v>
      </c>
      <c r="L301" s="2">
        <v>24726.655999999984</v>
      </c>
      <c r="M301" s="2">
        <v>14129.996999999988</v>
      </c>
      <c r="N301" s="2">
        <v>948463.90599999751</v>
      </c>
      <c r="O301" s="2">
        <v>577595.19500000181</v>
      </c>
    </row>
    <row r="302" spans="1:15" x14ac:dyDescent="0.3">
      <c r="A302" s="6">
        <v>301</v>
      </c>
      <c r="B302" s="6">
        <v>2025</v>
      </c>
      <c r="C302" s="6">
        <v>1</v>
      </c>
      <c r="D302" s="2">
        <v>231900.18500000102</v>
      </c>
      <c r="E302" s="2">
        <v>306080.33199999994</v>
      </c>
      <c r="F302" s="2">
        <v>5812282.6499999119</v>
      </c>
      <c r="G302" s="2">
        <v>7737088.3119999329</v>
      </c>
      <c r="H302" s="2">
        <v>2260029.3059999933</v>
      </c>
      <c r="I302" s="2">
        <v>43624918.003000706</v>
      </c>
      <c r="J302" s="2">
        <v>2971.4879999999966</v>
      </c>
      <c r="K302" s="2">
        <v>1357484.0380000011</v>
      </c>
      <c r="L302" s="2">
        <v>22435.64599999999</v>
      </c>
      <c r="M302" s="2">
        <v>4882.4949999999999</v>
      </c>
      <c r="N302" s="2">
        <v>329395.48200000066</v>
      </c>
      <c r="O302" s="2">
        <v>549594.59200000518</v>
      </c>
    </row>
    <row r="303" spans="1:15" x14ac:dyDescent="0.3">
      <c r="A303" s="6">
        <v>302</v>
      </c>
      <c r="B303" s="6">
        <v>2025</v>
      </c>
      <c r="C303" s="6">
        <v>2</v>
      </c>
      <c r="D303" s="2">
        <v>287585.60600001056</v>
      </c>
      <c r="E303" s="2">
        <v>630697.55899999954</v>
      </c>
      <c r="F303" s="2">
        <v>7324084.7499999814</v>
      </c>
      <c r="G303" s="2">
        <v>7356471.3610000229</v>
      </c>
      <c r="H303" s="2">
        <v>1521269.933</v>
      </c>
      <c r="I303" s="2">
        <v>41338288.5839995</v>
      </c>
      <c r="J303" s="2">
        <v>2028.3180000000018</v>
      </c>
      <c r="K303" s="2">
        <v>1330426.2089999972</v>
      </c>
      <c r="L303" s="2">
        <v>15828.762000000002</v>
      </c>
      <c r="M303" s="2">
        <v>10344.662999999997</v>
      </c>
      <c r="N303" s="2">
        <v>246977.09699999966</v>
      </c>
      <c r="O303" s="2">
        <v>535795.99199999939</v>
      </c>
    </row>
    <row r="304" spans="1:15" x14ac:dyDescent="0.3">
      <c r="A304" s="6">
        <v>303</v>
      </c>
      <c r="B304" s="6">
        <v>2025</v>
      </c>
      <c r="C304" s="6">
        <v>3</v>
      </c>
      <c r="D304" s="2">
        <v>361263.58900001505</v>
      </c>
      <c r="E304" s="2">
        <v>487989.22000000061</v>
      </c>
      <c r="F304" s="2">
        <v>8322738.5270001916</v>
      </c>
      <c r="G304" s="2">
        <v>8532550.4189999662</v>
      </c>
      <c r="H304" s="2">
        <v>1572228.8230000059</v>
      </c>
      <c r="I304" s="2">
        <v>42507682.365000285</v>
      </c>
      <c r="J304" s="2">
        <v>1479.0259999999992</v>
      </c>
      <c r="K304" s="2">
        <v>1443183.8389999999</v>
      </c>
      <c r="L304" s="2">
        <v>12207.677000000011</v>
      </c>
      <c r="M304" s="2">
        <v>12126.574000000001</v>
      </c>
      <c r="N304" s="2">
        <v>360452.28299999936</v>
      </c>
      <c r="O304" s="2">
        <v>571552.03300000262</v>
      </c>
    </row>
    <row r="305" spans="1:15" x14ac:dyDescent="0.3">
      <c r="A305" s="6">
        <v>304</v>
      </c>
      <c r="B305" s="6">
        <v>2025</v>
      </c>
      <c r="C305" s="6">
        <v>4</v>
      </c>
      <c r="D305" s="2">
        <v>554322.0190000009</v>
      </c>
      <c r="E305" s="2">
        <v>624979.96600000001</v>
      </c>
      <c r="F305" s="2">
        <v>7461279.3279999634</v>
      </c>
      <c r="G305" s="2">
        <v>7191480.0559999803</v>
      </c>
      <c r="H305" s="2">
        <v>1829392.9040000024</v>
      </c>
      <c r="I305" s="2">
        <v>37362075.818000175</v>
      </c>
      <c r="J305" s="2">
        <v>1613.6869999999999</v>
      </c>
      <c r="K305" s="2">
        <v>1026404.512</v>
      </c>
      <c r="L305" s="2">
        <v>9446.7449999999972</v>
      </c>
      <c r="M305" s="2">
        <v>9290.0740000000042</v>
      </c>
      <c r="N305" s="2">
        <v>704086.58399999957</v>
      </c>
      <c r="O305" s="2">
        <v>569007.18900000048</v>
      </c>
    </row>
    <row r="306" spans="1:15" x14ac:dyDescent="0.3">
      <c r="A306" s="6">
        <v>305</v>
      </c>
      <c r="B306" s="6">
        <v>2025</v>
      </c>
      <c r="C306" s="6">
        <v>5</v>
      </c>
      <c r="D306" s="2">
        <v>873939.7119999954</v>
      </c>
      <c r="E306" s="2">
        <v>590826.72200000088</v>
      </c>
      <c r="F306" s="2">
        <v>10546522.789000116</v>
      </c>
      <c r="G306" s="2">
        <v>6752909.2219999908</v>
      </c>
      <c r="H306" s="2">
        <v>1941517.4679999908</v>
      </c>
      <c r="I306" s="2">
        <v>33354187.387000393</v>
      </c>
      <c r="J306" s="2">
        <v>1092.8860000000006</v>
      </c>
      <c r="K306" s="2">
        <v>1009487.3769999995</v>
      </c>
      <c r="L306" s="2">
        <v>9261.1450000000004</v>
      </c>
      <c r="M306" s="2">
        <v>2895.2989999999972</v>
      </c>
      <c r="N306" s="2">
        <v>1263759.2800000007</v>
      </c>
      <c r="O306" s="2">
        <v>501285.78699999943</v>
      </c>
    </row>
    <row r="307" spans="1:15" x14ac:dyDescent="0.3">
      <c r="A307" s="6">
        <v>306</v>
      </c>
      <c r="B307" s="6">
        <v>2025</v>
      </c>
      <c r="C307" s="6">
        <v>6</v>
      </c>
      <c r="D307" s="2">
        <v>932014.10000000661</v>
      </c>
      <c r="E307" s="2">
        <v>901841.1540000001</v>
      </c>
      <c r="F307" s="2">
        <v>10692393.773999974</v>
      </c>
      <c r="G307" s="2">
        <v>6186793.3880000096</v>
      </c>
      <c r="H307" s="2">
        <v>2427381.6749999961</v>
      </c>
      <c r="I307" s="2">
        <v>30292421.856000908</v>
      </c>
      <c r="J307" s="2">
        <v>1300.4370000000004</v>
      </c>
      <c r="K307" s="2">
        <v>980523.78500000143</v>
      </c>
      <c r="L307" s="2">
        <v>6076.9000000000015</v>
      </c>
      <c r="M307" s="2">
        <v>9120.6209999999974</v>
      </c>
      <c r="N307" s="2">
        <v>1473639.2289999998</v>
      </c>
      <c r="O307" s="2">
        <v>531732.03600000474</v>
      </c>
    </row>
    <row r="308" spans="1:15" x14ac:dyDescent="0.3">
      <c r="A308" s="6">
        <v>307</v>
      </c>
      <c r="B308" s="6">
        <v>2025</v>
      </c>
      <c r="C308" s="6">
        <v>7</v>
      </c>
      <c r="D308" s="2">
        <v>882448.19599999732</v>
      </c>
      <c r="E308" s="2">
        <v>910971.99699999974</v>
      </c>
      <c r="F308" s="2">
        <v>11245328.122000119</v>
      </c>
      <c r="G308" s="2">
        <v>6852675.7820000295</v>
      </c>
      <c r="H308" s="2">
        <v>4342050.143000002</v>
      </c>
      <c r="I308" s="2">
        <v>28640181.475000348</v>
      </c>
      <c r="J308" s="2">
        <v>1887.3039999999985</v>
      </c>
      <c r="K308" s="2">
        <v>1295792.7420000017</v>
      </c>
      <c r="L308" s="2">
        <v>10944.041000000052</v>
      </c>
      <c r="M308" s="2">
        <v>7932.5069999999996</v>
      </c>
      <c r="N308" s="2">
        <v>1623039.0959999994</v>
      </c>
      <c r="O308" s="2">
        <v>515902.56600000046</v>
      </c>
    </row>
    <row r="309" spans="1:15" x14ac:dyDescent="0.3">
      <c r="A309" s="6">
        <v>308</v>
      </c>
      <c r="B309" s="6">
        <v>2025</v>
      </c>
      <c r="C309" s="6">
        <v>8</v>
      </c>
      <c r="D309" s="2">
        <v>934529.20099999872</v>
      </c>
      <c r="E309" s="2">
        <v>1154944.9130000002</v>
      </c>
      <c r="F309" s="2">
        <v>11687992.222999977</v>
      </c>
      <c r="G309" s="2">
        <v>7297560.8030000161</v>
      </c>
      <c r="H309" s="2">
        <v>4578354.2879999876</v>
      </c>
      <c r="I309" s="2">
        <v>26626255.602000136</v>
      </c>
      <c r="J309" s="2">
        <v>2005.521999999999</v>
      </c>
      <c r="K309" s="2">
        <v>1497307.3459999976</v>
      </c>
      <c r="L309" s="2">
        <v>15462.787000000018</v>
      </c>
      <c r="M309" s="2">
        <v>9265.6860000000033</v>
      </c>
      <c r="N309" s="2">
        <v>1616855.5769999998</v>
      </c>
      <c r="O309" s="2">
        <v>550824.59600000328</v>
      </c>
    </row>
    <row r="310" spans="1:15" x14ac:dyDescent="0.3">
      <c r="A310" s="6">
        <v>309</v>
      </c>
      <c r="B310" s="6">
        <v>2025</v>
      </c>
      <c r="C310" s="6">
        <v>9</v>
      </c>
      <c r="D310" s="2">
        <v>582893.33599999652</v>
      </c>
      <c r="E310" s="2">
        <v>1085700.3400000022</v>
      </c>
      <c r="F310" s="2">
        <v>12378193.982000036</v>
      </c>
      <c r="G310" s="2">
        <v>7682711.1029999768</v>
      </c>
      <c r="H310" s="2">
        <v>3542002.5899999905</v>
      </c>
      <c r="I310" s="2">
        <v>26849110.160000354</v>
      </c>
      <c r="J310" s="2">
        <v>1732.1470000000004</v>
      </c>
      <c r="K310" s="2">
        <v>1449266.7020000012</v>
      </c>
      <c r="L310" s="2">
        <v>6006.2434999999987</v>
      </c>
      <c r="M310" s="2">
        <v>7886.8909999999914</v>
      </c>
      <c r="N310" s="2">
        <v>1633603.3009999983</v>
      </c>
      <c r="O310" s="2">
        <v>568967.22799999896</v>
      </c>
    </row>
    <row r="311" spans="1:15" x14ac:dyDescent="0.3">
      <c r="A311" s="6">
        <v>310</v>
      </c>
      <c r="B311" s="6">
        <v>2025</v>
      </c>
      <c r="C311" s="6">
        <v>10</v>
      </c>
      <c r="D311" s="12">
        <v>246321.94900000287</v>
      </c>
      <c r="E311" s="12">
        <v>1128889.0109999964</v>
      </c>
      <c r="F311" s="12">
        <v>11842420.467000233</v>
      </c>
      <c r="G311" s="12">
        <v>8464726.5749999639</v>
      </c>
      <c r="H311" s="12">
        <v>5153963.9020000184</v>
      </c>
      <c r="I311" s="12">
        <v>28082307.090001114</v>
      </c>
      <c r="J311" s="12">
        <v>2421.925999999999</v>
      </c>
      <c r="K311" s="12">
        <v>1493915.8549999981</v>
      </c>
      <c r="L311" s="12">
        <v>332.05699999999996</v>
      </c>
      <c r="M311" s="12">
        <v>3795.3529999999992</v>
      </c>
      <c r="N311" s="12">
        <v>1632849.5760000001</v>
      </c>
      <c r="O311" s="12">
        <v>483558.2779999997</v>
      </c>
    </row>
    <row r="398" spans="8:8" x14ac:dyDescent="0.3">
      <c r="H398" s="4"/>
    </row>
    <row r="399" spans="8:8" x14ac:dyDescent="0.3">
      <c r="H399" s="4"/>
    </row>
    <row r="400" spans="8:8" x14ac:dyDescent="0.3">
      <c r="H400" s="4"/>
    </row>
    <row r="401" spans="8:8" x14ac:dyDescent="0.3">
      <c r="H401" s="4"/>
    </row>
    <row r="402" spans="8:8" x14ac:dyDescent="0.3">
      <c r="H402" s="4"/>
    </row>
    <row r="403" spans="8:8" x14ac:dyDescent="0.3">
      <c r="H403" s="4"/>
    </row>
    <row r="404" spans="8:8" x14ac:dyDescent="0.3">
      <c r="H404" s="4"/>
    </row>
    <row r="405" spans="8:8" x14ac:dyDescent="0.3">
      <c r="H405" s="4"/>
    </row>
    <row r="406" spans="8:8" x14ac:dyDescent="0.3">
      <c r="H406" s="4"/>
    </row>
    <row r="407" spans="8:8" x14ac:dyDescent="0.3">
      <c r="H407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97A3-26AF-467F-85C7-185017A45F6F}">
  <dimension ref="A1:O407"/>
  <sheetViews>
    <sheetView workbookViewId="0">
      <selection activeCell="G304" sqref="G304"/>
    </sheetView>
  </sheetViews>
  <sheetFormatPr defaultColWidth="8.88671875" defaultRowHeight="14.4" x14ac:dyDescent="0.3"/>
  <cols>
    <col min="1" max="1" width="8.77734375" style="3" bestFit="1" customWidth="1"/>
    <col min="2" max="2" width="7.44140625" style="3" bestFit="1" customWidth="1"/>
    <col min="3" max="3" width="5.44140625" style="3" bestFit="1" customWidth="1"/>
    <col min="4" max="5" width="13.6640625" style="3" bestFit="1" customWidth="1"/>
    <col min="6" max="6" width="14.6640625" style="3" bestFit="1" customWidth="1"/>
    <col min="7" max="8" width="13.6640625" style="3" bestFit="1" customWidth="1"/>
    <col min="9" max="9" width="14.6640625" style="3" bestFit="1" customWidth="1"/>
    <col min="10" max="10" width="13.21875" style="3" customWidth="1"/>
    <col min="11" max="11" width="13.6640625" style="3" bestFit="1" customWidth="1"/>
    <col min="12" max="12" width="16.109375" style="3" customWidth="1"/>
    <col min="13" max="13" width="12.44140625" style="3" bestFit="1" customWidth="1"/>
    <col min="14" max="14" width="13.6640625" style="3" bestFit="1" customWidth="1"/>
    <col min="15" max="15" width="13.21875" style="3" customWidth="1"/>
    <col min="16" max="16" width="11.44140625" style="3" bestFit="1" customWidth="1"/>
    <col min="17" max="16384" width="8.88671875" style="3"/>
  </cols>
  <sheetData>
    <row r="1" spans="1:15" s="1" customFormat="1" ht="43.2" x14ac:dyDescent="0.3">
      <c r="A1" s="5" t="s">
        <v>14</v>
      </c>
      <c r="B1" s="5" t="s">
        <v>0</v>
      </c>
      <c r="C1" s="5" t="s">
        <v>13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12</v>
      </c>
      <c r="K1" s="5" t="s">
        <v>7</v>
      </c>
      <c r="L1" s="5" t="s">
        <v>8</v>
      </c>
      <c r="M1" s="5" t="s">
        <v>9</v>
      </c>
      <c r="N1" s="8" t="s">
        <v>10</v>
      </c>
      <c r="O1" s="8" t="s">
        <v>11</v>
      </c>
    </row>
    <row r="2" spans="1:15" x14ac:dyDescent="0.3">
      <c r="A2" s="6">
        <v>1</v>
      </c>
      <c r="B2" s="6">
        <v>2000</v>
      </c>
      <c r="C2" s="6">
        <v>1</v>
      </c>
      <c r="D2" s="2">
        <f>geracao_mwh!D2*1000</f>
        <v>50755599.999999985</v>
      </c>
      <c r="E2" s="2">
        <f>geracao_mwh!E2*1000</f>
        <v>770965700</v>
      </c>
      <c r="F2" s="2">
        <f>geracao_mwh!F2*1000</f>
        <v>0</v>
      </c>
      <c r="G2" s="2">
        <f>geracao_mwh!G2*1000</f>
        <v>0</v>
      </c>
      <c r="H2" s="2">
        <f>geracao_mwh!H2*1000</f>
        <v>510249600.00000012</v>
      </c>
      <c r="I2" s="2">
        <f>geracao_mwh!I2*1000</f>
        <v>27711264849.999699</v>
      </c>
      <c r="J2" s="2">
        <f>geracao_mwh!J2*1000</f>
        <v>0</v>
      </c>
      <c r="K2" s="2">
        <f>geracao_mwh!K2*1000</f>
        <v>418078099.99999994</v>
      </c>
      <c r="L2" s="2">
        <f>geracao_mwh!L2*1000</f>
        <v>111911100.00000013</v>
      </c>
      <c r="M2" s="2">
        <f>geracao_mwh!M2*1000</f>
        <v>0</v>
      </c>
      <c r="N2" s="2">
        <f>geracao_mwh!N2*1000</f>
        <v>0</v>
      </c>
      <c r="O2" s="2">
        <f>geracao_mwh!O2*1000</f>
        <v>0</v>
      </c>
    </row>
    <row r="3" spans="1:15" x14ac:dyDescent="0.3">
      <c r="A3" s="6">
        <v>2</v>
      </c>
      <c r="B3" s="6">
        <v>2000</v>
      </c>
      <c r="C3" s="6">
        <v>2</v>
      </c>
      <c r="D3" s="2">
        <f>geracao_mwh!D3*1000</f>
        <v>11439000.000000002</v>
      </c>
      <c r="E3" s="2">
        <f>geracao_mwh!E3*1000</f>
        <v>725440200.00000036</v>
      </c>
      <c r="F3" s="2">
        <f>geracao_mwh!F3*1000</f>
        <v>0</v>
      </c>
      <c r="G3" s="2">
        <f>geracao_mwh!G3*1000</f>
        <v>0</v>
      </c>
      <c r="H3" s="2">
        <f>geracao_mwh!H3*1000</f>
        <v>580009199.99999976</v>
      </c>
      <c r="I3" s="2">
        <f>geracao_mwh!I3*1000</f>
        <v>26849928000.000469</v>
      </c>
      <c r="J3" s="2">
        <f>geracao_mwh!J3*1000</f>
        <v>0</v>
      </c>
      <c r="K3" s="2">
        <f>geracao_mwh!K3*1000</f>
        <v>400043100</v>
      </c>
      <c r="L3" s="2">
        <f>geracao_mwh!L3*1000</f>
        <v>69115599.99999997</v>
      </c>
      <c r="M3" s="2">
        <f>geracao_mwh!M3*1000</f>
        <v>0</v>
      </c>
      <c r="N3" s="2">
        <f>geracao_mwh!N3*1000</f>
        <v>0</v>
      </c>
      <c r="O3" s="2">
        <f>geracao_mwh!O3*1000</f>
        <v>0</v>
      </c>
    </row>
    <row r="4" spans="1:15" x14ac:dyDescent="0.3">
      <c r="A4" s="6">
        <v>3</v>
      </c>
      <c r="B4" s="6">
        <v>2000</v>
      </c>
      <c r="C4" s="6">
        <v>3</v>
      </c>
      <c r="D4" s="2">
        <f>geracao_mwh!D4*1000</f>
        <v>3845400</v>
      </c>
      <c r="E4" s="2">
        <f>geracao_mwh!E4*1000</f>
        <v>685798449.99999917</v>
      </c>
      <c r="F4" s="2">
        <f>geracao_mwh!F4*1000</f>
        <v>0</v>
      </c>
      <c r="G4" s="2">
        <f>geracao_mwh!G4*1000</f>
        <v>0</v>
      </c>
      <c r="H4" s="2">
        <f>geracao_mwh!H4*1000</f>
        <v>513065180.00000006</v>
      </c>
      <c r="I4" s="2">
        <f>geracao_mwh!I4*1000</f>
        <v>28789383893.340015</v>
      </c>
      <c r="J4" s="2">
        <f>geracao_mwh!J4*1000</f>
        <v>0</v>
      </c>
      <c r="K4" s="2">
        <f>geracao_mwh!K4*1000</f>
        <v>400187100.00000006</v>
      </c>
      <c r="L4" s="2">
        <f>geracao_mwh!L4*1000</f>
        <v>78197350.100000218</v>
      </c>
      <c r="M4" s="2">
        <f>geracao_mwh!M4*1000</f>
        <v>0</v>
      </c>
      <c r="N4" s="2">
        <f>geracao_mwh!N4*1000</f>
        <v>0</v>
      </c>
      <c r="O4" s="2">
        <f>geracao_mwh!O4*1000</f>
        <v>0</v>
      </c>
    </row>
    <row r="5" spans="1:15" x14ac:dyDescent="0.3">
      <c r="A5" s="6">
        <v>4</v>
      </c>
      <c r="B5" s="6">
        <v>2000</v>
      </c>
      <c r="C5" s="6">
        <v>4</v>
      </c>
      <c r="D5" s="2">
        <f>geracao_mwh!D5*1000</f>
        <v>3600000</v>
      </c>
      <c r="E5" s="2">
        <f>geracao_mwh!E5*1000</f>
        <v>675601700.00000012</v>
      </c>
      <c r="F5" s="2">
        <f>geracao_mwh!F5*1000</f>
        <v>0</v>
      </c>
      <c r="G5" s="2">
        <f>geracao_mwh!G5*1000</f>
        <v>0</v>
      </c>
      <c r="H5" s="2">
        <f>geracao_mwh!H5*1000</f>
        <v>337403199.99999988</v>
      </c>
      <c r="I5" s="2">
        <f>geracao_mwh!I5*1000</f>
        <v>27810598899.99992</v>
      </c>
      <c r="J5" s="2">
        <f>geracao_mwh!J5*1000</f>
        <v>0</v>
      </c>
      <c r="K5" s="2">
        <f>geracao_mwh!K5*1000</f>
        <v>358885600.00000006</v>
      </c>
      <c r="L5" s="2">
        <f>geracao_mwh!L5*1000</f>
        <v>39287100.000000015</v>
      </c>
      <c r="M5" s="2">
        <f>geracao_mwh!M5*1000</f>
        <v>0</v>
      </c>
      <c r="N5" s="2">
        <f>geracao_mwh!N5*1000</f>
        <v>0</v>
      </c>
      <c r="O5" s="2">
        <f>geracao_mwh!O5*1000</f>
        <v>0</v>
      </c>
    </row>
    <row r="6" spans="1:15" x14ac:dyDescent="0.3">
      <c r="A6" s="6">
        <v>5</v>
      </c>
      <c r="B6" s="6">
        <v>2000</v>
      </c>
      <c r="C6" s="6">
        <v>5</v>
      </c>
      <c r="D6" s="2">
        <f>geracao_mwh!D6*1000</f>
        <v>4403100</v>
      </c>
      <c r="E6" s="2">
        <f>geracao_mwh!E6*1000</f>
        <v>725874699.99999809</v>
      </c>
      <c r="F6" s="2">
        <f>geracao_mwh!F6*1000</f>
        <v>0</v>
      </c>
      <c r="G6" s="2">
        <f>geracao_mwh!G6*1000</f>
        <v>0</v>
      </c>
      <c r="H6" s="2">
        <f>geracao_mwh!H6*1000</f>
        <v>503225499.9999994</v>
      </c>
      <c r="I6" s="2">
        <f>geracao_mwh!I6*1000</f>
        <v>28813391999.99987</v>
      </c>
      <c r="J6" s="2">
        <f>geracao_mwh!J6*1000</f>
        <v>0</v>
      </c>
      <c r="K6" s="2">
        <f>geracao_mwh!K6*1000</f>
        <v>0</v>
      </c>
      <c r="L6" s="2">
        <f>geracao_mwh!L6*1000</f>
        <v>101455500</v>
      </c>
      <c r="M6" s="2">
        <f>geracao_mwh!M6*1000</f>
        <v>0</v>
      </c>
      <c r="N6" s="2">
        <f>geracao_mwh!N6*1000</f>
        <v>0</v>
      </c>
      <c r="O6" s="2">
        <f>geracao_mwh!O6*1000</f>
        <v>0</v>
      </c>
    </row>
    <row r="7" spans="1:15" x14ac:dyDescent="0.3">
      <c r="A7" s="6">
        <v>6</v>
      </c>
      <c r="B7" s="6">
        <v>2000</v>
      </c>
      <c r="C7" s="6">
        <v>6</v>
      </c>
      <c r="D7" s="2">
        <f>geracao_mwh!D7*1000</f>
        <v>7536900</v>
      </c>
      <c r="E7" s="2">
        <f>geracao_mwh!E7*1000</f>
        <v>725001500.00000048</v>
      </c>
      <c r="F7" s="2">
        <f>geracao_mwh!F7*1000</f>
        <v>0</v>
      </c>
      <c r="G7" s="2">
        <f>geracao_mwh!G7*1000</f>
        <v>0</v>
      </c>
      <c r="H7" s="2">
        <f>geracao_mwh!H7*1000</f>
        <v>574331600</v>
      </c>
      <c r="I7" s="2">
        <f>geracao_mwh!I7*1000</f>
        <v>27376412299.999985</v>
      </c>
      <c r="J7" s="2">
        <f>geracao_mwh!J7*1000</f>
        <v>0</v>
      </c>
      <c r="K7" s="2">
        <f>geracao_mwh!K7*1000</f>
        <v>11100</v>
      </c>
      <c r="L7" s="2">
        <f>geracao_mwh!L7*1000</f>
        <v>105998400.00000006</v>
      </c>
      <c r="M7" s="2">
        <f>geracao_mwh!M7*1000</f>
        <v>0</v>
      </c>
      <c r="N7" s="2">
        <f>geracao_mwh!N7*1000</f>
        <v>0</v>
      </c>
      <c r="O7" s="2">
        <f>geracao_mwh!O7*1000</f>
        <v>0</v>
      </c>
    </row>
    <row r="8" spans="1:15" x14ac:dyDescent="0.3">
      <c r="A8" s="6">
        <v>7</v>
      </c>
      <c r="B8" s="6">
        <v>2000</v>
      </c>
      <c r="C8" s="6">
        <v>7</v>
      </c>
      <c r="D8" s="2">
        <f>geracao_mwh!D8*1000</f>
        <v>5147500</v>
      </c>
      <c r="E8" s="2">
        <f>geracao_mwh!E8*1000</f>
        <v>607498300.00000072</v>
      </c>
      <c r="F8" s="2">
        <f>geracao_mwh!F8*1000</f>
        <v>0</v>
      </c>
      <c r="G8" s="2">
        <f>geracao_mwh!G8*1000</f>
        <v>0</v>
      </c>
      <c r="H8" s="2">
        <f>geracao_mwh!H8*1000</f>
        <v>540092500.0000006</v>
      </c>
      <c r="I8" s="2">
        <f>geracao_mwh!I8*1000</f>
        <v>27679250029.999847</v>
      </c>
      <c r="J8" s="2">
        <f>geracao_mwh!J8*1000</f>
        <v>0</v>
      </c>
      <c r="K8" s="2">
        <f>geracao_mwh!K8*1000</f>
        <v>67880999.99999997</v>
      </c>
      <c r="L8" s="2">
        <f>geracao_mwh!L8*1000</f>
        <v>130207000.00000004</v>
      </c>
      <c r="M8" s="2">
        <f>geracao_mwh!M8*1000</f>
        <v>0</v>
      </c>
      <c r="N8" s="2">
        <f>geracao_mwh!N8*1000</f>
        <v>0</v>
      </c>
      <c r="O8" s="2">
        <f>geracao_mwh!O8*1000</f>
        <v>0</v>
      </c>
    </row>
    <row r="9" spans="1:15" x14ac:dyDescent="0.3">
      <c r="A9" s="6">
        <v>8</v>
      </c>
      <c r="B9" s="6">
        <v>2000</v>
      </c>
      <c r="C9" s="6">
        <v>8</v>
      </c>
      <c r="D9" s="2">
        <f>geracao_mwh!D9*1000</f>
        <v>8189200.0000000009</v>
      </c>
      <c r="E9" s="2">
        <f>geracao_mwh!E9*1000</f>
        <v>627497699.99999917</v>
      </c>
      <c r="F9" s="2">
        <f>geracao_mwh!F9*1000</f>
        <v>0</v>
      </c>
      <c r="G9" s="2">
        <f>geracao_mwh!G9*1000</f>
        <v>0</v>
      </c>
      <c r="H9" s="2">
        <f>geracao_mwh!H9*1000</f>
        <v>547118200.00000048</v>
      </c>
      <c r="I9" s="2">
        <f>geracao_mwh!I9*1000</f>
        <v>27812268499.999683</v>
      </c>
      <c r="J9" s="2">
        <f>geracao_mwh!J9*1000</f>
        <v>0</v>
      </c>
      <c r="K9" s="2">
        <f>geracao_mwh!K9*1000</f>
        <v>672390800.00000024</v>
      </c>
      <c r="L9" s="2">
        <f>geracao_mwh!L9*1000</f>
        <v>127640700.00000027</v>
      </c>
      <c r="M9" s="2">
        <f>geracao_mwh!M9*1000</f>
        <v>0</v>
      </c>
      <c r="N9" s="2">
        <f>geracao_mwh!N9*1000</f>
        <v>0</v>
      </c>
      <c r="O9" s="2">
        <f>geracao_mwh!O9*1000</f>
        <v>0</v>
      </c>
    </row>
    <row r="10" spans="1:15" x14ac:dyDescent="0.3">
      <c r="A10" s="6">
        <v>9</v>
      </c>
      <c r="B10" s="6">
        <v>2000</v>
      </c>
      <c r="C10" s="6">
        <v>9</v>
      </c>
      <c r="D10" s="2">
        <f>geracao_mwh!D10*1000</f>
        <v>18807500</v>
      </c>
      <c r="E10" s="2">
        <f>geracao_mwh!E10*1000</f>
        <v>397360200</v>
      </c>
      <c r="F10" s="2">
        <f>geracao_mwh!F10*1000</f>
        <v>0</v>
      </c>
      <c r="G10" s="2">
        <f>geracao_mwh!G10*1000</f>
        <v>0</v>
      </c>
      <c r="H10" s="2">
        <f>geracao_mwh!H10*1000</f>
        <v>500284799.99999899</v>
      </c>
      <c r="I10" s="2">
        <f>geracao_mwh!I10*1000</f>
        <v>27482979380.000111</v>
      </c>
      <c r="J10" s="2">
        <f>geracao_mwh!J10*1000</f>
        <v>0</v>
      </c>
      <c r="K10" s="2">
        <f>geracao_mwh!K10*1000</f>
        <v>781196199.99999952</v>
      </c>
      <c r="L10" s="2">
        <f>geracao_mwh!L10*1000</f>
        <v>80393230.00000006</v>
      </c>
      <c r="M10" s="2">
        <f>geracao_mwh!M10*1000</f>
        <v>0</v>
      </c>
      <c r="N10" s="2">
        <f>geracao_mwh!N10*1000</f>
        <v>0</v>
      </c>
      <c r="O10" s="2">
        <f>geracao_mwh!O10*1000</f>
        <v>0</v>
      </c>
    </row>
    <row r="11" spans="1:15" x14ac:dyDescent="0.3">
      <c r="A11" s="6">
        <v>10</v>
      </c>
      <c r="B11" s="6">
        <v>2000</v>
      </c>
      <c r="C11" s="6">
        <v>10</v>
      </c>
      <c r="D11" s="2">
        <f>geracao_mwh!D11*1000</f>
        <v>3536699.9999999995</v>
      </c>
      <c r="E11" s="2">
        <f>geracao_mwh!E11*1000</f>
        <v>337343600.00000012</v>
      </c>
      <c r="F11" s="2">
        <f>geracao_mwh!F11*1000</f>
        <v>0</v>
      </c>
      <c r="G11" s="2">
        <f>geracao_mwh!G11*1000</f>
        <v>0</v>
      </c>
      <c r="H11" s="2">
        <f>geracao_mwh!H11*1000</f>
        <v>551283499.99999905</v>
      </c>
      <c r="I11" s="2">
        <f>geracao_mwh!I11*1000</f>
        <v>30034719410.000172</v>
      </c>
      <c r="J11" s="2">
        <f>geracao_mwh!J11*1000</f>
        <v>0</v>
      </c>
      <c r="K11" s="2">
        <f>geracao_mwh!K11*1000</f>
        <v>544916139.59999955</v>
      </c>
      <c r="L11" s="2">
        <f>geracao_mwh!L11*1000</f>
        <v>70470700.000000015</v>
      </c>
      <c r="M11" s="2">
        <f>geracao_mwh!M11*1000</f>
        <v>0</v>
      </c>
      <c r="N11" s="2">
        <f>geracao_mwh!N11*1000</f>
        <v>0</v>
      </c>
      <c r="O11" s="2">
        <f>geracao_mwh!O11*1000</f>
        <v>0</v>
      </c>
    </row>
    <row r="12" spans="1:15" x14ac:dyDescent="0.3">
      <c r="A12" s="6">
        <v>11</v>
      </c>
      <c r="B12" s="6">
        <v>2000</v>
      </c>
      <c r="C12" s="6">
        <v>11</v>
      </c>
      <c r="D12" s="2">
        <f>geracao_mwh!D12*1000</f>
        <v>3573899.9999999995</v>
      </c>
      <c r="E12" s="2">
        <f>geracao_mwh!E12*1000</f>
        <v>489988499.99999976</v>
      </c>
      <c r="F12" s="2">
        <f>geracao_mwh!F12*1000</f>
        <v>0</v>
      </c>
      <c r="G12" s="2">
        <f>geracao_mwh!G12*1000</f>
        <v>0</v>
      </c>
      <c r="H12" s="2">
        <f>geracao_mwh!H12*1000</f>
        <v>548469999.99999988</v>
      </c>
      <c r="I12" s="2">
        <f>geracao_mwh!I12*1000</f>
        <v>27613932590.000134</v>
      </c>
      <c r="J12" s="2">
        <f>geracao_mwh!J12*1000</f>
        <v>0</v>
      </c>
      <c r="K12" s="2">
        <f>geracao_mwh!K12*1000</f>
        <v>1127845130.6000011</v>
      </c>
      <c r="L12" s="2">
        <f>geracao_mwh!L12*1000</f>
        <v>100395000.0000001</v>
      </c>
      <c r="M12" s="2">
        <f>geracao_mwh!M12*1000</f>
        <v>0</v>
      </c>
      <c r="N12" s="2">
        <f>geracao_mwh!N12*1000</f>
        <v>0</v>
      </c>
      <c r="O12" s="2">
        <f>geracao_mwh!O12*1000</f>
        <v>0</v>
      </c>
    </row>
    <row r="13" spans="1:15" x14ac:dyDescent="0.3">
      <c r="A13" s="6">
        <v>12</v>
      </c>
      <c r="B13" s="6">
        <v>2000</v>
      </c>
      <c r="C13" s="6">
        <v>12</v>
      </c>
      <c r="D13" s="2">
        <f>geracao_mwh!D13*1000</f>
        <v>9228800</v>
      </c>
      <c r="E13" s="2">
        <f>geracao_mwh!E13*1000</f>
        <v>640149799.99999976</v>
      </c>
      <c r="F13" s="2">
        <f>geracao_mwh!F13*1000</f>
        <v>0</v>
      </c>
      <c r="G13" s="2">
        <f>geracao_mwh!G13*1000</f>
        <v>0</v>
      </c>
      <c r="H13" s="2">
        <f>geracao_mwh!H13*1000</f>
        <v>673443399.9999994</v>
      </c>
      <c r="I13" s="2">
        <f>geracao_mwh!I13*1000</f>
        <v>27617699060.000069</v>
      </c>
      <c r="J13" s="2">
        <f>geracao_mwh!J13*1000</f>
        <v>0</v>
      </c>
      <c r="K13" s="2">
        <f>geracao_mwh!K13*1000</f>
        <v>1224857283.0999994</v>
      </c>
      <c r="L13" s="2">
        <f>geracao_mwh!L13*1000</f>
        <v>94221499.999999925</v>
      </c>
      <c r="M13" s="2">
        <f>geracao_mwh!M13*1000</f>
        <v>0</v>
      </c>
      <c r="N13" s="2">
        <f>geracao_mwh!N13*1000</f>
        <v>0</v>
      </c>
      <c r="O13" s="2">
        <f>geracao_mwh!O13*1000</f>
        <v>0</v>
      </c>
    </row>
    <row r="14" spans="1:15" x14ac:dyDescent="0.3">
      <c r="A14" s="6">
        <v>13</v>
      </c>
      <c r="B14" s="6">
        <v>2001</v>
      </c>
      <c r="C14" s="6">
        <v>1</v>
      </c>
      <c r="D14" s="2">
        <f>geracao_mwh!D14*1000</f>
        <v>4398100</v>
      </c>
      <c r="E14" s="2">
        <f>geracao_mwh!E14*1000</f>
        <v>593526700.00000226</v>
      </c>
      <c r="F14" s="2">
        <f>geracao_mwh!F14*1000</f>
        <v>0</v>
      </c>
      <c r="G14" s="2">
        <f>geracao_mwh!G14*1000</f>
        <v>0</v>
      </c>
      <c r="H14" s="2">
        <f>geracao_mwh!H14*1000</f>
        <v>742412300.00000155</v>
      </c>
      <c r="I14" s="2">
        <f>geracao_mwh!I14*1000</f>
        <v>28962382719.999607</v>
      </c>
      <c r="J14" s="2">
        <f>geracao_mwh!J14*1000</f>
        <v>0</v>
      </c>
      <c r="K14" s="2">
        <f>geracao_mwh!K14*1000</f>
        <v>1000797161.1999993</v>
      </c>
      <c r="L14" s="2">
        <f>geracao_mwh!L14*1000</f>
        <v>81656699.999999896</v>
      </c>
      <c r="M14" s="2">
        <f>geracao_mwh!M14*1000</f>
        <v>0</v>
      </c>
      <c r="N14" s="2">
        <f>geracao_mwh!N14*1000</f>
        <v>0</v>
      </c>
      <c r="O14" s="2">
        <f>geracao_mwh!O14*1000</f>
        <v>0</v>
      </c>
    </row>
    <row r="15" spans="1:15" x14ac:dyDescent="0.3">
      <c r="A15" s="6">
        <v>14</v>
      </c>
      <c r="B15" s="6">
        <v>2001</v>
      </c>
      <c r="C15" s="6">
        <v>2</v>
      </c>
      <c r="D15" s="2">
        <f>geracao_mwh!D15*1000</f>
        <v>2984200</v>
      </c>
      <c r="E15" s="2">
        <f>geracao_mwh!E15*1000</f>
        <v>459373900.00000042</v>
      </c>
      <c r="F15" s="2">
        <f>geracao_mwh!F15*1000</f>
        <v>0</v>
      </c>
      <c r="G15" s="2">
        <f>geracao_mwh!G15*1000</f>
        <v>0</v>
      </c>
      <c r="H15" s="2">
        <f>geracao_mwh!H15*1000</f>
        <v>790047800.00000131</v>
      </c>
      <c r="I15" s="2">
        <f>geracao_mwh!I15*1000</f>
        <v>26913947600.000397</v>
      </c>
      <c r="J15" s="2">
        <f>geracao_mwh!J15*1000</f>
        <v>0</v>
      </c>
      <c r="K15" s="2">
        <f>geracao_mwh!K15*1000</f>
        <v>1121565329.9999976</v>
      </c>
      <c r="L15" s="2">
        <f>geracao_mwh!L15*1000</f>
        <v>87770100.000000134</v>
      </c>
      <c r="M15" s="2">
        <f>geracao_mwh!M15*1000</f>
        <v>0</v>
      </c>
      <c r="N15" s="2">
        <f>geracao_mwh!N15*1000</f>
        <v>0</v>
      </c>
      <c r="O15" s="2">
        <f>geracao_mwh!O15*1000</f>
        <v>0</v>
      </c>
    </row>
    <row r="16" spans="1:15" x14ac:dyDescent="0.3">
      <c r="A16" s="6">
        <v>15</v>
      </c>
      <c r="B16" s="6">
        <v>2001</v>
      </c>
      <c r="C16" s="6">
        <v>3</v>
      </c>
      <c r="D16" s="2">
        <f>geracao_mwh!D16*1000</f>
        <v>3730299.9999999995</v>
      </c>
      <c r="E16" s="2">
        <f>geracao_mwh!E16*1000</f>
        <v>586966699.99999893</v>
      </c>
      <c r="F16" s="2">
        <f>geracao_mwh!F16*1000</f>
        <v>0</v>
      </c>
      <c r="G16" s="2">
        <f>geracao_mwh!G16*1000</f>
        <v>0</v>
      </c>
      <c r="H16" s="2">
        <f>geracao_mwh!H16*1000</f>
        <v>956483500</v>
      </c>
      <c r="I16" s="2">
        <f>geracao_mwh!I16*1000</f>
        <v>29808605200.000065</v>
      </c>
      <c r="J16" s="2">
        <f>geracao_mwh!J16*1000</f>
        <v>0</v>
      </c>
      <c r="K16" s="2">
        <f>geracao_mwh!K16*1000</f>
        <v>1273550070.0000019</v>
      </c>
      <c r="L16" s="2">
        <f>geracao_mwh!L16*1000</f>
        <v>59248100.000000052</v>
      </c>
      <c r="M16" s="2">
        <f>geracao_mwh!M16*1000</f>
        <v>0</v>
      </c>
      <c r="N16" s="2">
        <f>geracao_mwh!N16*1000</f>
        <v>0</v>
      </c>
      <c r="O16" s="2">
        <f>geracao_mwh!O16*1000</f>
        <v>0</v>
      </c>
    </row>
    <row r="17" spans="1:15" x14ac:dyDescent="0.3">
      <c r="A17" s="6">
        <v>16</v>
      </c>
      <c r="B17" s="6">
        <v>2001</v>
      </c>
      <c r="C17" s="6">
        <v>4</v>
      </c>
      <c r="D17" s="2">
        <f>geracao_mwh!D17*1000</f>
        <v>2880000</v>
      </c>
      <c r="E17" s="2">
        <f>geracao_mwh!E17*1000</f>
        <v>589966099.99999821</v>
      </c>
      <c r="F17" s="2">
        <f>geracao_mwh!F17*1000</f>
        <v>0</v>
      </c>
      <c r="G17" s="2">
        <f>geracao_mwh!G17*1000</f>
        <v>0</v>
      </c>
      <c r="H17" s="2">
        <f>geracao_mwh!H17*1000</f>
        <v>896897880</v>
      </c>
      <c r="I17" s="2">
        <f>geracao_mwh!I17*1000</f>
        <v>28110677320.00034</v>
      </c>
      <c r="J17" s="2">
        <f>geracao_mwh!J17*1000</f>
        <v>0</v>
      </c>
      <c r="K17" s="2">
        <f>geracao_mwh!K17*1000</f>
        <v>826548820.00000083</v>
      </c>
      <c r="L17" s="2">
        <f>geracao_mwh!L17*1000</f>
        <v>99113199.999999896</v>
      </c>
      <c r="M17" s="2">
        <f>geracao_mwh!M17*1000</f>
        <v>0</v>
      </c>
      <c r="N17" s="2">
        <f>geracao_mwh!N17*1000</f>
        <v>0</v>
      </c>
      <c r="O17" s="2">
        <f>geracao_mwh!O17*1000</f>
        <v>0</v>
      </c>
    </row>
    <row r="18" spans="1:15" x14ac:dyDescent="0.3">
      <c r="A18" s="6">
        <v>17</v>
      </c>
      <c r="B18" s="6">
        <v>2001</v>
      </c>
      <c r="C18" s="6">
        <v>5</v>
      </c>
      <c r="D18" s="2">
        <f>geracao_mwh!D18*1000</f>
        <v>5385499.9999999981</v>
      </c>
      <c r="E18" s="2">
        <f>geracao_mwh!E18*1000</f>
        <v>618171300.00000191</v>
      </c>
      <c r="F18" s="2">
        <f>geracao_mwh!F18*1000</f>
        <v>0</v>
      </c>
      <c r="G18" s="2">
        <f>geracao_mwh!G18*1000</f>
        <v>0</v>
      </c>
      <c r="H18" s="2">
        <f>geracao_mwh!H18*1000</f>
        <v>1025980499.999999</v>
      </c>
      <c r="I18" s="2">
        <f>geracao_mwh!I18*1000</f>
        <v>26629075960.000317</v>
      </c>
      <c r="J18" s="2">
        <f>geracao_mwh!J18*1000</f>
        <v>0</v>
      </c>
      <c r="K18" s="2">
        <f>geracao_mwh!K18*1000</f>
        <v>789544529.9999994</v>
      </c>
      <c r="L18" s="2">
        <f>geracao_mwh!L18*1000</f>
        <v>140834300.00000012</v>
      </c>
      <c r="M18" s="2">
        <f>geracao_mwh!M18*1000</f>
        <v>0</v>
      </c>
      <c r="N18" s="2">
        <f>geracao_mwh!N18*1000</f>
        <v>0</v>
      </c>
      <c r="O18" s="2">
        <f>geracao_mwh!O18*1000</f>
        <v>0</v>
      </c>
    </row>
    <row r="19" spans="1:15" x14ac:dyDescent="0.3">
      <c r="A19" s="6">
        <v>18</v>
      </c>
      <c r="B19" s="6">
        <v>2001</v>
      </c>
      <c r="C19" s="6">
        <v>6</v>
      </c>
      <c r="D19" s="2">
        <f>geracao_mwh!D19*1000</f>
        <v>14169000.000000004</v>
      </c>
      <c r="E19" s="2">
        <f>geracao_mwh!E19*1000</f>
        <v>582638399.99999774</v>
      </c>
      <c r="F19" s="2">
        <f>geracao_mwh!F19*1000</f>
        <v>0</v>
      </c>
      <c r="G19" s="2">
        <f>geracao_mwh!G19*1000</f>
        <v>0</v>
      </c>
      <c r="H19" s="2">
        <f>geracao_mwh!H19*1000</f>
        <v>885022699.99999762</v>
      </c>
      <c r="I19" s="2">
        <f>geracao_mwh!I19*1000</f>
        <v>20979293820.000088</v>
      </c>
      <c r="J19" s="2">
        <f>geracao_mwh!J19*1000</f>
        <v>0</v>
      </c>
      <c r="K19" s="2">
        <f>geracao_mwh!K19*1000</f>
        <v>1172934589.9999979</v>
      </c>
      <c r="L19" s="2">
        <f>geracao_mwh!L19*1000</f>
        <v>125893700.00000001</v>
      </c>
      <c r="M19" s="2">
        <f>geracao_mwh!M19*1000</f>
        <v>0</v>
      </c>
      <c r="N19" s="2">
        <f>geracao_mwh!N19*1000</f>
        <v>0</v>
      </c>
      <c r="O19" s="2">
        <f>geracao_mwh!O19*1000</f>
        <v>0</v>
      </c>
    </row>
    <row r="20" spans="1:15" x14ac:dyDescent="0.3">
      <c r="A20" s="6">
        <v>19</v>
      </c>
      <c r="B20" s="6">
        <v>2001</v>
      </c>
      <c r="C20" s="6">
        <v>7</v>
      </c>
      <c r="D20" s="2">
        <f>geracao_mwh!D20*1000</f>
        <v>5460099.9999999991</v>
      </c>
      <c r="E20" s="2">
        <f>geracao_mwh!E20*1000</f>
        <v>451318899.99999982</v>
      </c>
      <c r="F20" s="2">
        <f>geracao_mwh!F20*1000</f>
        <v>0</v>
      </c>
      <c r="G20" s="2">
        <f>geracao_mwh!G20*1000</f>
        <v>0</v>
      </c>
      <c r="H20" s="2">
        <f>geracao_mwh!H20*1000</f>
        <v>897429099.99999928</v>
      </c>
      <c r="I20" s="2">
        <f>geracao_mwh!I20*1000</f>
        <v>21521666609.999714</v>
      </c>
      <c r="J20" s="2">
        <f>geracao_mwh!J20*1000</f>
        <v>0</v>
      </c>
      <c r="K20" s="2">
        <f>geracao_mwh!K20*1000</f>
        <v>1442627479.9999995</v>
      </c>
      <c r="L20" s="2">
        <f>geracao_mwh!L20*1000</f>
        <v>90839999.999999925</v>
      </c>
      <c r="M20" s="2">
        <f>geracao_mwh!M20*1000</f>
        <v>0</v>
      </c>
      <c r="N20" s="2">
        <f>geracao_mwh!N20*1000</f>
        <v>0</v>
      </c>
      <c r="O20" s="2">
        <f>geracao_mwh!O20*1000</f>
        <v>0</v>
      </c>
    </row>
    <row r="21" spans="1:15" x14ac:dyDescent="0.3">
      <c r="A21" s="6">
        <v>20</v>
      </c>
      <c r="B21" s="6">
        <v>2001</v>
      </c>
      <c r="C21" s="6">
        <v>8</v>
      </c>
      <c r="D21" s="2">
        <f>geracao_mwh!D21*1000</f>
        <v>4617999.9999999991</v>
      </c>
      <c r="E21" s="2">
        <f>geracao_mwh!E21*1000</f>
        <v>497269400.00000024</v>
      </c>
      <c r="F21" s="2">
        <f>geracao_mwh!F21*1000</f>
        <v>0</v>
      </c>
      <c r="G21" s="2">
        <f>geracao_mwh!G21*1000</f>
        <v>0</v>
      </c>
      <c r="H21" s="2">
        <f>geracao_mwh!H21*1000</f>
        <v>1113643000</v>
      </c>
      <c r="I21" s="2">
        <f>geracao_mwh!I21*1000</f>
        <v>21557366200.000145</v>
      </c>
      <c r="J21" s="2">
        <f>geracao_mwh!J21*1000</f>
        <v>0</v>
      </c>
      <c r="K21" s="2">
        <f>geracao_mwh!K21*1000</f>
        <v>1421286170.0000014</v>
      </c>
      <c r="L21" s="2">
        <f>geracao_mwh!L21*1000</f>
        <v>103096099.99999994</v>
      </c>
      <c r="M21" s="2">
        <f>geracao_mwh!M21*1000</f>
        <v>0</v>
      </c>
      <c r="N21" s="2">
        <f>geracao_mwh!N21*1000</f>
        <v>0</v>
      </c>
      <c r="O21" s="2">
        <f>geracao_mwh!O21*1000</f>
        <v>0</v>
      </c>
    </row>
    <row r="22" spans="1:15" x14ac:dyDescent="0.3">
      <c r="A22" s="6">
        <v>21</v>
      </c>
      <c r="B22" s="6">
        <v>2001</v>
      </c>
      <c r="C22" s="6">
        <v>9</v>
      </c>
      <c r="D22" s="2">
        <f>geracao_mwh!D22*1000</f>
        <v>5178000</v>
      </c>
      <c r="E22" s="2">
        <f>geracao_mwh!E22*1000</f>
        <v>531253099.99999881</v>
      </c>
      <c r="F22" s="2">
        <f>geracao_mwh!F22*1000</f>
        <v>0</v>
      </c>
      <c r="G22" s="2">
        <f>geracao_mwh!G22*1000</f>
        <v>0</v>
      </c>
      <c r="H22" s="2">
        <f>geracao_mwh!H22*1000</f>
        <v>1045652870.0000014</v>
      </c>
      <c r="I22" s="2">
        <f>geracao_mwh!I22*1000</f>
        <v>20601601199.999901</v>
      </c>
      <c r="J22" s="2">
        <f>geracao_mwh!J22*1000</f>
        <v>0</v>
      </c>
      <c r="K22" s="2">
        <f>geracao_mwh!K22*1000</f>
        <v>1409582929.9999933</v>
      </c>
      <c r="L22" s="2">
        <f>geracao_mwh!L22*1000</f>
        <v>98667500</v>
      </c>
      <c r="M22" s="2">
        <f>geracao_mwh!M22*1000</f>
        <v>0</v>
      </c>
      <c r="N22" s="2">
        <f>geracao_mwh!N22*1000</f>
        <v>0</v>
      </c>
      <c r="O22" s="2">
        <f>geracao_mwh!O22*1000</f>
        <v>0</v>
      </c>
    </row>
    <row r="23" spans="1:15" x14ac:dyDescent="0.3">
      <c r="A23" s="6">
        <v>22</v>
      </c>
      <c r="B23" s="6">
        <v>2001</v>
      </c>
      <c r="C23" s="6">
        <v>10</v>
      </c>
      <c r="D23" s="2">
        <f>geracao_mwh!D23*1000</f>
        <v>3891299.9999999995</v>
      </c>
      <c r="E23" s="2">
        <f>geracao_mwh!E23*1000</f>
        <v>387752899.99999994</v>
      </c>
      <c r="F23" s="2">
        <f>geracao_mwh!F23*1000</f>
        <v>0</v>
      </c>
      <c r="G23" s="2">
        <f>geracao_mwh!G23*1000</f>
        <v>0</v>
      </c>
      <c r="H23" s="2">
        <f>geracao_mwh!H23*1000</f>
        <v>1113950810.0000041</v>
      </c>
      <c r="I23" s="2">
        <f>geracao_mwh!I23*1000</f>
        <v>22637673530.000092</v>
      </c>
      <c r="J23" s="2">
        <f>geracao_mwh!J23*1000</f>
        <v>0</v>
      </c>
      <c r="K23" s="2">
        <f>geracao_mwh!K23*1000</f>
        <v>1441180869.0000012</v>
      </c>
      <c r="L23" s="2">
        <f>geracao_mwh!L23*1000</f>
        <v>92254900.000000045</v>
      </c>
      <c r="M23" s="2">
        <f>geracao_mwh!M23*1000</f>
        <v>0</v>
      </c>
      <c r="N23" s="2">
        <f>geracao_mwh!N23*1000</f>
        <v>0</v>
      </c>
      <c r="O23" s="2">
        <f>geracao_mwh!O23*1000</f>
        <v>0</v>
      </c>
    </row>
    <row r="24" spans="1:15" x14ac:dyDescent="0.3">
      <c r="A24" s="6">
        <v>23</v>
      </c>
      <c r="B24" s="6">
        <v>2001</v>
      </c>
      <c r="C24" s="6">
        <v>11</v>
      </c>
      <c r="D24" s="2">
        <f>geracao_mwh!D24*1000</f>
        <v>3696500</v>
      </c>
      <c r="E24" s="2">
        <f>geracao_mwh!E24*1000</f>
        <v>434831099.99999744</v>
      </c>
      <c r="F24" s="2">
        <f>geracao_mwh!F24*1000</f>
        <v>0</v>
      </c>
      <c r="G24" s="2">
        <f>geracao_mwh!G24*1000</f>
        <v>0</v>
      </c>
      <c r="H24" s="2">
        <f>geracao_mwh!H24*1000</f>
        <v>1324028120.0000062</v>
      </c>
      <c r="I24" s="2">
        <f>geracao_mwh!I24*1000</f>
        <v>22074553539.999916</v>
      </c>
      <c r="J24" s="2">
        <f>geracao_mwh!J24*1000</f>
        <v>0</v>
      </c>
      <c r="K24" s="2">
        <f>geracao_mwh!K24*1000</f>
        <v>1069831480.0000032</v>
      </c>
      <c r="L24" s="2">
        <f>geracao_mwh!L24*1000</f>
        <v>98130799.999999776</v>
      </c>
      <c r="M24" s="2">
        <f>geracao_mwh!M24*1000</f>
        <v>0</v>
      </c>
      <c r="N24" s="2">
        <f>geracao_mwh!N24*1000</f>
        <v>0</v>
      </c>
      <c r="O24" s="2">
        <f>geracao_mwh!O24*1000</f>
        <v>0</v>
      </c>
    </row>
    <row r="25" spans="1:15" x14ac:dyDescent="0.3">
      <c r="A25" s="6">
        <v>24</v>
      </c>
      <c r="B25" s="6">
        <v>2001</v>
      </c>
      <c r="C25" s="6">
        <v>12</v>
      </c>
      <c r="D25" s="2">
        <f>geracao_mwh!D25*1000</f>
        <v>3614500</v>
      </c>
      <c r="E25" s="2">
        <f>geracao_mwh!E25*1000</f>
        <v>448494299.99999994</v>
      </c>
      <c r="F25" s="2">
        <f>geracao_mwh!F25*1000</f>
        <v>0</v>
      </c>
      <c r="G25" s="2">
        <f>geracao_mwh!G25*1000</f>
        <v>0</v>
      </c>
      <c r="H25" s="2">
        <f>geracao_mwh!H25*1000</f>
        <v>1306114780</v>
      </c>
      <c r="I25" s="2">
        <f>geracao_mwh!I25*1000</f>
        <v>22629794839.999741</v>
      </c>
      <c r="J25" s="2">
        <f>geracao_mwh!J25*1000</f>
        <v>0</v>
      </c>
      <c r="K25" s="2">
        <f>geracao_mwh!K25*1000</f>
        <v>1380725659.9999974</v>
      </c>
      <c r="L25" s="2">
        <f>geracao_mwh!L25*1000</f>
        <v>88396500.000000119</v>
      </c>
      <c r="M25" s="2">
        <f>geracao_mwh!M25*1000</f>
        <v>0</v>
      </c>
      <c r="N25" s="2">
        <f>geracao_mwh!N25*1000</f>
        <v>0</v>
      </c>
      <c r="O25" s="2">
        <f>geracao_mwh!O25*1000</f>
        <v>0</v>
      </c>
    </row>
    <row r="26" spans="1:15" x14ac:dyDescent="0.3">
      <c r="A26" s="6">
        <v>25</v>
      </c>
      <c r="B26" s="6">
        <v>2002</v>
      </c>
      <c r="C26" s="6">
        <v>1</v>
      </c>
      <c r="D26" s="2">
        <f>geracao_mwh!D26*1000</f>
        <v>3720000</v>
      </c>
      <c r="E26" s="2">
        <f>geracao_mwh!E26*1000</f>
        <v>481468300.00000054</v>
      </c>
      <c r="F26" s="2">
        <f>geracao_mwh!F26*1000</f>
        <v>0</v>
      </c>
      <c r="G26" s="2">
        <f>geracao_mwh!G26*1000</f>
        <v>0</v>
      </c>
      <c r="H26" s="2">
        <f>geracao_mwh!H26*1000</f>
        <v>1303040209.999994</v>
      </c>
      <c r="I26" s="2">
        <f>geracao_mwh!I26*1000</f>
        <v>23635930779.999653</v>
      </c>
      <c r="J26" s="2">
        <f>geracao_mwh!J26*1000</f>
        <v>0</v>
      </c>
      <c r="K26" s="2">
        <f>geracao_mwh!K26*1000</f>
        <v>1278871350.0000005</v>
      </c>
      <c r="L26" s="2">
        <f>geracao_mwh!L26*1000</f>
        <v>86529199.999999925</v>
      </c>
      <c r="M26" s="2">
        <f>geracao_mwh!M26*1000</f>
        <v>0</v>
      </c>
      <c r="N26" s="2">
        <f>geracao_mwh!N26*1000</f>
        <v>0</v>
      </c>
      <c r="O26" s="2">
        <f>geracao_mwh!O26*1000</f>
        <v>0</v>
      </c>
    </row>
    <row r="27" spans="1:15" x14ac:dyDescent="0.3">
      <c r="A27" s="6">
        <v>26</v>
      </c>
      <c r="B27" s="6">
        <v>2002</v>
      </c>
      <c r="C27" s="6">
        <v>2</v>
      </c>
      <c r="D27" s="2">
        <f>geracao_mwh!D27*1000</f>
        <v>3360000</v>
      </c>
      <c r="E27" s="2">
        <f>geracao_mwh!E27*1000</f>
        <v>466962699.99999905</v>
      </c>
      <c r="F27" s="2">
        <f>geracao_mwh!F27*1000</f>
        <v>0</v>
      </c>
      <c r="G27" s="2">
        <f>geracao_mwh!G27*1000</f>
        <v>0</v>
      </c>
      <c r="H27" s="2">
        <f>geracao_mwh!H27*1000</f>
        <v>969507070.00000024</v>
      </c>
      <c r="I27" s="2">
        <f>geracao_mwh!I27*1000</f>
        <v>22632634709.999752</v>
      </c>
      <c r="J27" s="2">
        <f>geracao_mwh!J27*1000</f>
        <v>0</v>
      </c>
      <c r="K27" s="2">
        <f>geracao_mwh!K27*1000</f>
        <v>1206064260.0000033</v>
      </c>
      <c r="L27" s="2">
        <f>geracao_mwh!L27*1000</f>
        <v>34628000.000000007</v>
      </c>
      <c r="M27" s="2">
        <f>geracao_mwh!M27*1000</f>
        <v>363600</v>
      </c>
      <c r="N27" s="2">
        <f>geracao_mwh!N27*1000</f>
        <v>0</v>
      </c>
      <c r="O27" s="2">
        <f>geracao_mwh!O27*1000</f>
        <v>0</v>
      </c>
    </row>
    <row r="28" spans="1:15" x14ac:dyDescent="0.3">
      <c r="A28" s="6">
        <v>27</v>
      </c>
      <c r="B28" s="6">
        <v>2002</v>
      </c>
      <c r="C28" s="6">
        <v>3</v>
      </c>
      <c r="D28" s="2">
        <f>geracao_mwh!D28*1000</f>
        <v>3883099.9999999995</v>
      </c>
      <c r="E28" s="2">
        <f>geracao_mwh!E28*1000</f>
        <v>558895600.00000143</v>
      </c>
      <c r="F28" s="2">
        <f>geracao_mwh!F28*1000</f>
        <v>0</v>
      </c>
      <c r="G28" s="2">
        <f>geracao_mwh!G28*1000</f>
        <v>0</v>
      </c>
      <c r="H28" s="2">
        <f>geracao_mwh!H28*1000</f>
        <v>1248862980.0000079</v>
      </c>
      <c r="I28" s="2">
        <f>geracao_mwh!I28*1000</f>
        <v>27235627690.000687</v>
      </c>
      <c r="J28" s="2">
        <f>geracao_mwh!J28*1000</f>
        <v>0</v>
      </c>
      <c r="K28" s="2">
        <f>geracao_mwh!K28*1000</f>
        <v>637968989.99999785</v>
      </c>
      <c r="L28" s="2">
        <f>geracao_mwh!L28*1000</f>
        <v>14770200</v>
      </c>
      <c r="M28" s="2">
        <f>geracao_mwh!M28*1000</f>
        <v>123030</v>
      </c>
      <c r="N28" s="2">
        <f>geracao_mwh!N28*1000</f>
        <v>0</v>
      </c>
      <c r="O28" s="2">
        <f>geracao_mwh!O28*1000</f>
        <v>0</v>
      </c>
    </row>
    <row r="29" spans="1:15" x14ac:dyDescent="0.3">
      <c r="A29" s="6">
        <v>28</v>
      </c>
      <c r="B29" s="6">
        <v>2002</v>
      </c>
      <c r="C29" s="6">
        <v>4</v>
      </c>
      <c r="D29" s="2">
        <f>geracao_mwh!D29*1000</f>
        <v>3600000</v>
      </c>
      <c r="E29" s="2">
        <f>geracao_mwh!E29*1000</f>
        <v>451231599.99999946</v>
      </c>
      <c r="F29" s="2">
        <f>geracao_mwh!F29*1000</f>
        <v>0</v>
      </c>
      <c r="G29" s="2">
        <f>geracao_mwh!G29*1000</f>
        <v>0</v>
      </c>
      <c r="H29" s="2">
        <f>geracao_mwh!H29*1000</f>
        <v>1140688169.9999979</v>
      </c>
      <c r="I29" s="2">
        <f>geracao_mwh!I29*1000</f>
        <v>26537238599.999901</v>
      </c>
      <c r="J29" s="2">
        <f>geracao_mwh!J29*1000</f>
        <v>0</v>
      </c>
      <c r="K29" s="2">
        <f>geracao_mwh!K29*1000</f>
        <v>1143621900.0000038</v>
      </c>
      <c r="L29" s="2">
        <f>geracao_mwh!L29*1000</f>
        <v>22601000.000000026</v>
      </c>
      <c r="M29" s="2">
        <f>geracao_mwh!M29*1000</f>
        <v>1393223.1000000006</v>
      </c>
      <c r="N29" s="2">
        <f>geracao_mwh!N29*1000</f>
        <v>0</v>
      </c>
      <c r="O29" s="2">
        <f>geracao_mwh!O29*1000</f>
        <v>0</v>
      </c>
    </row>
    <row r="30" spans="1:15" x14ac:dyDescent="0.3">
      <c r="A30" s="6">
        <v>29</v>
      </c>
      <c r="B30" s="6">
        <v>2002</v>
      </c>
      <c r="C30" s="6">
        <v>5</v>
      </c>
      <c r="D30" s="2">
        <f>geracao_mwh!D30*1000</f>
        <v>3636800</v>
      </c>
      <c r="E30" s="2">
        <f>geracao_mwh!E30*1000</f>
        <v>406472200.00000024</v>
      </c>
      <c r="F30" s="2">
        <f>geracao_mwh!F30*1000</f>
        <v>0</v>
      </c>
      <c r="G30" s="2">
        <f>geracao_mwh!G30*1000</f>
        <v>0</v>
      </c>
      <c r="H30" s="2">
        <f>geracao_mwh!H30*1000</f>
        <v>1178954606.9999976</v>
      </c>
      <c r="I30" s="2">
        <f>geracao_mwh!I30*1000</f>
        <v>26104956660.00016</v>
      </c>
      <c r="J30" s="2">
        <f>geracao_mwh!J30*1000</f>
        <v>0</v>
      </c>
      <c r="K30" s="2">
        <f>geracao_mwh!K30*1000</f>
        <v>1367538260.0000038</v>
      </c>
      <c r="L30" s="2">
        <f>geracao_mwh!L30*1000</f>
        <v>34783199.99999997</v>
      </c>
      <c r="M30" s="2">
        <f>geracao_mwh!M30*1000</f>
        <v>565559.99999999977</v>
      </c>
      <c r="N30" s="2">
        <f>geracao_mwh!N30*1000</f>
        <v>0</v>
      </c>
      <c r="O30" s="2">
        <f>geracao_mwh!O30*1000</f>
        <v>0</v>
      </c>
    </row>
    <row r="31" spans="1:15" x14ac:dyDescent="0.3">
      <c r="A31" s="6">
        <v>30</v>
      </c>
      <c r="B31" s="6">
        <v>2002</v>
      </c>
      <c r="C31" s="6">
        <v>6</v>
      </c>
      <c r="D31" s="2">
        <f>geracao_mwh!D31*1000</f>
        <v>3286700</v>
      </c>
      <c r="E31" s="2">
        <f>geracao_mwh!E31*1000</f>
        <v>435733700.00000012</v>
      </c>
      <c r="F31" s="2">
        <f>geracao_mwh!F31*1000</f>
        <v>0</v>
      </c>
      <c r="G31" s="2">
        <f>geracao_mwh!G31*1000</f>
        <v>0</v>
      </c>
      <c r="H31" s="2">
        <f>geracao_mwh!H31*1000</f>
        <v>977444448.10000217</v>
      </c>
      <c r="I31" s="2">
        <f>geracao_mwh!I31*1000</f>
        <v>25161253830.000233</v>
      </c>
      <c r="J31" s="2">
        <f>geracao_mwh!J31*1000</f>
        <v>0</v>
      </c>
      <c r="K31" s="2">
        <f>geracao_mwh!K31*1000</f>
        <v>1305149730.0000002</v>
      </c>
      <c r="L31" s="2">
        <f>geracao_mwh!L31*1000</f>
        <v>38599699.999999993</v>
      </c>
      <c r="M31" s="2">
        <f>geracao_mwh!M31*1000</f>
        <v>580390</v>
      </c>
      <c r="N31" s="2">
        <f>geracao_mwh!N31*1000</f>
        <v>0</v>
      </c>
      <c r="O31" s="2">
        <f>geracao_mwh!O31*1000</f>
        <v>0</v>
      </c>
    </row>
    <row r="32" spans="1:15" x14ac:dyDescent="0.3">
      <c r="A32" s="6">
        <v>31</v>
      </c>
      <c r="B32" s="6">
        <v>2002</v>
      </c>
      <c r="C32" s="6">
        <v>7</v>
      </c>
      <c r="D32" s="2">
        <f>geracao_mwh!D32*1000</f>
        <v>2212800</v>
      </c>
      <c r="E32" s="2">
        <f>geracao_mwh!E32*1000</f>
        <v>434330100.00000221</v>
      </c>
      <c r="F32" s="2">
        <f>geracao_mwh!F32*1000</f>
        <v>0</v>
      </c>
      <c r="G32" s="2">
        <f>geracao_mwh!G32*1000</f>
        <v>0</v>
      </c>
      <c r="H32" s="2">
        <f>geracao_mwh!H32*1000</f>
        <v>934996963.99999046</v>
      </c>
      <c r="I32" s="2">
        <f>geracao_mwh!I32*1000</f>
        <v>26105915970.000271</v>
      </c>
      <c r="J32" s="2">
        <f>geracao_mwh!J32*1000</f>
        <v>0</v>
      </c>
      <c r="K32" s="2">
        <f>geracao_mwh!K32*1000</f>
        <v>1213972489.9999971</v>
      </c>
      <c r="L32" s="2">
        <f>geracao_mwh!L32*1000</f>
        <v>37569019.99999997</v>
      </c>
      <c r="M32" s="2">
        <f>geracao_mwh!M32*1000</f>
        <v>337218.00000000006</v>
      </c>
      <c r="N32" s="2">
        <f>geracao_mwh!N32*1000</f>
        <v>0</v>
      </c>
      <c r="O32" s="2">
        <f>geracao_mwh!O32*1000</f>
        <v>0</v>
      </c>
    </row>
    <row r="33" spans="1:15" x14ac:dyDescent="0.3">
      <c r="A33" s="6">
        <v>32</v>
      </c>
      <c r="B33" s="6">
        <v>2002</v>
      </c>
      <c r="C33" s="6">
        <v>8</v>
      </c>
      <c r="D33" s="2">
        <f>geracao_mwh!D33*1000</f>
        <v>240000</v>
      </c>
      <c r="E33" s="2">
        <f>geracao_mwh!E33*1000</f>
        <v>352267700.00000018</v>
      </c>
      <c r="F33" s="2">
        <f>geracao_mwh!F33*1000</f>
        <v>0</v>
      </c>
      <c r="G33" s="2">
        <f>geracao_mwh!G33*1000</f>
        <v>0</v>
      </c>
      <c r="H33" s="2">
        <f>geracao_mwh!H33*1000</f>
        <v>1055124089.9999965</v>
      </c>
      <c r="I33" s="2">
        <f>geracao_mwh!I33*1000</f>
        <v>27187482969.999908</v>
      </c>
      <c r="J33" s="2">
        <f>geracao_mwh!J33*1000</f>
        <v>0</v>
      </c>
      <c r="K33" s="2">
        <f>geracao_mwh!K33*1000</f>
        <v>963706730.00000107</v>
      </c>
      <c r="L33" s="2">
        <f>geracao_mwh!L33*1000</f>
        <v>36905099.99999997</v>
      </c>
      <c r="M33" s="2">
        <f>geracao_mwh!M33*1000</f>
        <v>950.8</v>
      </c>
      <c r="N33" s="2">
        <f>geracao_mwh!N33*1000</f>
        <v>0</v>
      </c>
      <c r="O33" s="2">
        <f>geracao_mwh!O33*1000</f>
        <v>0</v>
      </c>
    </row>
    <row r="34" spans="1:15" x14ac:dyDescent="0.3">
      <c r="A34" s="6">
        <v>33</v>
      </c>
      <c r="B34" s="6">
        <v>2002</v>
      </c>
      <c r="C34" s="6">
        <v>9</v>
      </c>
      <c r="D34" s="2">
        <f>geracao_mwh!D34*1000</f>
        <v>0</v>
      </c>
      <c r="E34" s="2">
        <f>geracao_mwh!E34*1000</f>
        <v>378167999.99999911</v>
      </c>
      <c r="F34" s="2">
        <f>geracao_mwh!F34*1000</f>
        <v>0</v>
      </c>
      <c r="G34" s="2">
        <f>geracao_mwh!G34*1000</f>
        <v>0</v>
      </c>
      <c r="H34" s="2">
        <f>geracao_mwh!H34*1000</f>
        <v>997187340.00000048</v>
      </c>
      <c r="I34" s="2">
        <f>geracao_mwh!I34*1000</f>
        <v>25885799709.999905</v>
      </c>
      <c r="J34" s="2">
        <f>geracao_mwh!J34*1000</f>
        <v>0</v>
      </c>
      <c r="K34" s="2">
        <f>geracao_mwh!K34*1000</f>
        <v>1155110209.9999995</v>
      </c>
      <c r="L34" s="2">
        <f>geracao_mwh!L34*1000</f>
        <v>36681939.99999997</v>
      </c>
      <c r="M34" s="2">
        <f>geracao_mwh!M34*1000</f>
        <v>805020</v>
      </c>
      <c r="N34" s="2">
        <f>geracao_mwh!N34*1000</f>
        <v>0</v>
      </c>
      <c r="O34" s="2">
        <f>geracao_mwh!O34*1000</f>
        <v>0</v>
      </c>
    </row>
    <row r="35" spans="1:15" x14ac:dyDescent="0.3">
      <c r="A35" s="6">
        <v>34</v>
      </c>
      <c r="B35" s="6">
        <v>2002</v>
      </c>
      <c r="C35" s="6">
        <v>10</v>
      </c>
      <c r="D35" s="2">
        <f>geracao_mwh!D35*1000</f>
        <v>198940.00000000003</v>
      </c>
      <c r="E35" s="2">
        <f>geracao_mwh!E35*1000</f>
        <v>376640200.00000054</v>
      </c>
      <c r="F35" s="2">
        <f>geracao_mwh!F35*1000</f>
        <v>0</v>
      </c>
      <c r="G35" s="2">
        <f>geracao_mwh!G35*1000</f>
        <v>0</v>
      </c>
      <c r="H35" s="2">
        <f>geracao_mwh!H35*1000</f>
        <v>880828577.10000205</v>
      </c>
      <c r="I35" s="2">
        <f>geracao_mwh!I35*1000</f>
        <v>28930453430.000309</v>
      </c>
      <c r="J35" s="2">
        <f>geracao_mwh!J35*1000</f>
        <v>0</v>
      </c>
      <c r="K35" s="2">
        <f>geracao_mwh!K35*1000</f>
        <v>1189988870.0000076</v>
      </c>
      <c r="L35" s="2">
        <f>geracao_mwh!L35*1000</f>
        <v>38273660.000000015</v>
      </c>
      <c r="M35" s="2">
        <f>geracao_mwh!M35*1000</f>
        <v>14165579.999999998</v>
      </c>
      <c r="N35" s="2">
        <f>geracao_mwh!N35*1000</f>
        <v>0</v>
      </c>
      <c r="O35" s="2">
        <f>geracao_mwh!O35*1000</f>
        <v>0</v>
      </c>
    </row>
    <row r="36" spans="1:15" x14ac:dyDescent="0.3">
      <c r="A36" s="6">
        <v>35</v>
      </c>
      <c r="B36" s="6">
        <v>2002</v>
      </c>
      <c r="C36" s="6">
        <v>11</v>
      </c>
      <c r="D36" s="2">
        <f>geracao_mwh!D36*1000</f>
        <v>720000</v>
      </c>
      <c r="E36" s="2">
        <f>geracao_mwh!E36*1000</f>
        <v>332669299.99999976</v>
      </c>
      <c r="F36" s="2">
        <f>geracao_mwh!F36*1000</f>
        <v>0</v>
      </c>
      <c r="G36" s="2">
        <f>geracao_mwh!G36*1000</f>
        <v>0</v>
      </c>
      <c r="H36" s="2">
        <f>geracao_mwh!H36*1000</f>
        <v>603215820.00000441</v>
      </c>
      <c r="I36" s="2">
        <f>geracao_mwh!I36*1000</f>
        <v>27809019620.000023</v>
      </c>
      <c r="J36" s="2">
        <f>geracao_mwh!J36*1000</f>
        <v>0</v>
      </c>
      <c r="K36" s="2">
        <f>geracao_mwh!K36*1000</f>
        <v>1135550190.000006</v>
      </c>
      <c r="L36" s="2">
        <f>geracao_mwh!L36*1000</f>
        <v>38870459.999999985</v>
      </c>
      <c r="M36" s="2">
        <f>geracao_mwh!M36*1000</f>
        <v>17341990</v>
      </c>
      <c r="N36" s="2">
        <f>geracao_mwh!N36*1000</f>
        <v>0</v>
      </c>
      <c r="O36" s="2">
        <f>geracao_mwh!O36*1000</f>
        <v>0</v>
      </c>
    </row>
    <row r="37" spans="1:15" x14ac:dyDescent="0.3">
      <c r="A37" s="6">
        <v>36</v>
      </c>
      <c r="B37" s="6">
        <v>2002</v>
      </c>
      <c r="C37" s="6">
        <v>12</v>
      </c>
      <c r="D37" s="2">
        <f>geracao_mwh!D37*1000</f>
        <v>191679.99999999997</v>
      </c>
      <c r="E37" s="2">
        <f>geracao_mwh!E37*1000</f>
        <v>361862100.00000101</v>
      </c>
      <c r="F37" s="2">
        <f>geracao_mwh!F37*1000</f>
        <v>0</v>
      </c>
      <c r="G37" s="2">
        <f>geracao_mwh!G37*1000</f>
        <v>0</v>
      </c>
      <c r="H37" s="2">
        <f>geracao_mwh!H37*1000</f>
        <v>555175149.99999905</v>
      </c>
      <c r="I37" s="2">
        <f>geracao_mwh!I37*1000</f>
        <v>28228199489.999954</v>
      </c>
      <c r="J37" s="2">
        <f>geracao_mwh!J37*1000</f>
        <v>0</v>
      </c>
      <c r="K37" s="2">
        <f>geracao_mwh!K37*1000</f>
        <v>1237623180.0000072</v>
      </c>
      <c r="L37" s="2">
        <f>geracao_mwh!L37*1000</f>
        <v>35295700</v>
      </c>
      <c r="M37" s="2">
        <f>geracao_mwh!M37*1000</f>
        <v>37085249.999999985</v>
      </c>
      <c r="N37" s="2">
        <f>geracao_mwh!N37*1000</f>
        <v>0</v>
      </c>
      <c r="O37" s="2">
        <f>geracao_mwh!O37*1000</f>
        <v>0</v>
      </c>
    </row>
    <row r="38" spans="1:15" x14ac:dyDescent="0.3">
      <c r="A38" s="6">
        <v>37</v>
      </c>
      <c r="B38" s="6">
        <v>2003</v>
      </c>
      <c r="C38" s="6">
        <v>1</v>
      </c>
      <c r="D38" s="2">
        <f>geracao_mwh!D38*1000</f>
        <v>55470.000000000007</v>
      </c>
      <c r="E38" s="2">
        <f>geracao_mwh!E38*1000</f>
        <v>363601199.99999857</v>
      </c>
      <c r="F38" s="2">
        <f>geracao_mwh!F38*1000</f>
        <v>0</v>
      </c>
      <c r="G38" s="2">
        <f>geracao_mwh!G38*1000</f>
        <v>0</v>
      </c>
      <c r="H38" s="2">
        <f>geracao_mwh!H38*1000</f>
        <v>690795240.00000131</v>
      </c>
      <c r="I38" s="2">
        <f>geracao_mwh!I38*1000</f>
        <v>28591271680.000053</v>
      </c>
      <c r="J38" s="2">
        <f>geracao_mwh!J38*1000</f>
        <v>0</v>
      </c>
      <c r="K38" s="2">
        <f>geracao_mwh!K38*1000</f>
        <v>1171615920.0000033</v>
      </c>
      <c r="L38" s="2">
        <f>geracao_mwh!L38*1000</f>
        <v>22206799.999999978</v>
      </c>
      <c r="M38" s="2">
        <f>geracao_mwh!M38*1000</f>
        <v>64840</v>
      </c>
      <c r="N38" s="2">
        <f>geracao_mwh!N38*1000</f>
        <v>0</v>
      </c>
      <c r="O38" s="2">
        <f>geracao_mwh!O38*1000</f>
        <v>0</v>
      </c>
    </row>
    <row r="39" spans="1:15" x14ac:dyDescent="0.3">
      <c r="A39" s="6">
        <v>38</v>
      </c>
      <c r="B39" s="6">
        <v>2003</v>
      </c>
      <c r="C39" s="6">
        <v>2</v>
      </c>
      <c r="D39" s="2">
        <f>geracao_mwh!D39*1000</f>
        <v>0</v>
      </c>
      <c r="E39" s="2">
        <f>geracao_mwh!E39*1000</f>
        <v>368948700.00000054</v>
      </c>
      <c r="F39" s="2">
        <f>geracao_mwh!F39*1000</f>
        <v>0</v>
      </c>
      <c r="G39" s="2">
        <f>geracao_mwh!G39*1000</f>
        <v>0</v>
      </c>
      <c r="H39" s="2">
        <f>geracao_mwh!H39*1000</f>
        <v>692801449.99999928</v>
      </c>
      <c r="I39" s="2">
        <f>geracao_mwh!I39*1000</f>
        <v>27070140959.999992</v>
      </c>
      <c r="J39" s="2">
        <f>geracao_mwh!J39*1000</f>
        <v>0</v>
      </c>
      <c r="K39" s="2">
        <f>geracao_mwh!K39*1000</f>
        <v>1066026720.0000023</v>
      </c>
      <c r="L39" s="2">
        <f>geracao_mwh!L39*1000</f>
        <v>0</v>
      </c>
      <c r="M39" s="2">
        <f>geracao_mwh!M39*1000</f>
        <v>13825399.999999996</v>
      </c>
      <c r="N39" s="2">
        <f>geracao_mwh!N39*1000</f>
        <v>0</v>
      </c>
      <c r="O39" s="2">
        <f>geracao_mwh!O39*1000</f>
        <v>0</v>
      </c>
    </row>
    <row r="40" spans="1:15" x14ac:dyDescent="0.3">
      <c r="A40" s="6">
        <v>39</v>
      </c>
      <c r="B40" s="6">
        <v>2003</v>
      </c>
      <c r="C40" s="6">
        <v>3</v>
      </c>
      <c r="D40" s="2">
        <f>geracao_mwh!D40*1000</f>
        <v>57800</v>
      </c>
      <c r="E40" s="2">
        <f>geracao_mwh!E40*1000</f>
        <v>429683799.99999964</v>
      </c>
      <c r="F40" s="2">
        <f>geracao_mwh!F40*1000</f>
        <v>0</v>
      </c>
      <c r="G40" s="2">
        <f>geracao_mwh!G40*1000</f>
        <v>0</v>
      </c>
      <c r="H40" s="2">
        <f>geracao_mwh!H40*1000</f>
        <v>597972870.00000322</v>
      </c>
      <c r="I40" s="2">
        <f>geracao_mwh!I40*1000</f>
        <v>29006180700.000294</v>
      </c>
      <c r="J40" s="2">
        <f>geracao_mwh!J40*1000</f>
        <v>0</v>
      </c>
      <c r="K40" s="2">
        <f>geracao_mwh!K40*1000</f>
        <v>1179884910.0000112</v>
      </c>
      <c r="L40" s="2">
        <f>geracao_mwh!L40*1000</f>
        <v>470760.00000000006</v>
      </c>
      <c r="M40" s="2">
        <f>geracao_mwh!M40*1000</f>
        <v>18596640.000000015</v>
      </c>
      <c r="N40" s="2">
        <f>geracao_mwh!N40*1000</f>
        <v>0</v>
      </c>
      <c r="O40" s="2">
        <f>geracao_mwh!O40*1000</f>
        <v>0</v>
      </c>
    </row>
    <row r="41" spans="1:15" x14ac:dyDescent="0.3">
      <c r="A41" s="6">
        <v>40</v>
      </c>
      <c r="B41" s="6">
        <v>2003</v>
      </c>
      <c r="C41" s="6">
        <v>4</v>
      </c>
      <c r="D41" s="2">
        <f>geracao_mwh!D41*1000</f>
        <v>120000</v>
      </c>
      <c r="E41" s="2">
        <f>geracao_mwh!E41*1000</f>
        <v>434834199.99999946</v>
      </c>
      <c r="F41" s="2">
        <f>geracao_mwh!F41*1000</f>
        <v>0</v>
      </c>
      <c r="G41" s="2">
        <f>geracao_mwh!G41*1000</f>
        <v>0</v>
      </c>
      <c r="H41" s="2">
        <f>geracao_mwh!H41*1000</f>
        <v>669313650.00000095</v>
      </c>
      <c r="I41" s="2">
        <f>geracao_mwh!I41*1000</f>
        <v>28230909583.999847</v>
      </c>
      <c r="J41" s="2">
        <f>geracao_mwh!J41*1000</f>
        <v>0</v>
      </c>
      <c r="K41" s="2">
        <f>geracao_mwh!K41*1000</f>
        <v>734814760.00000203</v>
      </c>
      <c r="L41" s="2">
        <f>geracao_mwh!L41*1000</f>
        <v>0</v>
      </c>
      <c r="M41" s="2">
        <f>geracao_mwh!M41*1000</f>
        <v>336309.99999999994</v>
      </c>
      <c r="N41" s="2">
        <f>geracao_mwh!N41*1000</f>
        <v>0</v>
      </c>
      <c r="O41" s="2">
        <f>geracao_mwh!O41*1000</f>
        <v>0</v>
      </c>
    </row>
    <row r="42" spans="1:15" x14ac:dyDescent="0.3">
      <c r="A42" s="6">
        <v>41</v>
      </c>
      <c r="B42" s="6">
        <v>2003</v>
      </c>
      <c r="C42" s="6">
        <v>5</v>
      </c>
      <c r="D42" s="2">
        <f>geracao_mwh!D42*1000</f>
        <v>0</v>
      </c>
      <c r="E42" s="2">
        <f>geracao_mwh!E42*1000</f>
        <v>436261800.00000024</v>
      </c>
      <c r="F42" s="2">
        <f>geracao_mwh!F42*1000</f>
        <v>0</v>
      </c>
      <c r="G42" s="2">
        <f>geracao_mwh!G42*1000</f>
        <v>0</v>
      </c>
      <c r="H42" s="2">
        <f>geracao_mwh!H42*1000</f>
        <v>627238742.99999905</v>
      </c>
      <c r="I42" s="2">
        <f>geracao_mwh!I42*1000</f>
        <v>28213153000.000454</v>
      </c>
      <c r="J42" s="2">
        <f>geracao_mwh!J42*1000</f>
        <v>0</v>
      </c>
      <c r="K42" s="2">
        <f>geracao_mwh!K42*1000</f>
        <v>982746620.0000056</v>
      </c>
      <c r="L42" s="2">
        <f>geracao_mwh!L42*1000</f>
        <v>3112100.0000000005</v>
      </c>
      <c r="M42" s="2">
        <f>geracao_mwh!M42*1000</f>
        <v>0</v>
      </c>
      <c r="N42" s="2">
        <f>geracao_mwh!N42*1000</f>
        <v>0</v>
      </c>
      <c r="O42" s="2">
        <f>geracao_mwh!O42*1000</f>
        <v>0</v>
      </c>
    </row>
    <row r="43" spans="1:15" x14ac:dyDescent="0.3">
      <c r="A43" s="6">
        <v>42</v>
      </c>
      <c r="B43" s="6">
        <v>2003</v>
      </c>
      <c r="C43" s="6">
        <v>6</v>
      </c>
      <c r="D43" s="2">
        <f>geracao_mwh!D43*1000</f>
        <v>0</v>
      </c>
      <c r="E43" s="2">
        <f>geracao_mwh!E43*1000</f>
        <v>420149200.00000024</v>
      </c>
      <c r="F43" s="2">
        <f>geracao_mwh!F43*1000</f>
        <v>0</v>
      </c>
      <c r="G43" s="2">
        <f>geracao_mwh!G43*1000</f>
        <v>0</v>
      </c>
      <c r="H43" s="2">
        <f>geracao_mwh!H43*1000</f>
        <v>851928781.99999952</v>
      </c>
      <c r="I43" s="2">
        <f>geracao_mwh!I43*1000</f>
        <v>26502197696.999744</v>
      </c>
      <c r="J43" s="2">
        <f>geracao_mwh!J43*1000</f>
        <v>0</v>
      </c>
      <c r="K43" s="2">
        <f>geracao_mwh!K43*1000</f>
        <v>1323469340.000006</v>
      </c>
      <c r="L43" s="2">
        <f>geracao_mwh!L43*1000</f>
        <v>0</v>
      </c>
      <c r="M43" s="2">
        <f>geracao_mwh!M43*1000</f>
        <v>27624779.999999989</v>
      </c>
      <c r="N43" s="2">
        <f>geracao_mwh!N43*1000</f>
        <v>0</v>
      </c>
      <c r="O43" s="2">
        <f>geracao_mwh!O43*1000</f>
        <v>0</v>
      </c>
    </row>
    <row r="44" spans="1:15" x14ac:dyDescent="0.3">
      <c r="A44" s="6">
        <v>43</v>
      </c>
      <c r="B44" s="6">
        <v>2003</v>
      </c>
      <c r="C44" s="6">
        <v>7</v>
      </c>
      <c r="D44" s="2">
        <f>geracao_mwh!D44*1000</f>
        <v>0</v>
      </c>
      <c r="E44" s="2">
        <f>geracao_mwh!E44*1000</f>
        <v>451579800.00000006</v>
      </c>
      <c r="F44" s="2">
        <f>geracao_mwh!F44*1000</f>
        <v>0</v>
      </c>
      <c r="G44" s="2">
        <f>geracao_mwh!G44*1000</f>
        <v>0</v>
      </c>
      <c r="H44" s="2">
        <f>geracao_mwh!H44*1000</f>
        <v>832490099.99999702</v>
      </c>
      <c r="I44" s="2">
        <f>geracao_mwh!I44*1000</f>
        <v>27434234979.999836</v>
      </c>
      <c r="J44" s="2">
        <f>geracao_mwh!J44*1000</f>
        <v>0</v>
      </c>
      <c r="K44" s="2">
        <f>geracao_mwh!K44*1000</f>
        <v>1375309030.0000007</v>
      </c>
      <c r="L44" s="2">
        <f>geracao_mwh!L44*1000</f>
        <v>2506899.9999999995</v>
      </c>
      <c r="M44" s="2">
        <f>geracao_mwh!M44*1000</f>
        <v>2001029.9999999998</v>
      </c>
      <c r="N44" s="2">
        <f>geracao_mwh!N44*1000</f>
        <v>0</v>
      </c>
      <c r="O44" s="2">
        <f>geracao_mwh!O44*1000</f>
        <v>0</v>
      </c>
    </row>
    <row r="45" spans="1:15" x14ac:dyDescent="0.3">
      <c r="A45" s="6">
        <v>44</v>
      </c>
      <c r="B45" s="6">
        <v>2003</v>
      </c>
      <c r="C45" s="6">
        <v>8</v>
      </c>
      <c r="D45" s="2">
        <f>geracao_mwh!D45*1000</f>
        <v>0</v>
      </c>
      <c r="E45" s="2">
        <f>geracao_mwh!E45*1000</f>
        <v>436668500.00000143</v>
      </c>
      <c r="F45" s="2">
        <f>geracao_mwh!F45*1000</f>
        <v>0</v>
      </c>
      <c r="G45" s="2">
        <f>geracao_mwh!G45*1000</f>
        <v>0</v>
      </c>
      <c r="H45" s="2">
        <f>geracao_mwh!H45*1000</f>
        <v>851913240.00000131</v>
      </c>
      <c r="I45" s="2">
        <f>geracao_mwh!I45*1000</f>
        <v>27770091340.000484</v>
      </c>
      <c r="J45" s="2">
        <f>geracao_mwh!J45*1000</f>
        <v>0</v>
      </c>
      <c r="K45" s="2">
        <f>geracao_mwh!K45*1000</f>
        <v>1088373890.0000036</v>
      </c>
      <c r="L45" s="2">
        <f>geracao_mwh!L45*1000</f>
        <v>0</v>
      </c>
      <c r="M45" s="2">
        <f>geracao_mwh!M45*1000</f>
        <v>1148460</v>
      </c>
      <c r="N45" s="2">
        <f>geracao_mwh!N45*1000</f>
        <v>0</v>
      </c>
      <c r="O45" s="2">
        <f>geracao_mwh!O45*1000</f>
        <v>0</v>
      </c>
    </row>
    <row r="46" spans="1:15" x14ac:dyDescent="0.3">
      <c r="A46" s="6">
        <v>45</v>
      </c>
      <c r="B46" s="6">
        <v>2003</v>
      </c>
      <c r="C46" s="6">
        <v>9</v>
      </c>
      <c r="D46" s="2">
        <f>geracao_mwh!D46*1000</f>
        <v>0</v>
      </c>
      <c r="E46" s="2">
        <f>geracao_mwh!E46*1000</f>
        <v>439346649.99999994</v>
      </c>
      <c r="F46" s="2">
        <f>geracao_mwh!F46*1000</f>
        <v>0</v>
      </c>
      <c r="G46" s="2">
        <f>geracao_mwh!G46*1000</f>
        <v>0</v>
      </c>
      <c r="H46" s="2">
        <f>geracao_mwh!H46*1000</f>
        <v>654469210.00000048</v>
      </c>
      <c r="I46" s="2">
        <f>geracao_mwh!I46*1000</f>
        <v>28005096750.000404</v>
      </c>
      <c r="J46" s="2">
        <f>geracao_mwh!J46*1000</f>
        <v>0</v>
      </c>
      <c r="K46" s="2">
        <f>geracao_mwh!K46*1000</f>
        <v>977694360.00000107</v>
      </c>
      <c r="L46" s="2">
        <f>geracao_mwh!L46*1000</f>
        <v>2684000</v>
      </c>
      <c r="M46" s="2">
        <f>geracao_mwh!M46*1000</f>
        <v>10909890.000000002</v>
      </c>
      <c r="N46" s="2">
        <f>geracao_mwh!N46*1000</f>
        <v>0</v>
      </c>
      <c r="O46" s="2">
        <f>geracao_mwh!O46*1000</f>
        <v>0</v>
      </c>
    </row>
    <row r="47" spans="1:15" x14ac:dyDescent="0.3">
      <c r="A47" s="6">
        <v>46</v>
      </c>
      <c r="B47" s="6">
        <v>2003</v>
      </c>
      <c r="C47" s="6">
        <v>10</v>
      </c>
      <c r="D47" s="2">
        <f>geracao_mwh!D47*1000</f>
        <v>0</v>
      </c>
      <c r="E47" s="2">
        <f>geracao_mwh!E47*1000</f>
        <v>459873130.00000024</v>
      </c>
      <c r="F47" s="2">
        <f>geracao_mwh!F47*1000</f>
        <v>0</v>
      </c>
      <c r="G47" s="2">
        <f>geracao_mwh!G47*1000</f>
        <v>0</v>
      </c>
      <c r="H47" s="2">
        <f>geracao_mwh!H47*1000</f>
        <v>955663170.00000274</v>
      </c>
      <c r="I47" s="2">
        <f>geracao_mwh!I47*1000</f>
        <v>29425695900.000095</v>
      </c>
      <c r="J47" s="2">
        <f>geracao_mwh!J47*1000</f>
        <v>0</v>
      </c>
      <c r="K47" s="2">
        <f>geracao_mwh!K47*1000</f>
        <v>823983889.9999994</v>
      </c>
      <c r="L47" s="2">
        <f>geracao_mwh!L47*1000</f>
        <v>0</v>
      </c>
      <c r="M47" s="2">
        <f>geracao_mwh!M47*1000</f>
        <v>82601960</v>
      </c>
      <c r="N47" s="2">
        <f>geracao_mwh!N47*1000</f>
        <v>0</v>
      </c>
      <c r="O47" s="2">
        <f>geracao_mwh!O47*1000</f>
        <v>0</v>
      </c>
    </row>
    <row r="48" spans="1:15" x14ac:dyDescent="0.3">
      <c r="A48" s="6">
        <v>47</v>
      </c>
      <c r="B48" s="6">
        <v>2003</v>
      </c>
      <c r="C48" s="6">
        <v>11</v>
      </c>
      <c r="D48" s="2">
        <f>geracao_mwh!D48*1000</f>
        <v>103690</v>
      </c>
      <c r="E48" s="2">
        <f>geracao_mwh!E48*1000</f>
        <v>509583660.00000125</v>
      </c>
      <c r="F48" s="2">
        <f>geracao_mwh!F48*1000</f>
        <v>0</v>
      </c>
      <c r="G48" s="2">
        <f>geracao_mwh!G48*1000</f>
        <v>0</v>
      </c>
      <c r="H48" s="2">
        <f>geracao_mwh!H48*1000</f>
        <v>1168618410.0000041</v>
      </c>
      <c r="I48" s="2">
        <f>geracao_mwh!I48*1000</f>
        <v>27940502210.000252</v>
      </c>
      <c r="J48" s="2">
        <f>geracao_mwh!J48*1000</f>
        <v>0</v>
      </c>
      <c r="K48" s="2">
        <f>geracao_mwh!K48*1000</f>
        <v>1227371215.0999992</v>
      </c>
      <c r="L48" s="2">
        <f>geracao_mwh!L48*1000</f>
        <v>3527699.9999999995</v>
      </c>
      <c r="M48" s="2">
        <f>geracao_mwh!M48*1000</f>
        <v>33864820.000000007</v>
      </c>
      <c r="N48" s="2">
        <f>geracao_mwh!N48*1000</f>
        <v>0</v>
      </c>
      <c r="O48" s="2">
        <f>geracao_mwh!O48*1000</f>
        <v>0</v>
      </c>
    </row>
    <row r="49" spans="1:15" x14ac:dyDescent="0.3">
      <c r="A49" s="6">
        <v>48</v>
      </c>
      <c r="B49" s="6">
        <v>2003</v>
      </c>
      <c r="C49" s="6">
        <v>12</v>
      </c>
      <c r="D49" s="2">
        <f>geracao_mwh!D49*1000</f>
        <v>272940</v>
      </c>
      <c r="E49" s="2">
        <f>geracao_mwh!E49*1000</f>
        <v>488509990.0000006</v>
      </c>
      <c r="F49" s="2">
        <f>geracao_mwh!F49*1000</f>
        <v>0</v>
      </c>
      <c r="G49" s="2">
        <f>geracao_mwh!G49*1000</f>
        <v>0</v>
      </c>
      <c r="H49" s="2">
        <f>geracao_mwh!H49*1000</f>
        <v>1235404690.0000029</v>
      </c>
      <c r="I49" s="2">
        <f>geracao_mwh!I49*1000</f>
        <v>28596015119.999813</v>
      </c>
      <c r="J49" s="2">
        <f>geracao_mwh!J49*1000</f>
        <v>0</v>
      </c>
      <c r="K49" s="2">
        <f>geracao_mwh!K49*1000</f>
        <v>1385594359.9999869</v>
      </c>
      <c r="L49" s="2">
        <f>geracao_mwh!L49*1000</f>
        <v>20154579.999999993</v>
      </c>
      <c r="M49" s="2">
        <f>geracao_mwh!M49*1000</f>
        <v>21232440.000000007</v>
      </c>
      <c r="N49" s="2">
        <f>geracao_mwh!N49*1000</f>
        <v>0</v>
      </c>
      <c r="O49" s="2">
        <f>geracao_mwh!O49*1000</f>
        <v>0</v>
      </c>
    </row>
    <row r="50" spans="1:15" x14ac:dyDescent="0.3">
      <c r="A50" s="6">
        <v>49</v>
      </c>
      <c r="B50" s="6">
        <v>2004</v>
      </c>
      <c r="C50" s="6">
        <v>1</v>
      </c>
      <c r="D50" s="2">
        <f>geracao_mwh!D50*1000</f>
        <v>0</v>
      </c>
      <c r="E50" s="2">
        <f>geracao_mwh!E50*1000</f>
        <v>517766969.99999982</v>
      </c>
      <c r="F50" s="2">
        <f>geracao_mwh!F50*1000</f>
        <v>0</v>
      </c>
      <c r="G50" s="2">
        <f>geracao_mwh!G50*1000</f>
        <v>0</v>
      </c>
      <c r="H50" s="2">
        <f>geracao_mwh!H50*1000</f>
        <v>1241639079.9999981</v>
      </c>
      <c r="I50" s="2">
        <f>geracao_mwh!I50*1000</f>
        <v>28059208900.000126</v>
      </c>
      <c r="J50" s="2">
        <f>geracao_mwh!J50*1000</f>
        <v>0</v>
      </c>
      <c r="K50" s="2">
        <f>geracao_mwh!K50*1000</f>
        <v>1359756099.999995</v>
      </c>
      <c r="L50" s="2">
        <f>geracao_mwh!L50*1000</f>
        <v>92254738.000000194</v>
      </c>
      <c r="M50" s="2">
        <f>geracao_mwh!M50*1000</f>
        <v>190691359.99999917</v>
      </c>
      <c r="N50" s="2">
        <f>geracao_mwh!N50*1000</f>
        <v>0</v>
      </c>
      <c r="O50" s="2">
        <f>geracao_mwh!O50*1000</f>
        <v>0</v>
      </c>
    </row>
    <row r="51" spans="1:15" x14ac:dyDescent="0.3">
      <c r="A51" s="6">
        <v>50</v>
      </c>
      <c r="B51" s="6">
        <v>2004</v>
      </c>
      <c r="C51" s="6">
        <v>2</v>
      </c>
      <c r="D51" s="2">
        <f>geracao_mwh!D51*1000</f>
        <v>0</v>
      </c>
      <c r="E51" s="2">
        <f>geracao_mwh!E51*1000</f>
        <v>469749970.00000083</v>
      </c>
      <c r="F51" s="2">
        <f>geracao_mwh!F51*1000</f>
        <v>0</v>
      </c>
      <c r="G51" s="2">
        <f>geracao_mwh!G51*1000</f>
        <v>0</v>
      </c>
      <c r="H51" s="2">
        <f>geracao_mwh!H51*1000</f>
        <v>1088165350</v>
      </c>
      <c r="I51" s="2">
        <f>geracao_mwh!I51*1000</f>
        <v>27148306240.000107</v>
      </c>
      <c r="J51" s="2">
        <f>geracao_mwh!J51*1000</f>
        <v>0</v>
      </c>
      <c r="K51" s="2">
        <f>geracao_mwh!K51*1000</f>
        <v>1138962440</v>
      </c>
      <c r="L51" s="2">
        <f>geracao_mwh!L51*1000</f>
        <v>4131260.0000000009</v>
      </c>
      <c r="M51" s="2">
        <f>geracao_mwh!M51*1000</f>
        <v>39054189.999999948</v>
      </c>
      <c r="N51" s="2">
        <f>geracao_mwh!N51*1000</f>
        <v>0</v>
      </c>
      <c r="O51" s="2">
        <f>geracao_mwh!O51*1000</f>
        <v>0</v>
      </c>
    </row>
    <row r="52" spans="1:15" x14ac:dyDescent="0.3">
      <c r="A52" s="6">
        <v>51</v>
      </c>
      <c r="B52" s="6">
        <v>2004</v>
      </c>
      <c r="C52" s="6">
        <v>3</v>
      </c>
      <c r="D52" s="2">
        <f>geracao_mwh!D52*1000</f>
        <v>0</v>
      </c>
      <c r="E52" s="2">
        <f>geracao_mwh!E52*1000</f>
        <v>446140940.00000179</v>
      </c>
      <c r="F52" s="2">
        <f>geracao_mwh!F52*1000</f>
        <v>0</v>
      </c>
      <c r="G52" s="2">
        <f>geracao_mwh!G52*1000</f>
        <v>0</v>
      </c>
      <c r="H52" s="2">
        <f>geracao_mwh!H52*1000</f>
        <v>1185663630.1999977</v>
      </c>
      <c r="I52" s="2">
        <f>geracao_mwh!I52*1000</f>
        <v>30522118289.999645</v>
      </c>
      <c r="J52" s="2">
        <f>geracao_mwh!J52*1000</f>
        <v>0</v>
      </c>
      <c r="K52" s="2">
        <f>geracao_mwh!K52*1000</f>
        <v>730685409.99999869</v>
      </c>
      <c r="L52" s="2">
        <f>geracao_mwh!L52*1000</f>
        <v>0</v>
      </c>
      <c r="M52" s="2">
        <f>geracao_mwh!M52*1000</f>
        <v>58049129.99999997</v>
      </c>
      <c r="N52" s="2">
        <f>geracao_mwh!N52*1000</f>
        <v>0</v>
      </c>
      <c r="O52" s="2">
        <f>geracao_mwh!O52*1000</f>
        <v>0</v>
      </c>
    </row>
    <row r="53" spans="1:15" x14ac:dyDescent="0.3">
      <c r="A53" s="6">
        <v>52</v>
      </c>
      <c r="B53" s="6">
        <v>2004</v>
      </c>
      <c r="C53" s="6">
        <v>4</v>
      </c>
      <c r="D53" s="2">
        <f>geracao_mwh!D53*1000</f>
        <v>0</v>
      </c>
      <c r="E53" s="2">
        <f>geracao_mwh!E53*1000</f>
        <v>507024389.99999976</v>
      </c>
      <c r="F53" s="2">
        <f>geracao_mwh!F53*1000</f>
        <v>0</v>
      </c>
      <c r="G53" s="2">
        <f>geracao_mwh!G53*1000</f>
        <v>0</v>
      </c>
      <c r="H53" s="2">
        <f>geracao_mwh!H53*1000</f>
        <v>1293682339.9999917</v>
      </c>
      <c r="I53" s="2">
        <f>geracao_mwh!I53*1000</f>
        <v>28928588449.999741</v>
      </c>
      <c r="J53" s="2">
        <f>geracao_mwh!J53*1000</f>
        <v>0</v>
      </c>
      <c r="K53" s="2">
        <f>geracao_mwh!K53*1000</f>
        <v>895125359.99999762</v>
      </c>
      <c r="L53" s="2">
        <f>geracao_mwh!L53*1000</f>
        <v>5086530</v>
      </c>
      <c r="M53" s="2">
        <f>geracao_mwh!M53*1000</f>
        <v>62228079.999999948</v>
      </c>
      <c r="N53" s="2">
        <f>geracao_mwh!N53*1000</f>
        <v>0</v>
      </c>
      <c r="O53" s="2">
        <f>geracao_mwh!O53*1000</f>
        <v>0</v>
      </c>
    </row>
    <row r="54" spans="1:15" x14ac:dyDescent="0.3">
      <c r="A54" s="6">
        <v>53</v>
      </c>
      <c r="B54" s="6">
        <v>2004</v>
      </c>
      <c r="C54" s="6">
        <v>5</v>
      </c>
      <c r="D54" s="2">
        <f>geracao_mwh!D54*1000</f>
        <v>0</v>
      </c>
      <c r="E54" s="2">
        <f>geracao_mwh!E54*1000</f>
        <v>618614210.0000006</v>
      </c>
      <c r="F54" s="2">
        <f>geracao_mwh!F54*1000</f>
        <v>0</v>
      </c>
      <c r="G54" s="2">
        <f>geracao_mwh!G54*1000</f>
        <v>0</v>
      </c>
      <c r="H54" s="2">
        <f>geracao_mwh!H54*1000</f>
        <v>950062850.00000012</v>
      </c>
      <c r="I54" s="2">
        <f>geracao_mwh!I54*1000</f>
        <v>29672393020.000278</v>
      </c>
      <c r="J54" s="2">
        <f>geracao_mwh!J54*1000</f>
        <v>0</v>
      </c>
      <c r="K54" s="2">
        <f>geracao_mwh!K54*1000</f>
        <v>698433159.99999964</v>
      </c>
      <c r="L54" s="2">
        <f>geracao_mwh!L54*1000</f>
        <v>0</v>
      </c>
      <c r="M54" s="2">
        <f>geracao_mwh!M54*1000</f>
        <v>114038269.99999987</v>
      </c>
      <c r="N54" s="2">
        <f>geracao_mwh!N54*1000</f>
        <v>0</v>
      </c>
      <c r="O54" s="2">
        <f>geracao_mwh!O54*1000</f>
        <v>0</v>
      </c>
    </row>
    <row r="55" spans="1:15" x14ac:dyDescent="0.3">
      <c r="A55" s="6">
        <v>54</v>
      </c>
      <c r="B55" s="6">
        <v>2004</v>
      </c>
      <c r="C55" s="6">
        <v>6</v>
      </c>
      <c r="D55" s="2">
        <f>geracao_mwh!D55*1000</f>
        <v>77000</v>
      </c>
      <c r="E55" s="2">
        <f>geracao_mwh!E55*1000</f>
        <v>653471789.99999833</v>
      </c>
      <c r="F55" s="2">
        <f>geracao_mwh!F55*1000</f>
        <v>0</v>
      </c>
      <c r="G55" s="2">
        <f>geracao_mwh!G55*1000</f>
        <v>0</v>
      </c>
      <c r="H55" s="2">
        <f>geracao_mwh!H55*1000</f>
        <v>1002465083.9999994</v>
      </c>
      <c r="I55" s="2">
        <f>geracao_mwh!I55*1000</f>
        <v>28346473470.000046</v>
      </c>
      <c r="J55" s="2">
        <f>geracao_mwh!J55*1000</f>
        <v>0</v>
      </c>
      <c r="K55" s="2">
        <f>geracao_mwh!K55*1000</f>
        <v>888149940.00000012</v>
      </c>
      <c r="L55" s="2">
        <f>geracao_mwh!L55*1000</f>
        <v>3354500.0000000014</v>
      </c>
      <c r="M55" s="2">
        <f>geracao_mwh!M55*1000</f>
        <v>89382369.99999994</v>
      </c>
      <c r="N55" s="2">
        <f>geracao_mwh!N55*1000</f>
        <v>0</v>
      </c>
      <c r="O55" s="2">
        <f>geracao_mwh!O55*1000</f>
        <v>0</v>
      </c>
    </row>
    <row r="56" spans="1:15" x14ac:dyDescent="0.3">
      <c r="A56" s="6">
        <v>55</v>
      </c>
      <c r="B56" s="6">
        <v>2004</v>
      </c>
      <c r="C56" s="6">
        <v>7</v>
      </c>
      <c r="D56" s="2">
        <f>geracao_mwh!D56*1000</f>
        <v>0</v>
      </c>
      <c r="E56" s="2">
        <f>geracao_mwh!E56*1000</f>
        <v>581614039.9999994</v>
      </c>
      <c r="F56" s="2">
        <f>geracao_mwh!F56*1000</f>
        <v>0</v>
      </c>
      <c r="G56" s="2">
        <f>geracao_mwh!G56*1000</f>
        <v>0</v>
      </c>
      <c r="H56" s="2">
        <f>geracao_mwh!H56*1000</f>
        <v>921999794.79999912</v>
      </c>
      <c r="I56" s="2">
        <f>geracao_mwh!I56*1000</f>
        <v>29567497150.000031</v>
      </c>
      <c r="J56" s="2">
        <f>geracao_mwh!J56*1000</f>
        <v>0</v>
      </c>
      <c r="K56" s="2">
        <f>geracao_mwh!K56*1000</f>
        <v>884087949.99999905</v>
      </c>
      <c r="L56" s="2">
        <f>geracao_mwh!L56*1000</f>
        <v>0</v>
      </c>
      <c r="M56" s="2">
        <f>geracao_mwh!M56*1000</f>
        <v>57849699.999999978</v>
      </c>
      <c r="N56" s="2">
        <f>geracao_mwh!N56*1000</f>
        <v>0</v>
      </c>
      <c r="O56" s="2">
        <f>geracao_mwh!O56*1000</f>
        <v>0</v>
      </c>
    </row>
    <row r="57" spans="1:15" x14ac:dyDescent="0.3">
      <c r="A57" s="6">
        <v>56</v>
      </c>
      <c r="B57" s="6">
        <v>2004</v>
      </c>
      <c r="C57" s="6">
        <v>8</v>
      </c>
      <c r="D57" s="2">
        <f>geracao_mwh!D57*1000</f>
        <v>0</v>
      </c>
      <c r="E57" s="2">
        <f>geracao_mwh!E57*1000</f>
        <v>579457629.99999917</v>
      </c>
      <c r="F57" s="2">
        <f>geracao_mwh!F57*1000</f>
        <v>0</v>
      </c>
      <c r="G57" s="2">
        <f>geracao_mwh!G57*1000</f>
        <v>0</v>
      </c>
      <c r="H57" s="2">
        <f>geracao_mwh!H57*1000</f>
        <v>1022405219.9999967</v>
      </c>
      <c r="I57" s="2">
        <f>geracao_mwh!I57*1000</f>
        <v>29863009761.000229</v>
      </c>
      <c r="J57" s="2">
        <f>geracao_mwh!J57*1000</f>
        <v>0</v>
      </c>
      <c r="K57" s="2">
        <f>geracao_mwh!K57*1000</f>
        <v>1049904200.0000013</v>
      </c>
      <c r="L57" s="2">
        <f>geracao_mwh!L57*1000</f>
        <v>460930.00000000006</v>
      </c>
      <c r="M57" s="2">
        <f>geracao_mwh!M57*1000</f>
        <v>94267650.000000075</v>
      </c>
      <c r="N57" s="2">
        <f>geracao_mwh!N57*1000</f>
        <v>0</v>
      </c>
      <c r="O57" s="2">
        <f>geracao_mwh!O57*1000</f>
        <v>0</v>
      </c>
    </row>
    <row r="58" spans="1:15" x14ac:dyDescent="0.3">
      <c r="A58" s="6">
        <v>57</v>
      </c>
      <c r="B58" s="6">
        <v>2004</v>
      </c>
      <c r="C58" s="6">
        <v>9</v>
      </c>
      <c r="D58" s="2">
        <f>geracao_mwh!D58*1000</f>
        <v>0</v>
      </c>
      <c r="E58" s="2">
        <f>geracao_mwh!E58*1000</f>
        <v>409354809.99999934</v>
      </c>
      <c r="F58" s="2">
        <f>geracao_mwh!F58*1000</f>
        <v>0</v>
      </c>
      <c r="G58" s="2">
        <f>geracao_mwh!G58*1000</f>
        <v>0</v>
      </c>
      <c r="H58" s="2">
        <f>geracao_mwh!H58*1000</f>
        <v>1564019484.9999948</v>
      </c>
      <c r="I58" s="2">
        <f>geracao_mwh!I58*1000</f>
        <v>29256472140.99987</v>
      </c>
      <c r="J58" s="2">
        <f>geracao_mwh!J58*1000</f>
        <v>0</v>
      </c>
      <c r="K58" s="2">
        <f>geracao_mwh!K58*1000</f>
        <v>1323075510.0000045</v>
      </c>
      <c r="L58" s="2">
        <f>geracao_mwh!L58*1000</f>
        <v>3979600.0000000009</v>
      </c>
      <c r="M58" s="2">
        <f>geracao_mwh!M58*1000</f>
        <v>12393719.999999987</v>
      </c>
      <c r="N58" s="2">
        <f>geracao_mwh!N58*1000</f>
        <v>0</v>
      </c>
      <c r="O58" s="2">
        <f>geracao_mwh!O58*1000</f>
        <v>0</v>
      </c>
    </row>
    <row r="59" spans="1:15" x14ac:dyDescent="0.3">
      <c r="A59" s="6">
        <v>58</v>
      </c>
      <c r="B59" s="6">
        <v>2004</v>
      </c>
      <c r="C59" s="6">
        <v>10</v>
      </c>
      <c r="D59" s="2">
        <f>geracao_mwh!D59*1000</f>
        <v>0</v>
      </c>
      <c r="E59" s="2">
        <f>geracao_mwh!E59*1000</f>
        <v>517611560.00000072</v>
      </c>
      <c r="F59" s="2">
        <f>geracao_mwh!F59*1000</f>
        <v>0</v>
      </c>
      <c r="G59" s="2">
        <f>geracao_mwh!G59*1000</f>
        <v>0</v>
      </c>
      <c r="H59" s="2">
        <f>geracao_mwh!H59*1000</f>
        <v>1618532029.9999847</v>
      </c>
      <c r="I59" s="2">
        <f>geracao_mwh!I59*1000</f>
        <v>29799539229.999779</v>
      </c>
      <c r="J59" s="2">
        <f>geracao_mwh!J59*1000</f>
        <v>0</v>
      </c>
      <c r="K59" s="2">
        <f>geracao_mwh!K59*1000</f>
        <v>1108488009.9999983</v>
      </c>
      <c r="L59" s="2">
        <f>geracao_mwh!L59*1000</f>
        <v>4359299.9999999991</v>
      </c>
      <c r="M59" s="2">
        <f>geracao_mwh!M59*1000</f>
        <v>0</v>
      </c>
      <c r="N59" s="2">
        <f>geracao_mwh!N59*1000</f>
        <v>0</v>
      </c>
      <c r="O59" s="2">
        <f>geracao_mwh!O59*1000</f>
        <v>0</v>
      </c>
    </row>
    <row r="60" spans="1:15" x14ac:dyDescent="0.3">
      <c r="A60" s="6">
        <v>59</v>
      </c>
      <c r="B60" s="6">
        <v>2004</v>
      </c>
      <c r="C60" s="6">
        <v>11</v>
      </c>
      <c r="D60" s="2">
        <f>geracao_mwh!D60*1000</f>
        <v>0</v>
      </c>
      <c r="E60" s="2">
        <f>geracao_mwh!E60*1000</f>
        <v>508772109.99999928</v>
      </c>
      <c r="F60" s="2">
        <f>geracao_mwh!F60*1000</f>
        <v>0</v>
      </c>
      <c r="G60" s="2">
        <f>geracao_mwh!G60*1000</f>
        <v>0</v>
      </c>
      <c r="H60" s="2">
        <f>geracao_mwh!H60*1000</f>
        <v>1264968889.9999969</v>
      </c>
      <c r="I60" s="2">
        <f>geracao_mwh!I60*1000</f>
        <v>29569343031.999882</v>
      </c>
      <c r="J60" s="2">
        <f>geracao_mwh!J60*1000</f>
        <v>0</v>
      </c>
      <c r="K60" s="2">
        <f>geracao_mwh!K60*1000</f>
        <v>1107725749.9999967</v>
      </c>
      <c r="L60" s="2">
        <f>geracao_mwh!L60*1000</f>
        <v>100</v>
      </c>
      <c r="M60" s="2">
        <f>geracao_mwh!M60*1000</f>
        <v>1223819.9999999998</v>
      </c>
      <c r="N60" s="2">
        <f>geracao_mwh!N60*1000</f>
        <v>0</v>
      </c>
      <c r="O60" s="2">
        <f>geracao_mwh!O60*1000</f>
        <v>0</v>
      </c>
    </row>
    <row r="61" spans="1:15" x14ac:dyDescent="0.3">
      <c r="A61" s="6">
        <v>60</v>
      </c>
      <c r="B61" s="6">
        <v>2004</v>
      </c>
      <c r="C61" s="6">
        <v>12</v>
      </c>
      <c r="D61" s="2">
        <f>geracao_mwh!D61*1000</f>
        <v>0</v>
      </c>
      <c r="E61" s="2">
        <f>geracao_mwh!E61*1000</f>
        <v>535824289.99999839</v>
      </c>
      <c r="F61" s="2">
        <f>geracao_mwh!F61*1000</f>
        <v>0</v>
      </c>
      <c r="G61" s="2">
        <f>geracao_mwh!G61*1000</f>
        <v>0</v>
      </c>
      <c r="H61" s="2">
        <f>geracao_mwh!H61*1000</f>
        <v>1234628820</v>
      </c>
      <c r="I61" s="2">
        <f>geracao_mwh!I61*1000</f>
        <v>31200181589.999123</v>
      </c>
      <c r="J61" s="2">
        <f>geracao_mwh!J61*1000</f>
        <v>0</v>
      </c>
      <c r="K61" s="2">
        <f>geracao_mwh!K61*1000</f>
        <v>396553800.00000018</v>
      </c>
      <c r="L61" s="2">
        <f>geracao_mwh!L61*1000</f>
        <v>417770.00000000006</v>
      </c>
      <c r="M61" s="2">
        <f>geracao_mwh!M61*1000</f>
        <v>9092199.9999999963</v>
      </c>
      <c r="N61" s="2">
        <f>geracao_mwh!N61*1000</f>
        <v>0</v>
      </c>
      <c r="O61" s="2">
        <f>geracao_mwh!O61*1000</f>
        <v>0</v>
      </c>
    </row>
    <row r="62" spans="1:15" x14ac:dyDescent="0.3">
      <c r="A62" s="6">
        <v>61</v>
      </c>
      <c r="B62" s="6">
        <v>2005</v>
      </c>
      <c r="C62" s="6">
        <v>1</v>
      </c>
      <c r="D62" s="2">
        <f>geracao_mwh!D62*1000</f>
        <v>0</v>
      </c>
      <c r="E62" s="2">
        <f>geracao_mwh!E62*1000</f>
        <v>494770510.00000095</v>
      </c>
      <c r="F62" s="2">
        <f>geracao_mwh!F62*1000</f>
        <v>0</v>
      </c>
      <c r="G62" s="2">
        <f>geracao_mwh!G62*1000</f>
        <v>0</v>
      </c>
      <c r="H62" s="2">
        <f>geracao_mwh!H62*1000</f>
        <v>1229106329.9999995</v>
      </c>
      <c r="I62" s="2">
        <f>geracao_mwh!I62*1000</f>
        <v>31747163679.999413</v>
      </c>
      <c r="J62" s="2">
        <f>geracao_mwh!J62*1000</f>
        <v>0</v>
      </c>
      <c r="K62" s="2">
        <f>geracao_mwh!K62*1000</f>
        <v>364644109.99999946</v>
      </c>
      <c r="L62" s="2">
        <f>geracao_mwh!L62*1000</f>
        <v>139200</v>
      </c>
      <c r="M62" s="2">
        <f>geracao_mwh!M62*1000</f>
        <v>62127529.999999993</v>
      </c>
      <c r="N62" s="2">
        <f>geracao_mwh!N62*1000</f>
        <v>0</v>
      </c>
      <c r="O62" s="2">
        <f>geracao_mwh!O62*1000</f>
        <v>0</v>
      </c>
    </row>
    <row r="63" spans="1:15" x14ac:dyDescent="0.3">
      <c r="A63" s="6">
        <v>62</v>
      </c>
      <c r="B63" s="6">
        <v>2005</v>
      </c>
      <c r="C63" s="6">
        <v>2</v>
      </c>
      <c r="D63" s="2">
        <f>geracao_mwh!D63*1000</f>
        <v>0</v>
      </c>
      <c r="E63" s="2">
        <f>geracao_mwh!E63*1000</f>
        <v>499794019.99999964</v>
      </c>
      <c r="F63" s="2">
        <f>geracao_mwh!F63*1000</f>
        <v>0</v>
      </c>
      <c r="G63" s="2">
        <f>geracao_mwh!G63*1000</f>
        <v>0</v>
      </c>
      <c r="H63" s="2">
        <f>geracao_mwh!H63*1000</f>
        <v>850271819.9999975</v>
      </c>
      <c r="I63" s="2">
        <f>geracao_mwh!I63*1000</f>
        <v>29393794559.999699</v>
      </c>
      <c r="J63" s="2">
        <f>geracao_mwh!J63*1000</f>
        <v>0</v>
      </c>
      <c r="K63" s="2">
        <f>geracao_mwh!K63*1000</f>
        <v>359835410.00000012</v>
      </c>
      <c r="L63" s="2">
        <f>geracao_mwh!L63*1000</f>
        <v>0</v>
      </c>
      <c r="M63" s="2">
        <f>geracao_mwh!M63*1000</f>
        <v>78053780.000000015</v>
      </c>
      <c r="N63" s="2">
        <f>geracao_mwh!N63*1000</f>
        <v>0</v>
      </c>
      <c r="O63" s="2">
        <f>geracao_mwh!O63*1000</f>
        <v>0</v>
      </c>
    </row>
    <row r="64" spans="1:15" x14ac:dyDescent="0.3">
      <c r="A64" s="6">
        <v>63</v>
      </c>
      <c r="B64" s="6">
        <v>2005</v>
      </c>
      <c r="C64" s="6">
        <v>3</v>
      </c>
      <c r="D64" s="2">
        <f>geracao_mwh!D64*1000</f>
        <v>130800.00000000001</v>
      </c>
      <c r="E64" s="2">
        <f>geracao_mwh!E64*1000</f>
        <v>716259870.00000024</v>
      </c>
      <c r="F64" s="2">
        <f>geracao_mwh!F64*1000</f>
        <v>0</v>
      </c>
      <c r="G64" s="2">
        <f>geracao_mwh!G64*1000</f>
        <v>0</v>
      </c>
      <c r="H64" s="2">
        <f>geracao_mwh!H64*1000</f>
        <v>1144112199.9999995</v>
      </c>
      <c r="I64" s="2">
        <f>geracao_mwh!I64*1000</f>
        <v>33283100289.999962</v>
      </c>
      <c r="J64" s="2">
        <f>geracao_mwh!J64*1000</f>
        <v>0</v>
      </c>
      <c r="K64" s="2">
        <f>geracao_mwh!K64*1000</f>
        <v>452360</v>
      </c>
      <c r="L64" s="2">
        <f>geracao_mwh!L64*1000</f>
        <v>345969.99999999994</v>
      </c>
      <c r="M64" s="2">
        <f>geracao_mwh!M64*1000</f>
        <v>122164149.99999993</v>
      </c>
      <c r="N64" s="2">
        <f>geracao_mwh!N64*1000</f>
        <v>0</v>
      </c>
      <c r="O64" s="2">
        <f>geracao_mwh!O64*1000</f>
        <v>0</v>
      </c>
    </row>
    <row r="65" spans="1:15" x14ac:dyDescent="0.3">
      <c r="A65" s="6">
        <v>64</v>
      </c>
      <c r="B65" s="6">
        <v>2005</v>
      </c>
      <c r="C65" s="6">
        <v>4</v>
      </c>
      <c r="D65" s="2">
        <f>geracao_mwh!D65*1000</f>
        <v>0</v>
      </c>
      <c r="E65" s="2">
        <f>geracao_mwh!E65*1000</f>
        <v>659465309.99999845</v>
      </c>
      <c r="F65" s="2">
        <f>geracao_mwh!F65*1000</f>
        <v>0</v>
      </c>
      <c r="G65" s="2">
        <f>geracao_mwh!G65*1000</f>
        <v>0</v>
      </c>
      <c r="H65" s="2">
        <f>geracao_mwh!H65*1000</f>
        <v>975225650.00000024</v>
      </c>
      <c r="I65" s="2">
        <f>geracao_mwh!I65*1000</f>
        <v>31113907809.999702</v>
      </c>
      <c r="J65" s="2">
        <f>geracao_mwh!J65*1000</f>
        <v>0</v>
      </c>
      <c r="K65" s="2">
        <f>geracao_mwh!K65*1000</f>
        <v>834262529.99999595</v>
      </c>
      <c r="L65" s="2">
        <f>geracao_mwh!L65*1000</f>
        <v>2002480</v>
      </c>
      <c r="M65" s="2">
        <f>geracao_mwh!M65*1000</f>
        <v>84116500.000000015</v>
      </c>
      <c r="N65" s="2">
        <f>geracao_mwh!N65*1000</f>
        <v>0</v>
      </c>
      <c r="O65" s="2">
        <f>geracao_mwh!O65*1000</f>
        <v>0</v>
      </c>
    </row>
    <row r="66" spans="1:15" x14ac:dyDescent="0.3">
      <c r="A66" s="6">
        <v>65</v>
      </c>
      <c r="B66" s="6">
        <v>2005</v>
      </c>
      <c r="C66" s="6">
        <v>5</v>
      </c>
      <c r="D66" s="2">
        <f>geracao_mwh!D66*1000</f>
        <v>0</v>
      </c>
      <c r="E66" s="2">
        <f>geracao_mwh!E66*1000</f>
        <v>546380929.99999952</v>
      </c>
      <c r="F66" s="2">
        <f>geracao_mwh!F66*1000</f>
        <v>0</v>
      </c>
      <c r="G66" s="2">
        <f>geracao_mwh!G66*1000</f>
        <v>0</v>
      </c>
      <c r="H66" s="2">
        <f>geracao_mwh!H66*1000</f>
        <v>961475800.00000024</v>
      </c>
      <c r="I66" s="2">
        <f>geracao_mwh!I66*1000</f>
        <v>30490403149.999577</v>
      </c>
      <c r="J66" s="2">
        <f>geracao_mwh!J66*1000</f>
        <v>0</v>
      </c>
      <c r="K66" s="2">
        <f>geracao_mwh!K66*1000</f>
        <v>1169653170.0000005</v>
      </c>
      <c r="L66" s="2">
        <f>geracao_mwh!L66*1000</f>
        <v>0</v>
      </c>
      <c r="M66" s="2">
        <f>geracao_mwh!M66*1000</f>
        <v>69677379.99999994</v>
      </c>
      <c r="N66" s="2">
        <f>geracao_mwh!N66*1000</f>
        <v>0</v>
      </c>
      <c r="O66" s="2">
        <f>geracao_mwh!O66*1000</f>
        <v>0</v>
      </c>
    </row>
    <row r="67" spans="1:15" x14ac:dyDescent="0.3">
      <c r="A67" s="6">
        <v>66</v>
      </c>
      <c r="B67" s="6">
        <v>2005</v>
      </c>
      <c r="C67" s="6">
        <v>6</v>
      </c>
      <c r="D67" s="2">
        <f>geracao_mwh!D67*1000</f>
        <v>0</v>
      </c>
      <c r="E67" s="2">
        <f>geracao_mwh!E67*1000</f>
        <v>454537790.00000024</v>
      </c>
      <c r="F67" s="2">
        <f>geracao_mwh!F67*1000</f>
        <v>0</v>
      </c>
      <c r="G67" s="2">
        <f>geracao_mwh!G67*1000</f>
        <v>0</v>
      </c>
      <c r="H67" s="2">
        <f>geracao_mwh!H67*1000</f>
        <v>876301785.99999821</v>
      </c>
      <c r="I67" s="2">
        <f>geracao_mwh!I67*1000</f>
        <v>29708969249.99958</v>
      </c>
      <c r="J67" s="2">
        <f>geracao_mwh!J67*1000</f>
        <v>0</v>
      </c>
      <c r="K67" s="2">
        <f>geracao_mwh!K67*1000</f>
        <v>1221831410.000006</v>
      </c>
      <c r="L67" s="2">
        <f>geracao_mwh!L67*1000</f>
        <v>3044100.0000000009</v>
      </c>
      <c r="M67" s="2">
        <f>geracao_mwh!M67*1000</f>
        <v>21197589.999999993</v>
      </c>
      <c r="N67" s="2">
        <f>geracao_mwh!N67*1000</f>
        <v>0</v>
      </c>
      <c r="O67" s="2">
        <f>geracao_mwh!O67*1000</f>
        <v>0</v>
      </c>
    </row>
    <row r="68" spans="1:15" x14ac:dyDescent="0.3">
      <c r="A68" s="6">
        <v>67</v>
      </c>
      <c r="B68" s="6">
        <v>2005</v>
      </c>
      <c r="C68" s="6">
        <v>7</v>
      </c>
      <c r="D68" s="2">
        <f>geracao_mwh!D68*1000</f>
        <v>0</v>
      </c>
      <c r="E68" s="2">
        <f>geracao_mwh!E68*1000</f>
        <v>514579339.99999839</v>
      </c>
      <c r="F68" s="2">
        <f>geracao_mwh!F68*1000</f>
        <v>0</v>
      </c>
      <c r="G68" s="2">
        <f>geracao_mwh!G68*1000</f>
        <v>0</v>
      </c>
      <c r="H68" s="2">
        <f>geracao_mwh!H68*1000</f>
        <v>927003429.99999905</v>
      </c>
      <c r="I68" s="2">
        <f>geracao_mwh!I68*1000</f>
        <v>29978420709.999962</v>
      </c>
      <c r="J68" s="2">
        <f>geracao_mwh!J68*1000</f>
        <v>0</v>
      </c>
      <c r="K68" s="2">
        <f>geracao_mwh!K68*1000</f>
        <v>1039589689.9999987</v>
      </c>
      <c r="L68" s="2">
        <f>geracao_mwh!L68*1000</f>
        <v>285200</v>
      </c>
      <c r="M68" s="2">
        <f>geracao_mwh!M68*1000</f>
        <v>120041320.00000003</v>
      </c>
      <c r="N68" s="2">
        <f>geracao_mwh!N68*1000</f>
        <v>0</v>
      </c>
      <c r="O68" s="2">
        <f>geracao_mwh!O68*1000</f>
        <v>0</v>
      </c>
    </row>
    <row r="69" spans="1:15" x14ac:dyDescent="0.3">
      <c r="A69" s="6">
        <v>68</v>
      </c>
      <c r="B69" s="6">
        <v>2005</v>
      </c>
      <c r="C69" s="6">
        <v>8</v>
      </c>
      <c r="D69" s="2">
        <f>geracao_mwh!D69*1000</f>
        <v>0</v>
      </c>
      <c r="E69" s="2">
        <f>geracao_mwh!E69*1000</f>
        <v>518656730.00000256</v>
      </c>
      <c r="F69" s="2">
        <f>geracao_mwh!F69*1000</f>
        <v>0</v>
      </c>
      <c r="G69" s="2">
        <f>geracao_mwh!G69*1000</f>
        <v>0</v>
      </c>
      <c r="H69" s="2">
        <f>geracao_mwh!H69*1000</f>
        <v>1061770369.9999959</v>
      </c>
      <c r="I69" s="2">
        <f>geracao_mwh!I69*1000</f>
        <v>30964859574.999805</v>
      </c>
      <c r="J69" s="2">
        <f>geracao_mwh!J69*1000</f>
        <v>0</v>
      </c>
      <c r="K69" s="2">
        <f>geracao_mwh!K69*1000</f>
        <v>1188561419.9999959</v>
      </c>
      <c r="L69" s="2">
        <f>geracao_mwh!L69*1000</f>
        <v>472449.99999999994</v>
      </c>
      <c r="M69" s="2">
        <f>geracao_mwh!M69*1000</f>
        <v>118286619.99999994</v>
      </c>
      <c r="N69" s="2">
        <f>geracao_mwh!N69*1000</f>
        <v>0</v>
      </c>
      <c r="O69" s="2">
        <f>geracao_mwh!O69*1000</f>
        <v>0</v>
      </c>
    </row>
    <row r="70" spans="1:15" x14ac:dyDescent="0.3">
      <c r="A70" s="6">
        <v>69</v>
      </c>
      <c r="B70" s="6">
        <v>2005</v>
      </c>
      <c r="C70" s="6">
        <v>9</v>
      </c>
      <c r="D70" s="2">
        <f>geracao_mwh!D70*1000</f>
        <v>0</v>
      </c>
      <c r="E70" s="2">
        <f>geracao_mwh!E70*1000</f>
        <v>410132729.99999928</v>
      </c>
      <c r="F70" s="2">
        <f>geracao_mwh!F70*1000</f>
        <v>0</v>
      </c>
      <c r="G70" s="2">
        <f>geracao_mwh!G70*1000</f>
        <v>0</v>
      </c>
      <c r="H70" s="2">
        <f>geracao_mwh!H70*1000</f>
        <v>1017968187.0000014</v>
      </c>
      <c r="I70" s="2">
        <f>geracao_mwh!I70*1000</f>
        <v>29940047150.000324</v>
      </c>
      <c r="J70" s="2">
        <f>geracao_mwh!J70*1000</f>
        <v>0</v>
      </c>
      <c r="K70" s="2">
        <f>geracao_mwh!K70*1000</f>
        <v>1208019360.000006</v>
      </c>
      <c r="L70" s="2">
        <f>geracao_mwh!L70*1000</f>
        <v>2711899.9999999995</v>
      </c>
      <c r="M70" s="2">
        <f>geracao_mwh!M70*1000</f>
        <v>89594359.999999985</v>
      </c>
      <c r="N70" s="2">
        <f>geracao_mwh!N70*1000</f>
        <v>0</v>
      </c>
      <c r="O70" s="2">
        <f>geracao_mwh!O70*1000</f>
        <v>0</v>
      </c>
    </row>
    <row r="71" spans="1:15" x14ac:dyDescent="0.3">
      <c r="A71" s="6">
        <v>70</v>
      </c>
      <c r="B71" s="6">
        <v>2005</v>
      </c>
      <c r="C71" s="6">
        <v>10</v>
      </c>
      <c r="D71" s="2">
        <f>geracao_mwh!D71*1000</f>
        <v>0</v>
      </c>
      <c r="E71" s="2">
        <f>geracao_mwh!E71*1000</f>
        <v>344990316.00000095</v>
      </c>
      <c r="F71" s="2">
        <f>geracao_mwh!F71*1000</f>
        <v>0</v>
      </c>
      <c r="G71" s="2">
        <f>geracao_mwh!G71*1000</f>
        <v>0</v>
      </c>
      <c r="H71" s="2">
        <f>geracao_mwh!H71*1000</f>
        <v>1428501801.9999962</v>
      </c>
      <c r="I71" s="2">
        <f>geracao_mwh!I71*1000</f>
        <v>31474686218.000153</v>
      </c>
      <c r="J71" s="2">
        <f>geracao_mwh!J71*1000</f>
        <v>0</v>
      </c>
      <c r="K71" s="2">
        <f>geracao_mwh!K71*1000</f>
        <v>1171517279.9999971</v>
      </c>
      <c r="L71" s="2">
        <f>geracao_mwh!L71*1000</f>
        <v>4914307.0000000019</v>
      </c>
      <c r="M71" s="2">
        <f>geracao_mwh!M71*1000</f>
        <v>48385219</v>
      </c>
      <c r="N71" s="2">
        <f>geracao_mwh!N71*1000</f>
        <v>0</v>
      </c>
      <c r="O71" s="2">
        <f>geracao_mwh!O71*1000</f>
        <v>0</v>
      </c>
    </row>
    <row r="72" spans="1:15" x14ac:dyDescent="0.3">
      <c r="A72" s="6">
        <v>71</v>
      </c>
      <c r="B72" s="6">
        <v>2005</v>
      </c>
      <c r="C72" s="6">
        <v>11</v>
      </c>
      <c r="D72" s="2">
        <f>geracao_mwh!D72*1000</f>
        <v>0</v>
      </c>
      <c r="E72" s="2">
        <f>geracao_mwh!E72*1000</f>
        <v>468622134.99999905</v>
      </c>
      <c r="F72" s="2">
        <f>geracao_mwh!F72*1000</f>
        <v>0</v>
      </c>
      <c r="G72" s="2">
        <f>geracao_mwh!G72*1000</f>
        <v>0</v>
      </c>
      <c r="H72" s="2">
        <f>geracao_mwh!H72*1000</f>
        <v>1487678509.0000062</v>
      </c>
      <c r="I72" s="2">
        <f>geracao_mwh!I72*1000</f>
        <v>30237723472.000084</v>
      </c>
      <c r="J72" s="2">
        <f>geracao_mwh!J72*1000</f>
        <v>0</v>
      </c>
      <c r="K72" s="2">
        <f>geracao_mwh!K72*1000</f>
        <v>965350270.00000107</v>
      </c>
      <c r="L72" s="2">
        <f>geracao_mwh!L72*1000</f>
        <v>2418249</v>
      </c>
      <c r="M72" s="2">
        <f>geracao_mwh!M72*1000</f>
        <v>31595190.000000011</v>
      </c>
      <c r="N72" s="2">
        <f>geracao_mwh!N72*1000</f>
        <v>0</v>
      </c>
      <c r="O72" s="2">
        <f>geracao_mwh!O72*1000</f>
        <v>0</v>
      </c>
    </row>
    <row r="73" spans="1:15" x14ac:dyDescent="0.3">
      <c r="A73" s="6">
        <v>72</v>
      </c>
      <c r="B73" s="6">
        <v>2005</v>
      </c>
      <c r="C73" s="6">
        <v>12</v>
      </c>
      <c r="D73" s="2">
        <f>geracao_mwh!D73*1000</f>
        <v>0</v>
      </c>
      <c r="E73" s="2">
        <f>geracao_mwh!E73*1000</f>
        <v>478431269.99999803</v>
      </c>
      <c r="F73" s="2">
        <f>geracao_mwh!F73*1000</f>
        <v>0</v>
      </c>
      <c r="G73" s="2">
        <f>geracao_mwh!G73*1000</f>
        <v>0</v>
      </c>
      <c r="H73" s="2">
        <f>geracao_mwh!H73*1000</f>
        <v>1375660815.9999971</v>
      </c>
      <c r="I73" s="2">
        <f>geracao_mwh!I73*1000</f>
        <v>31936265389.999863</v>
      </c>
      <c r="J73" s="2">
        <f>geracao_mwh!J73*1000</f>
        <v>0</v>
      </c>
      <c r="K73" s="2">
        <f>geracao_mwh!K73*1000</f>
        <v>331174480.00000107</v>
      </c>
      <c r="L73" s="2">
        <f>geracao_mwh!L73*1000</f>
        <v>5131610.0000000028</v>
      </c>
      <c r="M73" s="2">
        <f>geracao_mwh!M73*1000</f>
        <v>92599380.000000015</v>
      </c>
      <c r="N73" s="2">
        <f>geracao_mwh!N73*1000</f>
        <v>0</v>
      </c>
      <c r="O73" s="2">
        <f>geracao_mwh!O73*1000</f>
        <v>0</v>
      </c>
    </row>
    <row r="74" spans="1:15" x14ac:dyDescent="0.3">
      <c r="A74" s="6">
        <v>73</v>
      </c>
      <c r="B74" s="6">
        <v>2006</v>
      </c>
      <c r="C74" s="6">
        <v>1</v>
      </c>
      <c r="D74" s="2">
        <f>geracao_mwh!D74*1000</f>
        <v>0</v>
      </c>
      <c r="E74" s="2">
        <f>geracao_mwh!E74*1000</f>
        <v>483901070.00000018</v>
      </c>
      <c r="F74" s="2">
        <f>geracao_mwh!F74*1000</f>
        <v>0</v>
      </c>
      <c r="G74" s="2">
        <f>geracao_mwh!G74*1000</f>
        <v>0</v>
      </c>
      <c r="H74" s="2">
        <f>geracao_mwh!H74*1000</f>
        <v>1281593810.0000019</v>
      </c>
      <c r="I74" s="2">
        <f>geracao_mwh!I74*1000</f>
        <v>33354777689.999722</v>
      </c>
      <c r="J74" s="2">
        <f>geracao_mwh!J74*1000</f>
        <v>0</v>
      </c>
      <c r="K74" s="2">
        <f>geracao_mwh!K74*1000</f>
        <v>325638279.99999952</v>
      </c>
      <c r="L74" s="2">
        <f>geracao_mwh!L74*1000</f>
        <v>240.00000000000009</v>
      </c>
      <c r="M74" s="2">
        <f>geracao_mwh!M74*1000</f>
        <v>84783439.99999997</v>
      </c>
      <c r="N74" s="2">
        <f>geracao_mwh!N74*1000</f>
        <v>0</v>
      </c>
      <c r="O74" s="2">
        <f>geracao_mwh!O74*1000</f>
        <v>0</v>
      </c>
    </row>
    <row r="75" spans="1:15" x14ac:dyDescent="0.3">
      <c r="A75" s="6">
        <v>74</v>
      </c>
      <c r="B75" s="6">
        <v>2006</v>
      </c>
      <c r="C75" s="6">
        <v>2</v>
      </c>
      <c r="D75" s="2">
        <f>geracao_mwh!D75*1000</f>
        <v>0</v>
      </c>
      <c r="E75" s="2">
        <f>geracao_mwh!E75*1000</f>
        <v>479185939.99999928</v>
      </c>
      <c r="F75" s="2">
        <f>geracao_mwh!F75*1000</f>
        <v>0</v>
      </c>
      <c r="G75" s="2">
        <f>geracao_mwh!G75*1000</f>
        <v>0</v>
      </c>
      <c r="H75" s="2">
        <f>geracao_mwh!H75*1000</f>
        <v>1244840167.9999969</v>
      </c>
      <c r="I75" s="2">
        <f>geracao_mwh!I75*1000</f>
        <v>30051735220.000088</v>
      </c>
      <c r="J75" s="2">
        <f>geracao_mwh!J75*1000</f>
        <v>0</v>
      </c>
      <c r="K75" s="2">
        <f>geracao_mwh!K75*1000</f>
        <v>883118259.99999559</v>
      </c>
      <c r="L75" s="2">
        <f>geracao_mwh!L75*1000</f>
        <v>0</v>
      </c>
      <c r="M75" s="2">
        <f>geracao_mwh!M75*1000</f>
        <v>72189959.99999997</v>
      </c>
      <c r="N75" s="2">
        <f>geracao_mwh!N75*1000</f>
        <v>0</v>
      </c>
      <c r="O75" s="2">
        <f>geracao_mwh!O75*1000</f>
        <v>0</v>
      </c>
    </row>
    <row r="76" spans="1:15" x14ac:dyDescent="0.3">
      <c r="A76" s="6">
        <v>75</v>
      </c>
      <c r="B76" s="6">
        <v>2006</v>
      </c>
      <c r="C76" s="6">
        <v>3</v>
      </c>
      <c r="D76" s="2">
        <f>geracao_mwh!D76*1000</f>
        <v>0</v>
      </c>
      <c r="E76" s="2">
        <f>geracao_mwh!E76*1000</f>
        <v>599644970.00000238</v>
      </c>
      <c r="F76" s="2">
        <f>geracao_mwh!F76*1000</f>
        <v>9709.9999999999982</v>
      </c>
      <c r="G76" s="2">
        <f>geracao_mwh!G76*1000</f>
        <v>0</v>
      </c>
      <c r="H76" s="2">
        <f>geracao_mwh!H76*1000</f>
        <v>1169053029.9999986</v>
      </c>
      <c r="I76" s="2">
        <f>geracao_mwh!I76*1000</f>
        <v>33953958509.999855</v>
      </c>
      <c r="J76" s="2">
        <f>geracao_mwh!J76*1000</f>
        <v>0</v>
      </c>
      <c r="K76" s="2">
        <f>geracao_mwh!K76*1000</f>
        <v>1275505609.9999909</v>
      </c>
      <c r="L76" s="2">
        <f>geracao_mwh!L76*1000</f>
        <v>0</v>
      </c>
      <c r="M76" s="2">
        <f>geracao_mwh!M76*1000</f>
        <v>95255230</v>
      </c>
      <c r="N76" s="2">
        <f>geracao_mwh!N76*1000</f>
        <v>0</v>
      </c>
      <c r="O76" s="2">
        <f>geracao_mwh!O76*1000</f>
        <v>0</v>
      </c>
    </row>
    <row r="77" spans="1:15" x14ac:dyDescent="0.3">
      <c r="A77" s="6">
        <v>76</v>
      </c>
      <c r="B77" s="6">
        <v>2006</v>
      </c>
      <c r="C77" s="6">
        <v>4</v>
      </c>
      <c r="D77" s="2">
        <f>geracao_mwh!D77*1000</f>
        <v>0</v>
      </c>
      <c r="E77" s="2">
        <f>geracao_mwh!E77*1000</f>
        <v>553906239.99999785</v>
      </c>
      <c r="F77" s="2">
        <f>geracao_mwh!F77*1000</f>
        <v>344180.00000000012</v>
      </c>
      <c r="G77" s="2">
        <f>geracao_mwh!G77*1000</f>
        <v>0</v>
      </c>
      <c r="H77" s="2">
        <f>geracao_mwh!H77*1000</f>
        <v>606262009.99999964</v>
      </c>
      <c r="I77" s="2">
        <f>geracao_mwh!I77*1000</f>
        <v>31438196709.999863</v>
      </c>
      <c r="J77" s="2">
        <f>geracao_mwh!J77*1000</f>
        <v>0</v>
      </c>
      <c r="K77" s="2">
        <f>geracao_mwh!K77*1000</f>
        <v>1179237129.9999933</v>
      </c>
      <c r="L77" s="2">
        <f>geracao_mwh!L77*1000</f>
        <v>3532629.9999999991</v>
      </c>
      <c r="M77" s="2">
        <f>geracao_mwh!M77*1000</f>
        <v>64936880.000000045</v>
      </c>
      <c r="N77" s="2">
        <f>geracao_mwh!N77*1000</f>
        <v>0</v>
      </c>
      <c r="O77" s="2">
        <f>geracao_mwh!O77*1000</f>
        <v>0</v>
      </c>
    </row>
    <row r="78" spans="1:15" x14ac:dyDescent="0.3">
      <c r="A78" s="6">
        <v>77</v>
      </c>
      <c r="B78" s="6">
        <v>2006</v>
      </c>
      <c r="C78" s="6">
        <v>5</v>
      </c>
      <c r="D78" s="2">
        <f>geracao_mwh!D78*1000</f>
        <v>0</v>
      </c>
      <c r="E78" s="2">
        <f>geracao_mwh!E78*1000</f>
        <v>624464670.00000107</v>
      </c>
      <c r="F78" s="2">
        <f>geracao_mwh!F78*1000</f>
        <v>1724669.5999999994</v>
      </c>
      <c r="G78" s="2">
        <f>geracao_mwh!G78*1000</f>
        <v>0</v>
      </c>
      <c r="H78" s="2">
        <f>geracao_mwh!H78*1000</f>
        <v>799381430.00000119</v>
      </c>
      <c r="I78" s="2">
        <f>geracao_mwh!I78*1000</f>
        <v>31604886879.999771</v>
      </c>
      <c r="J78" s="2">
        <f>geracao_mwh!J78*1000</f>
        <v>0</v>
      </c>
      <c r="K78" s="2">
        <f>geracao_mwh!K78*1000</f>
        <v>1130644919.9999976</v>
      </c>
      <c r="L78" s="2">
        <f>geracao_mwh!L78*1000</f>
        <v>3532190</v>
      </c>
      <c r="M78" s="2">
        <f>geracao_mwh!M78*1000</f>
        <v>71126050.000000149</v>
      </c>
      <c r="N78" s="2">
        <f>geracao_mwh!N78*1000</f>
        <v>0</v>
      </c>
      <c r="O78" s="2">
        <f>geracao_mwh!O78*1000</f>
        <v>0</v>
      </c>
    </row>
    <row r="79" spans="1:15" x14ac:dyDescent="0.3">
      <c r="A79" s="6">
        <v>78</v>
      </c>
      <c r="B79" s="6">
        <v>2006</v>
      </c>
      <c r="C79" s="6">
        <v>6</v>
      </c>
      <c r="D79" s="2">
        <f>geracao_mwh!D79*1000</f>
        <v>0</v>
      </c>
      <c r="E79" s="2">
        <f>geracao_mwh!E79*1000</f>
        <v>596842219.99999881</v>
      </c>
      <c r="F79" s="2">
        <f>geracao_mwh!F79*1000</f>
        <v>8398590</v>
      </c>
      <c r="G79" s="2">
        <f>geracao_mwh!G79*1000</f>
        <v>0</v>
      </c>
      <c r="H79" s="2">
        <f>geracao_mwh!H79*1000</f>
        <v>720251619.99999905</v>
      </c>
      <c r="I79" s="2">
        <f>geracao_mwh!I79*1000</f>
        <v>30742586549.999371</v>
      </c>
      <c r="J79" s="2">
        <f>geracao_mwh!J79*1000</f>
        <v>0</v>
      </c>
      <c r="K79" s="2">
        <f>geracao_mwh!K79*1000</f>
        <v>1005747110.0000012</v>
      </c>
      <c r="L79" s="2">
        <f>geracao_mwh!L79*1000</f>
        <v>11546920.000000004</v>
      </c>
      <c r="M79" s="2">
        <f>geracao_mwh!M79*1000</f>
        <v>70016609.999999955</v>
      </c>
      <c r="N79" s="2">
        <f>geracao_mwh!N79*1000</f>
        <v>0</v>
      </c>
      <c r="O79" s="2">
        <f>geracao_mwh!O79*1000</f>
        <v>0</v>
      </c>
    </row>
    <row r="80" spans="1:15" x14ac:dyDescent="0.3">
      <c r="A80" s="6">
        <v>79</v>
      </c>
      <c r="B80" s="6">
        <v>2006</v>
      </c>
      <c r="C80" s="6">
        <v>7</v>
      </c>
      <c r="D80" s="2">
        <f>geracao_mwh!D80*1000</f>
        <v>0</v>
      </c>
      <c r="E80" s="2">
        <f>geracao_mwh!E80*1000</f>
        <v>656076979.9999994</v>
      </c>
      <c r="F80" s="2">
        <f>geracao_mwh!F80*1000</f>
        <v>17966630</v>
      </c>
      <c r="G80" s="2">
        <f>geracao_mwh!G80*1000</f>
        <v>0</v>
      </c>
      <c r="H80" s="2">
        <f>geracao_mwh!H80*1000</f>
        <v>959792939.99999857</v>
      </c>
      <c r="I80" s="2">
        <f>geracao_mwh!I80*1000</f>
        <v>31273776080.000088</v>
      </c>
      <c r="J80" s="2">
        <f>geracao_mwh!J80*1000</f>
        <v>0</v>
      </c>
      <c r="K80" s="2">
        <f>geracao_mwh!K80*1000</f>
        <v>1322473650.0000017</v>
      </c>
      <c r="L80" s="2">
        <f>geracao_mwh!L80*1000</f>
        <v>26867039.999999996</v>
      </c>
      <c r="M80" s="2">
        <f>geracao_mwh!M80*1000</f>
        <v>71281080.00000003</v>
      </c>
      <c r="N80" s="2">
        <f>geracao_mwh!N80*1000</f>
        <v>0</v>
      </c>
      <c r="O80" s="2">
        <f>geracao_mwh!O80*1000</f>
        <v>0</v>
      </c>
    </row>
    <row r="81" spans="1:15" x14ac:dyDescent="0.3">
      <c r="A81" s="6">
        <v>80</v>
      </c>
      <c r="B81" s="6">
        <v>2006</v>
      </c>
      <c r="C81" s="6">
        <v>8</v>
      </c>
      <c r="D81" s="2">
        <f>geracao_mwh!D81*1000</f>
        <v>0</v>
      </c>
      <c r="E81" s="2">
        <f>geracao_mwh!E81*1000</f>
        <v>631189310.00000107</v>
      </c>
      <c r="F81" s="2">
        <f>geracao_mwh!F81*1000</f>
        <v>27841000</v>
      </c>
      <c r="G81" s="2">
        <f>geracao_mwh!G81*1000</f>
        <v>0</v>
      </c>
      <c r="H81" s="2">
        <f>geracao_mwh!H81*1000</f>
        <v>1011677859.9999959</v>
      </c>
      <c r="I81" s="2">
        <f>geracao_mwh!I81*1000</f>
        <v>32385394770.000084</v>
      </c>
      <c r="J81" s="2">
        <f>geracao_mwh!J81*1000</f>
        <v>0</v>
      </c>
      <c r="K81" s="2">
        <f>geracao_mwh!K81*1000</f>
        <v>1328743259.9999986</v>
      </c>
      <c r="L81" s="2">
        <f>geracao_mwh!L81*1000</f>
        <v>46200940.000000007</v>
      </c>
      <c r="M81" s="2">
        <f>geracao_mwh!M81*1000</f>
        <v>42460960.000000022</v>
      </c>
      <c r="N81" s="2">
        <f>geracao_mwh!N81*1000</f>
        <v>0</v>
      </c>
      <c r="O81" s="2">
        <f>geracao_mwh!O81*1000</f>
        <v>0</v>
      </c>
    </row>
    <row r="82" spans="1:15" x14ac:dyDescent="0.3">
      <c r="A82" s="6">
        <v>81</v>
      </c>
      <c r="B82" s="6">
        <v>2006</v>
      </c>
      <c r="C82" s="6">
        <v>9</v>
      </c>
      <c r="D82" s="2">
        <f>geracao_mwh!D82*1000</f>
        <v>2175580.0000000005</v>
      </c>
      <c r="E82" s="2">
        <f>geracao_mwh!E82*1000</f>
        <v>650691330.00000095</v>
      </c>
      <c r="F82" s="2">
        <f>geracao_mwh!F82*1000</f>
        <v>36606150.000000037</v>
      </c>
      <c r="G82" s="2">
        <f>geracao_mwh!G82*1000</f>
        <v>0</v>
      </c>
      <c r="H82" s="2">
        <f>geracao_mwh!H82*1000</f>
        <v>1279807674.0000014</v>
      </c>
      <c r="I82" s="2">
        <f>geracao_mwh!I82*1000</f>
        <v>30504688339.999802</v>
      </c>
      <c r="J82" s="2">
        <f>geracao_mwh!J82*1000</f>
        <v>0</v>
      </c>
      <c r="K82" s="2">
        <f>geracao_mwh!K82*1000</f>
        <v>1324166009.9999979</v>
      </c>
      <c r="L82" s="2">
        <f>geracao_mwh!L82*1000</f>
        <v>17318280</v>
      </c>
      <c r="M82" s="2">
        <f>geracao_mwh!M82*1000</f>
        <v>13822300.000000002</v>
      </c>
      <c r="N82" s="2">
        <f>geracao_mwh!N82*1000</f>
        <v>0</v>
      </c>
      <c r="O82" s="2">
        <f>geracao_mwh!O82*1000</f>
        <v>0</v>
      </c>
    </row>
    <row r="83" spans="1:15" x14ac:dyDescent="0.3">
      <c r="A83" s="6">
        <v>82</v>
      </c>
      <c r="B83" s="6">
        <v>2006</v>
      </c>
      <c r="C83" s="6">
        <v>10</v>
      </c>
      <c r="D83" s="2">
        <f>geracao_mwh!D83*1000</f>
        <v>8285909.9999999963</v>
      </c>
      <c r="E83" s="2">
        <f>geracao_mwh!E83*1000</f>
        <v>608271540.00000155</v>
      </c>
      <c r="F83" s="2">
        <f>geracao_mwh!F83*1000</f>
        <v>51408250.000000089</v>
      </c>
      <c r="G83" s="2">
        <f>geracao_mwh!G83*1000</f>
        <v>0</v>
      </c>
      <c r="H83" s="2">
        <f>geracao_mwh!H83*1000</f>
        <v>1415954221.999994</v>
      </c>
      <c r="I83" s="2">
        <f>geracao_mwh!I83*1000</f>
        <v>31966125079.99934</v>
      </c>
      <c r="J83" s="2">
        <f>geracao_mwh!J83*1000</f>
        <v>0</v>
      </c>
      <c r="K83" s="2">
        <f>geracao_mwh!K83*1000</f>
        <v>1361974770.000006</v>
      </c>
      <c r="L83" s="2">
        <f>geracao_mwh!L83*1000</f>
        <v>0</v>
      </c>
      <c r="M83" s="2">
        <f>geracao_mwh!M83*1000</f>
        <v>4358450.0000000009</v>
      </c>
      <c r="N83" s="2">
        <f>geracao_mwh!N83*1000</f>
        <v>0</v>
      </c>
      <c r="O83" s="2">
        <f>geracao_mwh!O83*1000</f>
        <v>0</v>
      </c>
    </row>
    <row r="84" spans="1:15" x14ac:dyDescent="0.3">
      <c r="A84" s="6">
        <v>83</v>
      </c>
      <c r="B84" s="6">
        <v>2006</v>
      </c>
      <c r="C84" s="6">
        <v>11</v>
      </c>
      <c r="D84" s="2">
        <f>geracao_mwh!D84*1000</f>
        <v>7726109.9999999842</v>
      </c>
      <c r="E84" s="2">
        <f>geracao_mwh!E84*1000</f>
        <v>440502830.00000048</v>
      </c>
      <c r="F84" s="2">
        <f>geracao_mwh!F84*1000</f>
        <v>47501310.000000022</v>
      </c>
      <c r="G84" s="2">
        <f>geracao_mwh!G84*1000</f>
        <v>0</v>
      </c>
      <c r="H84" s="2">
        <f>geracao_mwh!H84*1000</f>
        <v>949029149.99999833</v>
      </c>
      <c r="I84" s="2">
        <f>geracao_mwh!I84*1000</f>
        <v>32007462869.999805</v>
      </c>
      <c r="J84" s="2">
        <f>geracao_mwh!J84*1000</f>
        <v>0</v>
      </c>
      <c r="K84" s="2">
        <f>geracao_mwh!K84*1000</f>
        <v>1253592390.0000019</v>
      </c>
      <c r="L84" s="2">
        <f>geracao_mwh!L84*1000</f>
        <v>0</v>
      </c>
      <c r="M84" s="2">
        <f>geracao_mwh!M84*1000</f>
        <v>0</v>
      </c>
      <c r="N84" s="2">
        <f>geracao_mwh!N84*1000</f>
        <v>0</v>
      </c>
      <c r="O84" s="2">
        <f>geracao_mwh!O84*1000</f>
        <v>0</v>
      </c>
    </row>
    <row r="85" spans="1:15" x14ac:dyDescent="0.3">
      <c r="A85" s="6">
        <v>84</v>
      </c>
      <c r="B85" s="6">
        <v>2006</v>
      </c>
      <c r="C85" s="6">
        <v>12</v>
      </c>
      <c r="D85" s="2">
        <f>geracao_mwh!D85*1000</f>
        <v>6037780.0000000047</v>
      </c>
      <c r="E85" s="2">
        <f>geracao_mwh!E85*1000</f>
        <v>361239709.99999881</v>
      </c>
      <c r="F85" s="2">
        <f>geracao_mwh!F85*1000</f>
        <v>45701360.000000052</v>
      </c>
      <c r="G85" s="2">
        <f>geracao_mwh!G85*1000</f>
        <v>0</v>
      </c>
      <c r="H85" s="2">
        <f>geracao_mwh!H85*1000</f>
        <v>1279293440.0000019</v>
      </c>
      <c r="I85" s="2">
        <f>geracao_mwh!I85*1000</f>
        <v>32927799239.999542</v>
      </c>
      <c r="J85" s="2">
        <f>geracao_mwh!J85*1000</f>
        <v>0</v>
      </c>
      <c r="K85" s="2">
        <f>geracao_mwh!K85*1000</f>
        <v>1361838870.0000103</v>
      </c>
      <c r="L85" s="2">
        <f>geracao_mwh!L85*1000</f>
        <v>10319.999999999998</v>
      </c>
      <c r="M85" s="2">
        <f>geracao_mwh!M85*1000</f>
        <v>0</v>
      </c>
      <c r="N85" s="2">
        <f>geracao_mwh!N85*1000</f>
        <v>0</v>
      </c>
      <c r="O85" s="2">
        <f>geracao_mwh!O85*1000</f>
        <v>0</v>
      </c>
    </row>
    <row r="86" spans="1:15" x14ac:dyDescent="0.3">
      <c r="A86" s="6">
        <v>85</v>
      </c>
      <c r="B86" s="6">
        <v>2007</v>
      </c>
      <c r="C86" s="6">
        <v>1</v>
      </c>
      <c r="D86" s="2">
        <f>geracao_mwh!D86*1000</f>
        <v>8374870.0000000028</v>
      </c>
      <c r="E86" s="2">
        <f>geracao_mwh!E86*1000</f>
        <v>427950119.99999952</v>
      </c>
      <c r="F86" s="2">
        <f>geracao_mwh!F86*1000</f>
        <v>44518779.999999963</v>
      </c>
      <c r="G86" s="2">
        <f>geracao_mwh!G86*1000</f>
        <v>0</v>
      </c>
      <c r="H86" s="2">
        <f>geracao_mwh!H86*1000</f>
        <v>764288709.99999738</v>
      </c>
      <c r="I86" s="2">
        <f>geracao_mwh!I86*1000</f>
        <v>34351601710.000031</v>
      </c>
      <c r="J86" s="2">
        <f>geracao_mwh!J86*1000</f>
        <v>0</v>
      </c>
      <c r="K86" s="2">
        <f>geracao_mwh!K86*1000</f>
        <v>1001405279.9999956</v>
      </c>
      <c r="L86" s="2">
        <f>geracao_mwh!L86*1000</f>
        <v>0</v>
      </c>
      <c r="M86" s="2">
        <f>geracao_mwh!M86*1000</f>
        <v>0</v>
      </c>
      <c r="N86" s="2">
        <f>geracao_mwh!N86*1000</f>
        <v>0</v>
      </c>
      <c r="O86" s="2">
        <f>geracao_mwh!O86*1000</f>
        <v>0</v>
      </c>
    </row>
    <row r="87" spans="1:15" x14ac:dyDescent="0.3">
      <c r="A87" s="6">
        <v>86</v>
      </c>
      <c r="B87" s="6">
        <v>2007</v>
      </c>
      <c r="C87" s="6">
        <v>2</v>
      </c>
      <c r="D87" s="2">
        <f>geracao_mwh!D87*1000</f>
        <v>7038390.0000000047</v>
      </c>
      <c r="E87" s="2">
        <f>geracao_mwh!E87*1000</f>
        <v>321092860.00000024</v>
      </c>
      <c r="F87" s="2">
        <f>geracao_mwh!F87*1000</f>
        <v>36306070.000000015</v>
      </c>
      <c r="G87" s="2">
        <f>geracao_mwh!G87*1000</f>
        <v>0</v>
      </c>
      <c r="H87" s="2">
        <f>geracao_mwh!H87*1000</f>
        <v>503756009.99999917</v>
      </c>
      <c r="I87" s="2">
        <f>geracao_mwh!I87*1000</f>
        <v>31907345029.999641</v>
      </c>
      <c r="J87" s="2">
        <f>geracao_mwh!J87*1000</f>
        <v>0</v>
      </c>
      <c r="K87" s="2">
        <f>geracao_mwh!K87*1000</f>
        <v>725695699.99999869</v>
      </c>
      <c r="L87" s="2">
        <f>geracao_mwh!L87*1000</f>
        <v>0</v>
      </c>
      <c r="M87" s="2">
        <f>geracao_mwh!M87*1000</f>
        <v>46266609.999999948</v>
      </c>
      <c r="N87" s="2">
        <f>geracao_mwh!N87*1000</f>
        <v>0</v>
      </c>
      <c r="O87" s="2">
        <f>geracao_mwh!O87*1000</f>
        <v>0</v>
      </c>
    </row>
    <row r="88" spans="1:15" x14ac:dyDescent="0.3">
      <c r="A88" s="6">
        <v>87</v>
      </c>
      <c r="B88" s="6">
        <v>2007</v>
      </c>
      <c r="C88" s="6">
        <v>3</v>
      </c>
      <c r="D88" s="2">
        <f>geracao_mwh!D88*1000</f>
        <v>6857579.9999999907</v>
      </c>
      <c r="E88" s="2">
        <f>geracao_mwh!E88*1000</f>
        <v>403210900.00000131</v>
      </c>
      <c r="F88" s="2">
        <f>geracao_mwh!F88*1000</f>
        <v>28729609.99999994</v>
      </c>
      <c r="G88" s="2">
        <f>geracao_mwh!G88*1000</f>
        <v>0</v>
      </c>
      <c r="H88" s="2">
        <f>geracao_mwh!H88*1000</f>
        <v>567549010.00000024</v>
      </c>
      <c r="I88" s="2">
        <f>geracao_mwh!I88*1000</f>
        <v>36912042495.999672</v>
      </c>
      <c r="J88" s="2">
        <f>geracao_mwh!J88*1000</f>
        <v>0</v>
      </c>
      <c r="K88" s="2">
        <f>geracao_mwh!K88*1000</f>
        <v>689057590.00000298</v>
      </c>
      <c r="L88" s="2">
        <f>geracao_mwh!L88*1000</f>
        <v>0</v>
      </c>
      <c r="M88" s="2">
        <f>geracao_mwh!M88*1000</f>
        <v>68222150.00000003</v>
      </c>
      <c r="N88" s="2">
        <f>geracao_mwh!N88*1000</f>
        <v>0</v>
      </c>
      <c r="O88" s="2">
        <f>geracao_mwh!O88*1000</f>
        <v>0</v>
      </c>
    </row>
    <row r="89" spans="1:15" x14ac:dyDescent="0.3">
      <c r="A89" s="6">
        <v>88</v>
      </c>
      <c r="B89" s="6">
        <v>2007</v>
      </c>
      <c r="C89" s="6">
        <v>4</v>
      </c>
      <c r="D89" s="2">
        <f>geracao_mwh!D89*1000</f>
        <v>3757129.9999999995</v>
      </c>
      <c r="E89" s="2">
        <f>geracao_mwh!E89*1000</f>
        <v>349987959.99999958</v>
      </c>
      <c r="F89" s="2">
        <f>geracao_mwh!F89*1000</f>
        <v>37405239.999999963</v>
      </c>
      <c r="G89" s="2">
        <f>geracao_mwh!G89*1000</f>
        <v>0</v>
      </c>
      <c r="H89" s="2">
        <f>geracao_mwh!H89*1000</f>
        <v>624916580.00000143</v>
      </c>
      <c r="I89" s="2">
        <f>geracao_mwh!I89*1000</f>
        <v>34440193389.999573</v>
      </c>
      <c r="J89" s="2">
        <f>geracao_mwh!J89*1000</f>
        <v>0</v>
      </c>
      <c r="K89" s="2">
        <f>geracao_mwh!K89*1000</f>
        <v>579877270.00000036</v>
      </c>
      <c r="L89" s="2">
        <f>geracao_mwh!L89*1000</f>
        <v>0</v>
      </c>
      <c r="M89" s="2">
        <f>geracao_mwh!M89*1000</f>
        <v>39863810</v>
      </c>
      <c r="N89" s="2">
        <f>geracao_mwh!N89*1000</f>
        <v>0</v>
      </c>
      <c r="O89" s="2">
        <f>geracao_mwh!O89*1000</f>
        <v>0</v>
      </c>
    </row>
    <row r="90" spans="1:15" x14ac:dyDescent="0.3">
      <c r="A90" s="6">
        <v>89</v>
      </c>
      <c r="B90" s="6">
        <v>2007</v>
      </c>
      <c r="C90" s="6">
        <v>5</v>
      </c>
      <c r="D90" s="2">
        <f>geracao_mwh!D90*1000</f>
        <v>2421250.0000000005</v>
      </c>
      <c r="E90" s="2">
        <f>geracao_mwh!E90*1000</f>
        <v>308438079.99999946</v>
      </c>
      <c r="F90" s="2">
        <f>geracao_mwh!F90*1000</f>
        <v>39726350.000000045</v>
      </c>
      <c r="G90" s="2">
        <f>geracao_mwh!G90*1000</f>
        <v>0</v>
      </c>
      <c r="H90" s="2">
        <f>geracao_mwh!H90*1000</f>
        <v>366697580.00000101</v>
      </c>
      <c r="I90" s="2">
        <f>geracao_mwh!I90*1000</f>
        <v>34320089649.999821</v>
      </c>
      <c r="J90" s="2">
        <f>geracao_mwh!J90*1000</f>
        <v>0</v>
      </c>
      <c r="K90" s="2">
        <f>geracao_mwh!K90*1000</f>
        <v>1077619600.0000064</v>
      </c>
      <c r="L90" s="2">
        <f>geracao_mwh!L90*1000</f>
        <v>8607409.9999999963</v>
      </c>
      <c r="M90" s="2">
        <f>geracao_mwh!M90*1000</f>
        <v>4384030</v>
      </c>
      <c r="N90" s="2">
        <f>geracao_mwh!N90*1000</f>
        <v>0</v>
      </c>
      <c r="O90" s="2">
        <f>geracao_mwh!O90*1000</f>
        <v>12874610.00000003</v>
      </c>
    </row>
    <row r="91" spans="1:15" x14ac:dyDescent="0.3">
      <c r="A91" s="6">
        <v>90</v>
      </c>
      <c r="B91" s="6">
        <v>2007</v>
      </c>
      <c r="C91" s="6">
        <v>6</v>
      </c>
      <c r="D91" s="2">
        <f>geracao_mwh!D91*1000</f>
        <v>40120.000000000007</v>
      </c>
      <c r="E91" s="2">
        <f>geracao_mwh!E91*1000</f>
        <v>587746474.99999809</v>
      </c>
      <c r="F91" s="2">
        <f>geracao_mwh!F91*1000</f>
        <v>39830250.000000224</v>
      </c>
      <c r="G91" s="2">
        <f>geracao_mwh!G91*1000</f>
        <v>0</v>
      </c>
      <c r="H91" s="2">
        <f>geracao_mwh!H91*1000</f>
        <v>434385720.00000173</v>
      </c>
      <c r="I91" s="2">
        <f>geracao_mwh!I91*1000</f>
        <v>32728498230.000034</v>
      </c>
      <c r="J91" s="2">
        <f>geracao_mwh!J91*1000</f>
        <v>0</v>
      </c>
      <c r="K91" s="2">
        <f>geracao_mwh!K91*1000</f>
        <v>977234799.99999988</v>
      </c>
      <c r="L91" s="2">
        <f>geracao_mwh!L91*1000</f>
        <v>27017200.000000022</v>
      </c>
      <c r="M91" s="2">
        <f>geracao_mwh!M91*1000</f>
        <v>0</v>
      </c>
      <c r="N91" s="2">
        <f>geracao_mwh!N91*1000</f>
        <v>0</v>
      </c>
      <c r="O91" s="2">
        <f>geracao_mwh!O91*1000</f>
        <v>49235750.00000006</v>
      </c>
    </row>
    <row r="92" spans="1:15" x14ac:dyDescent="0.3">
      <c r="A92" s="6">
        <v>91</v>
      </c>
      <c r="B92" s="6">
        <v>2007</v>
      </c>
      <c r="C92" s="6">
        <v>7</v>
      </c>
      <c r="D92" s="2">
        <f>geracao_mwh!D92*1000</f>
        <v>0</v>
      </c>
      <c r="E92" s="2">
        <f>geracao_mwh!E92*1000</f>
        <v>644515520.9999994</v>
      </c>
      <c r="F92" s="2">
        <f>geracao_mwh!F92*1000</f>
        <v>45050000.00000003</v>
      </c>
      <c r="G92" s="2">
        <f>geracao_mwh!G92*1000</f>
        <v>0</v>
      </c>
      <c r="H92" s="2">
        <f>geracao_mwh!H92*1000</f>
        <v>812434819.99999726</v>
      </c>
      <c r="I92" s="2">
        <f>geracao_mwh!I92*1000</f>
        <v>33723919280.000427</v>
      </c>
      <c r="J92" s="2">
        <f>geracao_mwh!J92*1000</f>
        <v>0</v>
      </c>
      <c r="K92" s="2">
        <f>geracao_mwh!K92*1000</f>
        <v>993271739.99999928</v>
      </c>
      <c r="L92" s="2">
        <f>geracao_mwh!L92*1000</f>
        <v>34630270.000000015</v>
      </c>
      <c r="M92" s="2">
        <f>geracao_mwh!M92*1000</f>
        <v>0</v>
      </c>
      <c r="N92" s="2">
        <f>geracao_mwh!N92*1000</f>
        <v>0</v>
      </c>
      <c r="O92" s="2">
        <f>geracao_mwh!O92*1000</f>
        <v>96970440</v>
      </c>
    </row>
    <row r="93" spans="1:15" x14ac:dyDescent="0.3">
      <c r="A93" s="6">
        <v>92</v>
      </c>
      <c r="B93" s="6">
        <v>2007</v>
      </c>
      <c r="C93" s="6">
        <v>8</v>
      </c>
      <c r="D93" s="2">
        <f>geracao_mwh!D93*1000</f>
        <v>1994280.0000000002</v>
      </c>
      <c r="E93" s="2">
        <f>geracao_mwh!E93*1000</f>
        <v>649231249.99999809</v>
      </c>
      <c r="F93" s="2">
        <f>geracao_mwh!F93*1000</f>
        <v>65264610.000000052</v>
      </c>
      <c r="G93" s="2">
        <f>geracao_mwh!G93*1000</f>
        <v>0</v>
      </c>
      <c r="H93" s="2">
        <f>geracao_mwh!H93*1000</f>
        <v>823034440.00000429</v>
      </c>
      <c r="I93" s="2">
        <f>geracao_mwh!I93*1000</f>
        <v>34162861483.999962</v>
      </c>
      <c r="J93" s="2">
        <f>geracao_mwh!J93*1000</f>
        <v>0</v>
      </c>
      <c r="K93" s="2">
        <f>geracao_mwh!K93*1000</f>
        <v>1321225179.9999938</v>
      </c>
      <c r="L93" s="2">
        <f>geracao_mwh!L93*1000</f>
        <v>48404980</v>
      </c>
      <c r="M93" s="2">
        <f>geracao_mwh!M93*1000</f>
        <v>207309.99999999997</v>
      </c>
      <c r="N93" s="2">
        <f>geracao_mwh!N93*1000</f>
        <v>0</v>
      </c>
      <c r="O93" s="2">
        <f>geracao_mwh!O93*1000</f>
        <v>258634299.9999963</v>
      </c>
    </row>
    <row r="94" spans="1:15" x14ac:dyDescent="0.3">
      <c r="A94" s="6">
        <v>93</v>
      </c>
      <c r="B94" s="6">
        <v>2007</v>
      </c>
      <c r="C94" s="6">
        <v>9</v>
      </c>
      <c r="D94" s="2">
        <f>geracao_mwh!D94*1000</f>
        <v>288000</v>
      </c>
      <c r="E94" s="2">
        <f>geracao_mwh!E94*1000</f>
        <v>585150170.00000274</v>
      </c>
      <c r="F94" s="2">
        <f>geracao_mwh!F94*1000</f>
        <v>54311039.999999963</v>
      </c>
      <c r="G94" s="2">
        <f>geracao_mwh!G94*1000</f>
        <v>0</v>
      </c>
      <c r="H94" s="2">
        <f>geracao_mwh!H94*1000</f>
        <v>1172865490.0000038</v>
      </c>
      <c r="I94" s="2">
        <f>geracao_mwh!I94*1000</f>
        <v>32581487727.999706</v>
      </c>
      <c r="J94" s="2">
        <f>geracao_mwh!J94*1000</f>
        <v>0</v>
      </c>
      <c r="K94" s="2">
        <f>geracao_mwh!K94*1000</f>
        <v>1205486770.0000069</v>
      </c>
      <c r="L94" s="2">
        <f>geracao_mwh!L94*1000</f>
        <v>49612599.999999955</v>
      </c>
      <c r="M94" s="2">
        <f>geracao_mwh!M94*1000</f>
        <v>0</v>
      </c>
      <c r="N94" s="2">
        <f>geracao_mwh!N94*1000</f>
        <v>0</v>
      </c>
      <c r="O94" s="2">
        <f>geracao_mwh!O94*1000</f>
        <v>184802329.99999958</v>
      </c>
    </row>
    <row r="95" spans="1:15" x14ac:dyDescent="0.3">
      <c r="A95" s="6">
        <v>94</v>
      </c>
      <c r="B95" s="6">
        <v>2007</v>
      </c>
      <c r="C95" s="6">
        <v>10</v>
      </c>
      <c r="D95" s="2">
        <f>geracao_mwh!D95*1000</f>
        <v>903610</v>
      </c>
      <c r="E95" s="2">
        <f>geracao_mwh!E95*1000</f>
        <v>659906550.00000417</v>
      </c>
      <c r="F95" s="2">
        <f>geracao_mwh!F95*1000</f>
        <v>67437929.999999955</v>
      </c>
      <c r="G95" s="2">
        <f>geracao_mwh!G95*1000</f>
        <v>0</v>
      </c>
      <c r="H95" s="2">
        <f>geracao_mwh!H95*1000</f>
        <v>1253011330.0000043</v>
      </c>
      <c r="I95" s="2">
        <f>geracao_mwh!I95*1000</f>
        <v>34546571970.00087</v>
      </c>
      <c r="J95" s="2">
        <f>geracao_mwh!J95*1000</f>
        <v>0</v>
      </c>
      <c r="K95" s="2">
        <f>geracao_mwh!K95*1000</f>
        <v>1217637000.0000041</v>
      </c>
      <c r="L95" s="2">
        <f>geracao_mwh!L95*1000</f>
        <v>19655580.000000004</v>
      </c>
      <c r="M95" s="2">
        <f>geracao_mwh!M95*1000</f>
        <v>0</v>
      </c>
      <c r="N95" s="2">
        <f>geracao_mwh!N95*1000</f>
        <v>0</v>
      </c>
      <c r="O95" s="2">
        <f>geracao_mwh!O95*1000</f>
        <v>288895579.9999997</v>
      </c>
    </row>
    <row r="96" spans="1:15" x14ac:dyDescent="0.3">
      <c r="A96" s="6">
        <v>95</v>
      </c>
      <c r="B96" s="6">
        <v>2007</v>
      </c>
      <c r="C96" s="6">
        <v>11</v>
      </c>
      <c r="D96" s="2">
        <f>geracao_mwh!D96*1000</f>
        <v>8503000</v>
      </c>
      <c r="E96" s="2">
        <f>geracao_mwh!E96*1000</f>
        <v>610936189.9999994</v>
      </c>
      <c r="F96" s="2">
        <f>geracao_mwh!F96*1000</f>
        <v>48960179.999999888</v>
      </c>
      <c r="G96" s="2">
        <f>geracao_mwh!G96*1000</f>
        <v>0</v>
      </c>
      <c r="H96" s="2">
        <f>geracao_mwh!H96*1000</f>
        <v>1485155860.0000145</v>
      </c>
      <c r="I96" s="2">
        <f>geracao_mwh!I96*1000</f>
        <v>32681926180.000546</v>
      </c>
      <c r="J96" s="2">
        <f>geracao_mwh!J96*1000</f>
        <v>0</v>
      </c>
      <c r="K96" s="2">
        <f>geracao_mwh!K96*1000</f>
        <v>1295784439.9999969</v>
      </c>
      <c r="L96" s="2">
        <f>geracao_mwh!L96*1000</f>
        <v>7463440</v>
      </c>
      <c r="M96" s="2">
        <f>geracao_mwh!M96*1000</f>
        <v>0</v>
      </c>
      <c r="N96" s="2">
        <f>geracao_mwh!N96*1000</f>
        <v>0</v>
      </c>
      <c r="O96" s="2">
        <f>geracao_mwh!O96*1000</f>
        <v>272539630.00000066</v>
      </c>
    </row>
    <row r="97" spans="1:15" x14ac:dyDescent="0.3">
      <c r="A97" s="6">
        <v>96</v>
      </c>
      <c r="B97" s="6">
        <v>2007</v>
      </c>
      <c r="C97" s="6">
        <v>12</v>
      </c>
      <c r="D97" s="2">
        <f>geracao_mwh!D97*1000</f>
        <v>10810310</v>
      </c>
      <c r="E97" s="2">
        <f>geracao_mwh!E97*1000</f>
        <v>654618330.00000048</v>
      </c>
      <c r="F97" s="2">
        <f>geracao_mwh!F97*1000</f>
        <v>51373380.000000045</v>
      </c>
      <c r="G97" s="2">
        <f>geracao_mwh!G97*1000</f>
        <v>0</v>
      </c>
      <c r="H97" s="2">
        <f>geracao_mwh!H97*1000</f>
        <v>1723337150.000005</v>
      </c>
      <c r="I97" s="2">
        <f>geracao_mwh!I97*1000</f>
        <v>33552735710.000118</v>
      </c>
      <c r="J97" s="2">
        <f>geracao_mwh!J97*1000</f>
        <v>0</v>
      </c>
      <c r="K97" s="2">
        <f>geracao_mwh!K97*1000</f>
        <v>1264459469.9999986</v>
      </c>
      <c r="L97" s="2">
        <f>geracao_mwh!L97*1000</f>
        <v>45235809.999999963</v>
      </c>
      <c r="M97" s="2">
        <f>geracao_mwh!M97*1000</f>
        <v>37976169.999999829</v>
      </c>
      <c r="N97" s="2">
        <f>geracao_mwh!N97*1000</f>
        <v>0</v>
      </c>
      <c r="O97" s="2">
        <f>geracao_mwh!O97*1000</f>
        <v>285048740.00000024</v>
      </c>
    </row>
    <row r="98" spans="1:15" x14ac:dyDescent="0.3">
      <c r="A98" s="6">
        <v>97</v>
      </c>
      <c r="B98" s="6">
        <v>2008</v>
      </c>
      <c r="C98" s="6">
        <v>1</v>
      </c>
      <c r="D98" s="2">
        <f>geracao_mwh!D98*1000</f>
        <v>31759200.000000011</v>
      </c>
      <c r="E98" s="2">
        <f>geracao_mwh!E98*1000</f>
        <v>645431970.00000083</v>
      </c>
      <c r="F98" s="2">
        <f>geracao_mwh!F98*1000</f>
        <v>54325809.999999948</v>
      </c>
      <c r="G98" s="2">
        <f>geracao_mwh!G98*1000</f>
        <v>0</v>
      </c>
      <c r="H98" s="2">
        <f>geracao_mwh!H98*1000</f>
        <v>2181651760.0000005</v>
      </c>
      <c r="I98" s="2">
        <f>geracao_mwh!I98*1000</f>
        <v>32987955480.000031</v>
      </c>
      <c r="J98" s="2">
        <f>geracao_mwh!J98*1000</f>
        <v>0</v>
      </c>
      <c r="K98" s="2">
        <f>geracao_mwh!K98*1000</f>
        <v>1302544789.999999</v>
      </c>
      <c r="L98" s="2">
        <f>geracao_mwh!L98*1000</f>
        <v>214080289.99999982</v>
      </c>
      <c r="M98" s="2">
        <f>geracao_mwh!M98*1000</f>
        <v>176346200.00000009</v>
      </c>
      <c r="N98" s="2">
        <f>geracao_mwh!N98*1000</f>
        <v>0</v>
      </c>
      <c r="O98" s="2">
        <f>geracao_mwh!O98*1000</f>
        <v>279358069.99999976</v>
      </c>
    </row>
    <row r="99" spans="1:15" x14ac:dyDescent="0.3">
      <c r="A99" s="6">
        <v>98</v>
      </c>
      <c r="B99" s="6">
        <v>2008</v>
      </c>
      <c r="C99" s="6">
        <v>2</v>
      </c>
      <c r="D99" s="2">
        <f>geracao_mwh!D99*1000</f>
        <v>34414349.999999985</v>
      </c>
      <c r="E99" s="2">
        <f>geracao_mwh!E99*1000</f>
        <v>641016160.0000006</v>
      </c>
      <c r="F99" s="2">
        <f>geracao_mwh!F99*1000</f>
        <v>42467559.999999993</v>
      </c>
      <c r="G99" s="2">
        <f>geracao_mwh!G99*1000</f>
        <v>0</v>
      </c>
      <c r="H99" s="2">
        <f>geracao_mwh!H99*1000</f>
        <v>2487654000.0000033</v>
      </c>
      <c r="I99" s="2">
        <f>geracao_mwh!I99*1000</f>
        <v>30861493019.999813</v>
      </c>
      <c r="J99" s="2">
        <f>geracao_mwh!J99*1000</f>
        <v>0</v>
      </c>
      <c r="K99" s="2">
        <f>geracao_mwh!K99*1000</f>
        <v>1120252390.0000017</v>
      </c>
      <c r="L99" s="2">
        <f>geracao_mwh!L99*1000</f>
        <v>170548199.99999988</v>
      </c>
      <c r="M99" s="2">
        <f>geracao_mwh!M99*1000</f>
        <v>241292959.9999997</v>
      </c>
      <c r="N99" s="2">
        <f>geracao_mwh!N99*1000</f>
        <v>0</v>
      </c>
      <c r="O99" s="2">
        <f>geracao_mwh!O99*1000</f>
        <v>280544869.99999988</v>
      </c>
    </row>
    <row r="100" spans="1:15" x14ac:dyDescent="0.3">
      <c r="A100" s="6">
        <v>99</v>
      </c>
      <c r="B100" s="6">
        <v>2008</v>
      </c>
      <c r="C100" s="6">
        <v>3</v>
      </c>
      <c r="D100" s="2">
        <f>geracao_mwh!D100*1000</f>
        <v>30798340.000000019</v>
      </c>
      <c r="E100" s="2">
        <f>geracao_mwh!E100*1000</f>
        <v>583934950.00000167</v>
      </c>
      <c r="F100" s="2">
        <f>geracao_mwh!F100*1000</f>
        <v>29243050</v>
      </c>
      <c r="G100" s="2">
        <f>geracao_mwh!G100*1000</f>
        <v>0</v>
      </c>
      <c r="H100" s="2">
        <f>geracao_mwh!H100*1000</f>
        <v>2504647099.9999919</v>
      </c>
      <c r="I100" s="2">
        <f>geracao_mwh!I100*1000</f>
        <v>33832900629.999607</v>
      </c>
      <c r="J100" s="2">
        <f>geracao_mwh!J100*1000</f>
        <v>0</v>
      </c>
      <c r="K100" s="2">
        <f>geracao_mwh!K100*1000</f>
        <v>998586029.99999881</v>
      </c>
      <c r="L100" s="2">
        <f>geracao_mwh!L100*1000</f>
        <v>134569479.99999949</v>
      </c>
      <c r="M100" s="2">
        <f>geracao_mwh!M100*1000</f>
        <v>239691159.99999985</v>
      </c>
      <c r="N100" s="2">
        <f>geracao_mwh!N100*1000</f>
        <v>0</v>
      </c>
      <c r="O100" s="2">
        <f>geracao_mwh!O100*1000</f>
        <v>311150880.00000215</v>
      </c>
    </row>
    <row r="101" spans="1:15" x14ac:dyDescent="0.3">
      <c r="A101" s="6">
        <v>100</v>
      </c>
      <c r="B101" s="6">
        <v>2008</v>
      </c>
      <c r="C101" s="6">
        <v>4</v>
      </c>
      <c r="D101" s="2">
        <f>geracao_mwh!D101*1000</f>
        <v>11016589.999999994</v>
      </c>
      <c r="E101" s="2">
        <f>geracao_mwh!E101*1000</f>
        <v>386566720.00000143</v>
      </c>
      <c r="F101" s="2">
        <f>geracao_mwh!F101*1000</f>
        <v>22582059.999999989</v>
      </c>
      <c r="G101" s="2">
        <f>geracao_mwh!G101*1000</f>
        <v>0</v>
      </c>
      <c r="H101" s="2">
        <f>geracao_mwh!H101*1000</f>
        <v>2106315049.9999719</v>
      </c>
      <c r="I101" s="2">
        <f>geracao_mwh!I101*1000</f>
        <v>33205545959.99942</v>
      </c>
      <c r="J101" s="2">
        <f>geracao_mwh!J101*1000</f>
        <v>0</v>
      </c>
      <c r="K101" s="2">
        <f>geracao_mwh!K101*1000</f>
        <v>1089751580.0000033</v>
      </c>
      <c r="L101" s="2">
        <f>geracao_mwh!L101*1000</f>
        <v>56643520.000000015</v>
      </c>
      <c r="M101" s="2">
        <f>geracao_mwh!M101*1000</f>
        <v>137314059.99999967</v>
      </c>
      <c r="N101" s="2">
        <f>geracao_mwh!N101*1000</f>
        <v>0</v>
      </c>
      <c r="O101" s="2">
        <f>geracao_mwh!O101*1000</f>
        <v>353567489.99999839</v>
      </c>
    </row>
    <row r="102" spans="1:15" x14ac:dyDescent="0.3">
      <c r="A102" s="6">
        <v>101</v>
      </c>
      <c r="B102" s="6">
        <v>2008</v>
      </c>
      <c r="C102" s="6">
        <v>5</v>
      </c>
      <c r="D102" s="2">
        <f>geracao_mwh!D102*1000</f>
        <v>4553380.0000000037</v>
      </c>
      <c r="E102" s="2">
        <f>geracao_mwh!E102*1000</f>
        <v>502003400.00000006</v>
      </c>
      <c r="F102" s="2">
        <f>geracao_mwh!F102*1000</f>
        <v>41149650.000000037</v>
      </c>
      <c r="G102" s="2">
        <f>geracao_mwh!G102*1000</f>
        <v>0</v>
      </c>
      <c r="H102" s="2">
        <f>geracao_mwh!H102*1000</f>
        <v>1834536639.9999857</v>
      </c>
      <c r="I102" s="2">
        <f>geracao_mwh!I102*1000</f>
        <v>33842876449.999794</v>
      </c>
      <c r="J102" s="2">
        <f>geracao_mwh!J102*1000</f>
        <v>0</v>
      </c>
      <c r="K102" s="2">
        <f>geracao_mwh!K102*1000</f>
        <v>737162899.99999952</v>
      </c>
      <c r="L102" s="2">
        <f>geracao_mwh!L102*1000</f>
        <v>133174759.99999996</v>
      </c>
      <c r="M102" s="2">
        <f>geracao_mwh!M102*1000</f>
        <v>96903600.000000387</v>
      </c>
      <c r="N102" s="2">
        <f>geracao_mwh!N102*1000</f>
        <v>0</v>
      </c>
      <c r="O102" s="2">
        <f>geracao_mwh!O102*1000</f>
        <v>333914430.00000077</v>
      </c>
    </row>
    <row r="103" spans="1:15" x14ac:dyDescent="0.3">
      <c r="A103" s="6">
        <v>102</v>
      </c>
      <c r="B103" s="6">
        <v>2008</v>
      </c>
      <c r="C103" s="6">
        <v>6</v>
      </c>
      <c r="D103" s="2">
        <f>geracao_mwh!D103*1000</f>
        <v>5508649.9999999981</v>
      </c>
      <c r="E103" s="2">
        <f>geracao_mwh!E103*1000</f>
        <v>628141970.00000119</v>
      </c>
      <c r="F103" s="2">
        <f>geracao_mwh!F103*1000</f>
        <v>41807439.999999814</v>
      </c>
      <c r="G103" s="2">
        <f>geracao_mwh!G103*1000</f>
        <v>0</v>
      </c>
      <c r="H103" s="2">
        <f>geracao_mwh!H103*1000</f>
        <v>1846141930</v>
      </c>
      <c r="I103" s="2">
        <f>geracao_mwh!I103*1000</f>
        <v>33278735889.999367</v>
      </c>
      <c r="J103" s="2">
        <f>geracao_mwh!J103*1000</f>
        <v>0</v>
      </c>
      <c r="K103" s="2">
        <f>geracao_mwh!K103*1000</f>
        <v>567459850.00000048</v>
      </c>
      <c r="L103" s="2">
        <f>geracao_mwh!L103*1000</f>
        <v>189500760.00000057</v>
      </c>
      <c r="M103" s="2">
        <f>geracao_mwh!M103*1000</f>
        <v>170541680.00000021</v>
      </c>
      <c r="N103" s="2">
        <f>geracao_mwh!N103*1000</f>
        <v>0</v>
      </c>
      <c r="O103" s="2">
        <f>geracao_mwh!O103*1000</f>
        <v>267041070.00000012</v>
      </c>
    </row>
    <row r="104" spans="1:15" x14ac:dyDescent="0.3">
      <c r="A104" s="6">
        <v>103</v>
      </c>
      <c r="B104" s="6">
        <v>2008</v>
      </c>
      <c r="C104" s="6">
        <v>7</v>
      </c>
      <c r="D104" s="2">
        <f>geracao_mwh!D104*1000</f>
        <v>6457630.0000000009</v>
      </c>
      <c r="E104" s="2">
        <f>geracao_mwh!E104*1000</f>
        <v>563867750.00000083</v>
      </c>
      <c r="F104" s="2">
        <f>geracao_mwh!F104*1000</f>
        <v>37323839.999999993</v>
      </c>
      <c r="G104" s="2">
        <f>geracao_mwh!G104*1000</f>
        <v>0</v>
      </c>
      <c r="H104" s="2">
        <f>geracao_mwh!H104*1000</f>
        <v>1847248529.9999988</v>
      </c>
      <c r="I104" s="2">
        <f>geracao_mwh!I104*1000</f>
        <v>33237568059.999657</v>
      </c>
      <c r="J104" s="2">
        <f>geracao_mwh!J104*1000</f>
        <v>0</v>
      </c>
      <c r="K104" s="2">
        <f>geracao_mwh!K104*1000</f>
        <v>1385656189.9999957</v>
      </c>
      <c r="L104" s="2">
        <f>geracao_mwh!L104*1000</f>
        <v>45880980</v>
      </c>
      <c r="M104" s="2">
        <f>geracao_mwh!M104*1000</f>
        <v>11392939.999999998</v>
      </c>
      <c r="N104" s="2">
        <f>geracao_mwh!N104*1000</f>
        <v>0</v>
      </c>
      <c r="O104" s="2">
        <f>geracao_mwh!O104*1000</f>
        <v>272917240.00000012</v>
      </c>
    </row>
    <row r="105" spans="1:15" x14ac:dyDescent="0.3">
      <c r="A105" s="6">
        <v>104</v>
      </c>
      <c r="B105" s="6">
        <v>2008</v>
      </c>
      <c r="C105" s="6">
        <v>8</v>
      </c>
      <c r="D105" s="2">
        <f>geracao_mwh!D105*1000</f>
        <v>5389110</v>
      </c>
      <c r="E105" s="2">
        <f>geracao_mwh!E105*1000</f>
        <v>521623199.99999934</v>
      </c>
      <c r="F105" s="2">
        <f>geracao_mwh!F105*1000</f>
        <v>52033459.999999978</v>
      </c>
      <c r="G105" s="2">
        <f>geracao_mwh!G105*1000</f>
        <v>0</v>
      </c>
      <c r="H105" s="2">
        <f>geracao_mwh!H105*1000</f>
        <v>2027149119.9999995</v>
      </c>
      <c r="I105" s="2">
        <f>geracao_mwh!I105*1000</f>
        <v>34105702890.000092</v>
      </c>
      <c r="J105" s="2">
        <f>geracao_mwh!J105*1000</f>
        <v>0</v>
      </c>
      <c r="K105" s="2">
        <f>geracao_mwh!K105*1000</f>
        <v>1368363870.0000019</v>
      </c>
      <c r="L105" s="2">
        <f>geracao_mwh!L105*1000</f>
        <v>23756190</v>
      </c>
      <c r="M105" s="2">
        <f>geracao_mwh!M105*1000</f>
        <v>22849.999999999989</v>
      </c>
      <c r="N105" s="2">
        <f>geracao_mwh!N105*1000</f>
        <v>0</v>
      </c>
      <c r="O105" s="2">
        <f>geracao_mwh!O105*1000</f>
        <v>272003779.99999994</v>
      </c>
    </row>
    <row r="106" spans="1:15" x14ac:dyDescent="0.3">
      <c r="A106" s="6">
        <v>105</v>
      </c>
      <c r="B106" s="6">
        <v>2008</v>
      </c>
      <c r="C106" s="6">
        <v>9</v>
      </c>
      <c r="D106" s="2">
        <f>geracao_mwh!D106*1000</f>
        <v>1439360</v>
      </c>
      <c r="E106" s="2">
        <f>geracao_mwh!E106*1000</f>
        <v>452321010.00000167</v>
      </c>
      <c r="F106" s="2">
        <f>geracao_mwh!F106*1000</f>
        <v>62245760.00000003</v>
      </c>
      <c r="G106" s="2">
        <f>geracao_mwh!G106*1000</f>
        <v>0</v>
      </c>
      <c r="H106" s="2">
        <f>geracao_mwh!H106*1000</f>
        <v>1949019510.0000103</v>
      </c>
      <c r="I106" s="2">
        <f>geracao_mwh!I106*1000</f>
        <v>32954154820.000065</v>
      </c>
      <c r="J106" s="2">
        <f>geracao_mwh!J106*1000</f>
        <v>0</v>
      </c>
      <c r="K106" s="2">
        <f>geracao_mwh!K106*1000</f>
        <v>1344826839.9999981</v>
      </c>
      <c r="L106" s="2">
        <f>geracao_mwh!L106*1000</f>
        <v>388000</v>
      </c>
      <c r="M106" s="2">
        <f>geracao_mwh!M106*1000</f>
        <v>1350</v>
      </c>
      <c r="N106" s="2">
        <f>geracao_mwh!N106*1000</f>
        <v>0</v>
      </c>
      <c r="O106" s="2">
        <f>geracao_mwh!O106*1000</f>
        <v>249745030.0000003</v>
      </c>
    </row>
    <row r="107" spans="1:15" x14ac:dyDescent="0.3">
      <c r="A107" s="6">
        <v>106</v>
      </c>
      <c r="B107" s="6">
        <v>2008</v>
      </c>
      <c r="C107" s="6">
        <v>10</v>
      </c>
      <c r="D107" s="2">
        <f>geracao_mwh!D107*1000</f>
        <v>7423730.0000000009</v>
      </c>
      <c r="E107" s="2">
        <f>geracao_mwh!E107*1000</f>
        <v>555448010.00000072</v>
      </c>
      <c r="F107" s="2">
        <f>geracao_mwh!F107*1000</f>
        <v>58394029.999999925</v>
      </c>
      <c r="G107" s="2">
        <f>geracao_mwh!G107*1000</f>
        <v>0</v>
      </c>
      <c r="H107" s="2">
        <f>geracao_mwh!H107*1000</f>
        <v>2145808470.0000017</v>
      </c>
      <c r="I107" s="2">
        <f>geracao_mwh!I107*1000</f>
        <v>34893852310.000259</v>
      </c>
      <c r="J107" s="2">
        <f>geracao_mwh!J107*1000</f>
        <v>0</v>
      </c>
      <c r="K107" s="2">
        <f>geracao_mwh!K107*1000</f>
        <v>1363588179.9999995</v>
      </c>
      <c r="L107" s="2">
        <f>geracao_mwh!L107*1000</f>
        <v>2466160.0000000009</v>
      </c>
      <c r="M107" s="2">
        <f>geracao_mwh!M107*1000</f>
        <v>18211780.000000004</v>
      </c>
      <c r="N107" s="2">
        <f>geracao_mwh!N107*1000</f>
        <v>0</v>
      </c>
      <c r="O107" s="2">
        <f>geracao_mwh!O107*1000</f>
        <v>237126939.99999955</v>
      </c>
    </row>
    <row r="108" spans="1:15" x14ac:dyDescent="0.3">
      <c r="A108" s="6">
        <v>107</v>
      </c>
      <c r="B108" s="6">
        <v>2008</v>
      </c>
      <c r="C108" s="6">
        <v>11</v>
      </c>
      <c r="D108" s="2">
        <f>geracao_mwh!D108*1000</f>
        <v>15519560.000000002</v>
      </c>
      <c r="E108" s="2">
        <f>geracao_mwh!E108*1000</f>
        <v>288844959.99999875</v>
      </c>
      <c r="F108" s="2">
        <f>geracao_mwh!F108*1000</f>
        <v>64053170.000000007</v>
      </c>
      <c r="G108" s="2">
        <f>geracao_mwh!G108*1000</f>
        <v>0</v>
      </c>
      <c r="H108" s="2">
        <f>geracao_mwh!H108*1000</f>
        <v>1784464970.000016</v>
      </c>
      <c r="I108" s="2">
        <f>geracao_mwh!I108*1000</f>
        <v>32992075869.999981</v>
      </c>
      <c r="J108" s="2">
        <f>geracao_mwh!J108*1000</f>
        <v>0</v>
      </c>
      <c r="K108" s="2">
        <f>geracao_mwh!K108*1000</f>
        <v>1315626239.9999988</v>
      </c>
      <c r="L108" s="2">
        <f>geracao_mwh!L108*1000</f>
        <v>204749.99999999997</v>
      </c>
      <c r="M108" s="2">
        <f>geracao_mwh!M108*1000</f>
        <v>363799.99999999994</v>
      </c>
      <c r="N108" s="2">
        <f>geracao_mwh!N108*1000</f>
        <v>0</v>
      </c>
      <c r="O108" s="2">
        <f>geracao_mwh!O108*1000</f>
        <v>134951470.00000021</v>
      </c>
    </row>
    <row r="109" spans="1:15" x14ac:dyDescent="0.3">
      <c r="A109" s="6">
        <v>108</v>
      </c>
      <c r="B109" s="6">
        <v>2008</v>
      </c>
      <c r="C109" s="6">
        <v>12</v>
      </c>
      <c r="D109" s="2">
        <f>geracao_mwh!D109*1000</f>
        <v>23818290.000000007</v>
      </c>
      <c r="E109" s="2">
        <f>geracao_mwh!E109*1000</f>
        <v>499138240.00000101</v>
      </c>
      <c r="F109" s="2">
        <f>geracao_mwh!F109*1000</f>
        <v>51097260.000000007</v>
      </c>
      <c r="G109" s="2">
        <f>geracao_mwh!G109*1000</f>
        <v>0</v>
      </c>
      <c r="H109" s="2">
        <f>geracao_mwh!H109*1000</f>
        <v>2160873160.00001</v>
      </c>
      <c r="I109" s="2">
        <f>geracao_mwh!I109*1000</f>
        <v>31474213689.999813</v>
      </c>
      <c r="J109" s="2">
        <f>geracao_mwh!J109*1000</f>
        <v>0</v>
      </c>
      <c r="K109" s="2">
        <f>geracao_mwh!K109*1000</f>
        <v>1386998759.9999986</v>
      </c>
      <c r="L109" s="2">
        <f>geracao_mwh!L109*1000</f>
        <v>4273350.0000000019</v>
      </c>
      <c r="M109" s="2">
        <f>geracao_mwh!M109*1000</f>
        <v>6733240.0000000037</v>
      </c>
      <c r="N109" s="2">
        <f>geracao_mwh!N109*1000</f>
        <v>0</v>
      </c>
      <c r="O109" s="2">
        <f>geracao_mwh!O109*1000</f>
        <v>168583459.99999958</v>
      </c>
    </row>
    <row r="110" spans="1:15" x14ac:dyDescent="0.3">
      <c r="A110" s="6">
        <v>109</v>
      </c>
      <c r="B110" s="6">
        <v>2009</v>
      </c>
      <c r="C110" s="6">
        <v>1</v>
      </c>
      <c r="D110" s="2">
        <f>geracao_mwh!D110*1000</f>
        <v>17911331.10000002</v>
      </c>
      <c r="E110" s="2">
        <f>geracao_mwh!E110*1000</f>
        <v>421928480.00000048</v>
      </c>
      <c r="F110" s="2">
        <f>geracao_mwh!F110*1000</f>
        <v>43644749.999999948</v>
      </c>
      <c r="G110" s="2">
        <f>geracao_mwh!G110*1000</f>
        <v>0</v>
      </c>
      <c r="H110" s="2">
        <f>geracao_mwh!H110*1000</f>
        <v>983710260.00000405</v>
      </c>
      <c r="I110" s="2">
        <f>geracao_mwh!I110*1000</f>
        <v>33432357429.999783</v>
      </c>
      <c r="J110" s="2">
        <f>geracao_mwh!J110*1000</f>
        <v>0</v>
      </c>
      <c r="K110" s="2">
        <f>geracao_mwh!K110*1000</f>
        <v>1267458630.0000002</v>
      </c>
      <c r="L110" s="2">
        <f>geracao_mwh!L110*1000</f>
        <v>2335980.0000000005</v>
      </c>
      <c r="M110" s="2">
        <f>geracao_mwh!M110*1000</f>
        <v>162610</v>
      </c>
      <c r="N110" s="2">
        <f>geracao_mwh!N110*1000</f>
        <v>0</v>
      </c>
      <c r="O110" s="2">
        <f>geracao_mwh!O110*1000</f>
        <v>148954670</v>
      </c>
    </row>
    <row r="111" spans="1:15" x14ac:dyDescent="0.3">
      <c r="A111" s="6">
        <v>110</v>
      </c>
      <c r="B111" s="6">
        <v>2009</v>
      </c>
      <c r="C111" s="6">
        <v>2</v>
      </c>
      <c r="D111" s="2">
        <f>geracao_mwh!D111*1000</f>
        <v>24172379.999999993</v>
      </c>
      <c r="E111" s="2">
        <f>geracao_mwh!E111*1000</f>
        <v>401110159.99999845</v>
      </c>
      <c r="F111" s="2">
        <f>geracao_mwh!F111*1000</f>
        <v>32474709.999999966</v>
      </c>
      <c r="G111" s="2">
        <f>geracao_mwh!G111*1000</f>
        <v>0</v>
      </c>
      <c r="H111" s="2">
        <f>geracao_mwh!H111*1000</f>
        <v>644335210.0000025</v>
      </c>
      <c r="I111" s="2">
        <f>geracao_mwh!I111*1000</f>
        <v>32326080119.998859</v>
      </c>
      <c r="J111" s="2">
        <f>geracao_mwh!J111*1000</f>
        <v>0</v>
      </c>
      <c r="K111" s="2">
        <f>geracao_mwh!K111*1000</f>
        <v>904638760.00000012</v>
      </c>
      <c r="L111" s="2">
        <f>geracao_mwh!L111*1000</f>
        <v>874979.99999999988</v>
      </c>
      <c r="M111" s="2">
        <f>geracao_mwh!M111*1000</f>
        <v>47537310.000000112</v>
      </c>
      <c r="N111" s="2">
        <f>geracao_mwh!N111*1000</f>
        <v>0</v>
      </c>
      <c r="O111" s="2">
        <f>geracao_mwh!O111*1000</f>
        <v>110912240.00000021</v>
      </c>
    </row>
    <row r="112" spans="1:15" x14ac:dyDescent="0.3">
      <c r="A112" s="6">
        <v>111</v>
      </c>
      <c r="B112" s="6">
        <v>2009</v>
      </c>
      <c r="C112" s="6">
        <v>3</v>
      </c>
      <c r="D112" s="2">
        <f>geracao_mwh!D112*1000</f>
        <v>29111269.999999989</v>
      </c>
      <c r="E112" s="2">
        <f>geracao_mwh!E112*1000</f>
        <v>451287210.00000018</v>
      </c>
      <c r="F112" s="2">
        <f>geracao_mwh!F112*1000</f>
        <v>40396570.000000045</v>
      </c>
      <c r="G112" s="2">
        <f>geracao_mwh!G112*1000</f>
        <v>0</v>
      </c>
      <c r="H112" s="2">
        <f>geracao_mwh!H112*1000</f>
        <v>1005748760.0000001</v>
      </c>
      <c r="I112" s="2">
        <f>geracao_mwh!I112*1000</f>
        <v>36725603310.000267</v>
      </c>
      <c r="J112" s="2">
        <f>geracao_mwh!J112*1000</f>
        <v>0</v>
      </c>
      <c r="K112" s="2">
        <f>geracao_mwh!K112*1000</f>
        <v>998014200.00000072</v>
      </c>
      <c r="L112" s="2">
        <f>geracao_mwh!L112*1000</f>
        <v>157790.00000000003</v>
      </c>
      <c r="M112" s="2">
        <f>geracao_mwh!M112*1000</f>
        <v>71002620</v>
      </c>
      <c r="N112" s="2">
        <f>geracao_mwh!N112*1000</f>
        <v>0</v>
      </c>
      <c r="O112" s="2">
        <f>geracao_mwh!O112*1000</f>
        <v>117757809.9999999</v>
      </c>
    </row>
    <row r="113" spans="1:15" x14ac:dyDescent="0.3">
      <c r="A113" s="6">
        <v>112</v>
      </c>
      <c r="B113" s="6">
        <v>2009</v>
      </c>
      <c r="C113" s="6">
        <v>4</v>
      </c>
      <c r="D113" s="2">
        <f>geracao_mwh!D113*1000</f>
        <v>19049670.000000011</v>
      </c>
      <c r="E113" s="2">
        <f>geracao_mwh!E113*1000</f>
        <v>442229519.9999994</v>
      </c>
      <c r="F113" s="2">
        <f>geracao_mwh!F113*1000</f>
        <v>24205349.999999955</v>
      </c>
      <c r="G113" s="2">
        <f>geracao_mwh!G113*1000</f>
        <v>0</v>
      </c>
      <c r="H113" s="2">
        <f>geracao_mwh!H113*1000</f>
        <v>516811329.99999857</v>
      </c>
      <c r="I113" s="2">
        <f>geracao_mwh!I113*1000</f>
        <v>33722809090.000256</v>
      </c>
      <c r="J113" s="2">
        <f>geracao_mwh!J113*1000</f>
        <v>0</v>
      </c>
      <c r="K113" s="2">
        <f>geracao_mwh!K113*1000</f>
        <v>951061419.99999952</v>
      </c>
      <c r="L113" s="2">
        <f>geracao_mwh!L113*1000</f>
        <v>133890.00000000003</v>
      </c>
      <c r="M113" s="2">
        <f>geracao_mwh!M113*1000</f>
        <v>43584409.999999993</v>
      </c>
      <c r="N113" s="2">
        <f>geracao_mwh!N113*1000</f>
        <v>0</v>
      </c>
      <c r="O113" s="2">
        <f>geracao_mwh!O113*1000</f>
        <v>127973210.0000003</v>
      </c>
    </row>
    <row r="114" spans="1:15" x14ac:dyDescent="0.3">
      <c r="A114" s="6">
        <v>113</v>
      </c>
      <c r="B114" s="6">
        <v>2009</v>
      </c>
      <c r="C114" s="6">
        <v>5</v>
      </c>
      <c r="D114" s="2">
        <f>geracao_mwh!D114*1000</f>
        <v>55028530.000000134</v>
      </c>
      <c r="E114" s="2">
        <f>geracao_mwh!E114*1000</f>
        <v>535309500.00000083</v>
      </c>
      <c r="F114" s="2">
        <f>geracao_mwh!F114*1000</f>
        <v>29978219.999999955</v>
      </c>
      <c r="G114" s="2">
        <f>geracao_mwh!G114*1000</f>
        <v>0</v>
      </c>
      <c r="H114" s="2">
        <f>geracao_mwh!H114*1000</f>
        <v>1567934060.0000114</v>
      </c>
      <c r="I114" s="2">
        <f>geracao_mwh!I114*1000</f>
        <v>32879186580.000015</v>
      </c>
      <c r="J114" s="2">
        <f>geracao_mwh!J114*1000</f>
        <v>0</v>
      </c>
      <c r="K114" s="2">
        <f>geracao_mwh!K114*1000</f>
        <v>1004705089.9999954</v>
      </c>
      <c r="L114" s="2">
        <f>geracao_mwh!L114*1000</f>
        <v>0</v>
      </c>
      <c r="M114" s="2">
        <f>geracao_mwh!M114*1000</f>
        <v>105493980.00000013</v>
      </c>
      <c r="N114" s="2">
        <f>geracao_mwh!N114*1000</f>
        <v>0</v>
      </c>
      <c r="O114" s="2">
        <f>geracao_mwh!O114*1000</f>
        <v>131747520.0000001</v>
      </c>
    </row>
    <row r="115" spans="1:15" x14ac:dyDescent="0.3">
      <c r="A115" s="6">
        <v>114</v>
      </c>
      <c r="B115" s="6">
        <v>2009</v>
      </c>
      <c r="C115" s="6">
        <v>6</v>
      </c>
      <c r="D115" s="2">
        <f>geracao_mwh!D115*1000</f>
        <v>36288890</v>
      </c>
      <c r="E115" s="2">
        <f>geracao_mwh!E115*1000</f>
        <v>542429199.99999893</v>
      </c>
      <c r="F115" s="2">
        <f>geracao_mwh!F115*1000</f>
        <v>42675228.000000097</v>
      </c>
      <c r="G115" s="2">
        <f>geracao_mwh!G115*1000</f>
        <v>0</v>
      </c>
      <c r="H115" s="2">
        <f>geracao_mwh!H115*1000</f>
        <v>1318958500.0000002</v>
      </c>
      <c r="I115" s="2">
        <f>geracao_mwh!I115*1000</f>
        <v>31430618319.999542</v>
      </c>
      <c r="J115" s="2">
        <f>geracao_mwh!J115*1000</f>
        <v>0</v>
      </c>
      <c r="K115" s="2">
        <f>geracao_mwh!K115*1000</f>
        <v>1260697759.9999971</v>
      </c>
      <c r="L115" s="2">
        <f>geracao_mwh!L115*1000</f>
        <v>35309.999999999993</v>
      </c>
      <c r="M115" s="2">
        <f>geracao_mwh!M115*1000</f>
        <v>60807230.000000052</v>
      </c>
      <c r="N115" s="2">
        <f>geracao_mwh!N115*1000</f>
        <v>0</v>
      </c>
      <c r="O115" s="2">
        <f>geracao_mwh!O115*1000</f>
        <v>110935140.00000013</v>
      </c>
    </row>
    <row r="116" spans="1:15" x14ac:dyDescent="0.3">
      <c r="A116" s="6">
        <v>115</v>
      </c>
      <c r="B116" s="6">
        <v>2009</v>
      </c>
      <c r="C116" s="6">
        <v>7</v>
      </c>
      <c r="D116" s="2">
        <f>geracao_mwh!D116*1000</f>
        <v>13174259.999999998</v>
      </c>
      <c r="E116" s="2">
        <f>geracao_mwh!E116*1000</f>
        <v>502205519.99999988</v>
      </c>
      <c r="F116" s="2">
        <f>geracao_mwh!F116*1000</f>
        <v>40100240.000000015</v>
      </c>
      <c r="G116" s="2">
        <f>geracao_mwh!G116*1000</f>
        <v>0</v>
      </c>
      <c r="H116" s="2">
        <f>geracao_mwh!H116*1000</f>
        <v>638195259.99999881</v>
      </c>
      <c r="I116" s="2">
        <f>geracao_mwh!I116*1000</f>
        <v>34111836429.999828</v>
      </c>
      <c r="J116" s="2">
        <f>geracao_mwh!J116*1000</f>
        <v>0</v>
      </c>
      <c r="K116" s="2">
        <f>geracao_mwh!K116*1000</f>
        <v>1344722940</v>
      </c>
      <c r="L116" s="2">
        <f>geracao_mwh!L116*1000</f>
        <v>134339.99999999997</v>
      </c>
      <c r="M116" s="2">
        <f>geracao_mwh!M116*1000</f>
        <v>103649.99999999997</v>
      </c>
      <c r="N116" s="2">
        <f>geracao_mwh!N116*1000</f>
        <v>0</v>
      </c>
      <c r="O116" s="2">
        <f>geracao_mwh!O116*1000</f>
        <v>121277000.00000034</v>
      </c>
    </row>
    <row r="117" spans="1:15" x14ac:dyDescent="0.3">
      <c r="A117" s="6">
        <v>116</v>
      </c>
      <c r="B117" s="6">
        <v>2009</v>
      </c>
      <c r="C117" s="6">
        <v>8</v>
      </c>
      <c r="D117" s="2">
        <f>geracao_mwh!D117*1000</f>
        <v>34772779.99999994</v>
      </c>
      <c r="E117" s="2">
        <f>geracao_mwh!E117*1000</f>
        <v>435953099.99999905</v>
      </c>
      <c r="F117" s="2">
        <f>geracao_mwh!F117*1000</f>
        <v>58161559.999999993</v>
      </c>
      <c r="G117" s="2">
        <f>geracao_mwh!G117*1000</f>
        <v>0</v>
      </c>
      <c r="H117" s="2">
        <f>geracao_mwh!H117*1000</f>
        <v>363179670.00000137</v>
      </c>
      <c r="I117" s="2">
        <f>geracao_mwh!I117*1000</f>
        <v>35524833989.999718</v>
      </c>
      <c r="J117" s="2">
        <f>geracao_mwh!J117*1000</f>
        <v>0</v>
      </c>
      <c r="K117" s="2">
        <f>geracao_mwh!K117*1000</f>
        <v>484728280.00000048</v>
      </c>
      <c r="L117" s="2">
        <f>geracao_mwh!L117*1000</f>
        <v>81610</v>
      </c>
      <c r="M117" s="2">
        <f>geracao_mwh!M117*1000</f>
        <v>3648000</v>
      </c>
      <c r="N117" s="2">
        <f>geracao_mwh!N117*1000</f>
        <v>0</v>
      </c>
      <c r="O117" s="2">
        <f>geracao_mwh!O117*1000</f>
        <v>178862479.99999973</v>
      </c>
    </row>
    <row r="118" spans="1:15" x14ac:dyDescent="0.3">
      <c r="A118" s="6">
        <v>117</v>
      </c>
      <c r="B118" s="6">
        <v>2009</v>
      </c>
      <c r="C118" s="6">
        <v>9</v>
      </c>
      <c r="D118" s="2">
        <f>geracao_mwh!D118*1000</f>
        <v>29441754.800000012</v>
      </c>
      <c r="E118" s="2">
        <f>geracao_mwh!E118*1000</f>
        <v>305750740.00000107</v>
      </c>
      <c r="F118" s="2">
        <f>geracao_mwh!F118*1000</f>
        <v>87092339.99999994</v>
      </c>
      <c r="G118" s="2">
        <f>geracao_mwh!G118*1000</f>
        <v>0</v>
      </c>
      <c r="H118" s="2">
        <f>geracao_mwh!H118*1000</f>
        <v>367314370.00000119</v>
      </c>
      <c r="I118" s="2">
        <f>geracao_mwh!I118*1000</f>
        <v>34820546769.999863</v>
      </c>
      <c r="J118" s="2">
        <f>geracao_mwh!J118*1000</f>
        <v>0</v>
      </c>
      <c r="K118" s="2">
        <f>geracao_mwh!K118*1000</f>
        <v>1161986870.0000005</v>
      </c>
      <c r="L118" s="2">
        <f>geracao_mwh!L118*1000</f>
        <v>310070</v>
      </c>
      <c r="M118" s="2">
        <f>geracao_mwh!M118*1000</f>
        <v>699210.00000000012</v>
      </c>
      <c r="N118" s="2">
        <f>geracao_mwh!N118*1000</f>
        <v>0</v>
      </c>
      <c r="O118" s="2">
        <f>geracao_mwh!O118*1000</f>
        <v>170241780.00000003</v>
      </c>
    </row>
    <row r="119" spans="1:15" x14ac:dyDescent="0.3">
      <c r="A119" s="6">
        <v>118</v>
      </c>
      <c r="B119" s="6">
        <v>2009</v>
      </c>
      <c r="C119" s="6">
        <v>10</v>
      </c>
      <c r="D119" s="2">
        <f>geracao_mwh!D119*1000</f>
        <v>26872239.999999996</v>
      </c>
      <c r="E119" s="2">
        <f>geracao_mwh!E119*1000</f>
        <v>390673510.00000066</v>
      </c>
      <c r="F119" s="2">
        <f>geracao_mwh!F119*1000</f>
        <v>103028549.99999987</v>
      </c>
      <c r="G119" s="2">
        <f>geracao_mwh!G119*1000</f>
        <v>0</v>
      </c>
      <c r="H119" s="2">
        <f>geracao_mwh!H119*1000</f>
        <v>348301829.99999887</v>
      </c>
      <c r="I119" s="2">
        <f>geracao_mwh!I119*1000</f>
        <v>36141215810.000443</v>
      </c>
      <c r="J119" s="2">
        <f>geracao_mwh!J119*1000</f>
        <v>0</v>
      </c>
      <c r="K119" s="2">
        <f>geracao_mwh!K119*1000</f>
        <v>1070233940.0000001</v>
      </c>
      <c r="L119" s="2">
        <f>geracao_mwh!L119*1000</f>
        <v>1387789.9999999998</v>
      </c>
      <c r="M119" s="2">
        <f>geracao_mwh!M119*1000</f>
        <v>80541990.000000015</v>
      </c>
      <c r="N119" s="2">
        <f>geracao_mwh!N119*1000</f>
        <v>0</v>
      </c>
      <c r="O119" s="2">
        <f>geracao_mwh!O119*1000</f>
        <v>141152949.9999997</v>
      </c>
    </row>
    <row r="120" spans="1:15" x14ac:dyDescent="0.3">
      <c r="A120" s="6">
        <v>119</v>
      </c>
      <c r="B120" s="6">
        <v>2009</v>
      </c>
      <c r="C120" s="6">
        <v>11</v>
      </c>
      <c r="D120" s="2">
        <f>geracao_mwh!D120*1000</f>
        <v>26032810.000000041</v>
      </c>
      <c r="E120" s="2">
        <f>geracao_mwh!E120*1000</f>
        <v>379872279.99999928</v>
      </c>
      <c r="F120" s="2">
        <f>geracao_mwh!F120*1000</f>
        <v>108681960.00000016</v>
      </c>
      <c r="G120" s="2">
        <f>geracao_mwh!G120*1000</f>
        <v>0</v>
      </c>
      <c r="H120" s="2">
        <f>geracao_mwh!H120*1000</f>
        <v>220961470.00000012</v>
      </c>
      <c r="I120" s="2">
        <f>geracao_mwh!I120*1000</f>
        <v>36617350209.999557</v>
      </c>
      <c r="J120" s="2">
        <f>geracao_mwh!J120*1000</f>
        <v>0</v>
      </c>
      <c r="K120" s="2">
        <f>geracao_mwh!K120*1000</f>
        <v>1177014099.9999983</v>
      </c>
      <c r="L120" s="2">
        <f>geracao_mwh!L120*1000</f>
        <v>3772519.9999999995</v>
      </c>
      <c r="M120" s="2">
        <f>geracao_mwh!M120*1000</f>
        <v>167764380.00000003</v>
      </c>
      <c r="N120" s="2">
        <f>geracao_mwh!N120*1000</f>
        <v>0</v>
      </c>
      <c r="O120" s="2">
        <f>geracao_mwh!O120*1000</f>
        <v>166743259.99999934</v>
      </c>
    </row>
    <row r="121" spans="1:15" x14ac:dyDescent="0.3">
      <c r="A121" s="6">
        <v>120</v>
      </c>
      <c r="B121" s="6">
        <v>2009</v>
      </c>
      <c r="C121" s="6">
        <v>12</v>
      </c>
      <c r="D121" s="2">
        <f>geracao_mwh!D121*1000</f>
        <v>16658940.000000047</v>
      </c>
      <c r="E121" s="2">
        <f>geracao_mwh!E121*1000</f>
        <v>384027020.00000179</v>
      </c>
      <c r="F121" s="2">
        <f>geracao_mwh!F121*1000</f>
        <v>99912510.000000447</v>
      </c>
      <c r="G121" s="2">
        <f>geracao_mwh!G121*1000</f>
        <v>0</v>
      </c>
      <c r="H121" s="2">
        <f>geracao_mwh!H121*1000</f>
        <v>264628470.00000033</v>
      </c>
      <c r="I121" s="2">
        <f>geracao_mwh!I121*1000</f>
        <v>36772385929.999489</v>
      </c>
      <c r="J121" s="2">
        <f>geracao_mwh!J121*1000</f>
        <v>0</v>
      </c>
      <c r="K121" s="2">
        <f>geracao_mwh!K121*1000</f>
        <v>1332747129.9999955</v>
      </c>
      <c r="L121" s="2">
        <f>geracao_mwh!L121*1000</f>
        <v>1704960.0000000002</v>
      </c>
      <c r="M121" s="2">
        <f>geracao_mwh!M121*1000</f>
        <v>136134169.99999991</v>
      </c>
      <c r="N121" s="2">
        <f>geracao_mwh!N121*1000</f>
        <v>0</v>
      </c>
      <c r="O121" s="2">
        <f>geracao_mwh!O121*1000</f>
        <v>209370750.00000134</v>
      </c>
    </row>
    <row r="122" spans="1:15" x14ac:dyDescent="0.3">
      <c r="A122" s="6">
        <v>121</v>
      </c>
      <c r="B122" s="6">
        <v>2010</v>
      </c>
      <c r="C122" s="6">
        <v>1</v>
      </c>
      <c r="D122" s="2">
        <f>geracao_mwh!D122*1000</f>
        <v>11160000</v>
      </c>
      <c r="E122" s="2">
        <f>geracao_mwh!E122*1000</f>
        <v>387943559.99999887</v>
      </c>
      <c r="F122" s="2">
        <f>geracao_mwh!F122*1000</f>
        <v>82524620</v>
      </c>
      <c r="G122" s="2">
        <f>geracao_mwh!G122*1000</f>
        <v>0</v>
      </c>
      <c r="H122" s="2">
        <f>geracao_mwh!H122*1000</f>
        <v>322803370.00000066</v>
      </c>
      <c r="I122" s="2">
        <f>geracao_mwh!I122*1000</f>
        <v>37584687719.400726</v>
      </c>
      <c r="J122" s="2">
        <f>geracao_mwh!J122*1000</f>
        <v>0</v>
      </c>
      <c r="K122" s="2">
        <f>geracao_mwh!K122*1000</f>
        <v>1463646050.0000029</v>
      </c>
      <c r="L122" s="2">
        <f>geracao_mwh!L122*1000</f>
        <v>5039339.5999999996</v>
      </c>
      <c r="M122" s="2">
        <f>geracao_mwh!M122*1000</f>
        <v>116154019.99999987</v>
      </c>
      <c r="N122" s="2">
        <f>geracao_mwh!N122*1000</f>
        <v>0</v>
      </c>
      <c r="O122" s="2">
        <f>geracao_mwh!O122*1000</f>
        <v>270031399.99999833</v>
      </c>
    </row>
    <row r="123" spans="1:15" x14ac:dyDescent="0.3">
      <c r="A123" s="6">
        <v>122</v>
      </c>
      <c r="B123" s="6">
        <v>2010</v>
      </c>
      <c r="C123" s="6">
        <v>2</v>
      </c>
      <c r="D123" s="2">
        <f>geracao_mwh!D123*1000</f>
        <v>21020780.000000007</v>
      </c>
      <c r="E123" s="2">
        <f>geracao_mwh!E123*1000</f>
        <v>400599099.9999997</v>
      </c>
      <c r="F123" s="2">
        <f>geracao_mwh!F123*1000</f>
        <v>109803990.00000007</v>
      </c>
      <c r="G123" s="2">
        <f>geracao_mwh!G123*1000</f>
        <v>0</v>
      </c>
      <c r="H123" s="2">
        <f>geracao_mwh!H123*1000</f>
        <v>602000089.99999845</v>
      </c>
      <c r="I123" s="2">
        <f>geracao_mwh!I123*1000</f>
        <v>35377034589.998863</v>
      </c>
      <c r="J123" s="2">
        <f>geracao_mwh!J123*1000</f>
        <v>0</v>
      </c>
      <c r="K123" s="2">
        <f>geracao_mwh!K123*1000</f>
        <v>1280139860.0000041</v>
      </c>
      <c r="L123" s="2">
        <f>geracao_mwh!L123*1000</f>
        <v>7784809.9999999991</v>
      </c>
      <c r="M123" s="2">
        <f>geracao_mwh!M123*1000</f>
        <v>106575639.99999996</v>
      </c>
      <c r="N123" s="2">
        <f>geracao_mwh!N123*1000</f>
        <v>0</v>
      </c>
      <c r="O123" s="2">
        <f>geracao_mwh!O123*1000</f>
        <v>227218009.99999925</v>
      </c>
    </row>
    <row r="124" spans="1:15" x14ac:dyDescent="0.3">
      <c r="A124" s="6">
        <v>123</v>
      </c>
      <c r="B124" s="6">
        <v>2010</v>
      </c>
      <c r="C124" s="6">
        <v>3</v>
      </c>
      <c r="D124" s="2">
        <f>geracao_mwh!D124*1000</f>
        <v>22561710.000000019</v>
      </c>
      <c r="E124" s="2">
        <f>geracao_mwh!E124*1000</f>
        <v>455956670.00000042</v>
      </c>
      <c r="F124" s="2">
        <f>geracao_mwh!F124*1000</f>
        <v>108672800.00000013</v>
      </c>
      <c r="G124" s="2">
        <f>geracao_mwh!G124*1000</f>
        <v>0</v>
      </c>
      <c r="H124" s="2">
        <f>geracao_mwh!H124*1000</f>
        <v>544734130.00000095</v>
      </c>
      <c r="I124" s="2">
        <f>geracao_mwh!I124*1000</f>
        <v>39298854389.998352</v>
      </c>
      <c r="J124" s="2">
        <f>geracao_mwh!J124*1000</f>
        <v>0</v>
      </c>
      <c r="K124" s="2">
        <f>geracao_mwh!K124*1000</f>
        <v>1465528079.9999981</v>
      </c>
      <c r="L124" s="2">
        <f>geracao_mwh!L124*1000</f>
        <v>1673959.9999999995</v>
      </c>
      <c r="M124" s="2">
        <f>geracao_mwh!M124*1000</f>
        <v>157943000</v>
      </c>
      <c r="N124" s="2">
        <f>geracao_mwh!N124*1000</f>
        <v>0</v>
      </c>
      <c r="O124" s="2">
        <f>geracao_mwh!O124*1000</f>
        <v>156505899.99999893</v>
      </c>
    </row>
    <row r="125" spans="1:15" x14ac:dyDescent="0.3">
      <c r="A125" s="6">
        <v>124</v>
      </c>
      <c r="B125" s="6">
        <v>2010</v>
      </c>
      <c r="C125" s="6">
        <v>4</v>
      </c>
      <c r="D125" s="2">
        <f>geracao_mwh!D125*1000</f>
        <v>17250139.999999996</v>
      </c>
      <c r="E125" s="2">
        <f>geracao_mwh!E125*1000</f>
        <v>391815029.99999982</v>
      </c>
      <c r="F125" s="2">
        <f>geracao_mwh!F125*1000</f>
        <v>66455359.000000052</v>
      </c>
      <c r="G125" s="2">
        <f>geracao_mwh!G125*1000</f>
        <v>0</v>
      </c>
      <c r="H125" s="2">
        <f>geracao_mwh!H125*1000</f>
        <v>578698750.00000095</v>
      </c>
      <c r="I125" s="2">
        <f>geracao_mwh!I125*1000</f>
        <v>36035007009.999222</v>
      </c>
      <c r="J125" s="2">
        <f>geracao_mwh!J125*1000</f>
        <v>0</v>
      </c>
      <c r="K125" s="2">
        <f>geracao_mwh!K125*1000</f>
        <v>1130291210</v>
      </c>
      <c r="L125" s="2">
        <f>geracao_mwh!L125*1000</f>
        <v>745959.99999999965</v>
      </c>
      <c r="M125" s="2">
        <f>geracao_mwh!M125*1000</f>
        <v>162171340.00000021</v>
      </c>
      <c r="N125" s="2">
        <f>geracao_mwh!N125*1000</f>
        <v>0</v>
      </c>
      <c r="O125" s="2">
        <f>geracao_mwh!O125*1000</f>
        <v>153806669.99999997</v>
      </c>
    </row>
    <row r="126" spans="1:15" x14ac:dyDescent="0.3">
      <c r="A126" s="6">
        <v>125</v>
      </c>
      <c r="B126" s="6">
        <v>2010</v>
      </c>
      <c r="C126" s="6">
        <v>5</v>
      </c>
      <c r="D126" s="2">
        <f>geracao_mwh!D126*1000</f>
        <v>38341849.999999903</v>
      </c>
      <c r="E126" s="2">
        <f>geracao_mwh!E126*1000</f>
        <v>462783949.99999934</v>
      </c>
      <c r="F126" s="2">
        <f>geracao_mwh!F126*1000</f>
        <v>88025365.799999908</v>
      </c>
      <c r="G126" s="2">
        <f>geracao_mwh!G126*1000</f>
        <v>0</v>
      </c>
      <c r="H126" s="2">
        <f>geracao_mwh!H126*1000</f>
        <v>1227903630.0000045</v>
      </c>
      <c r="I126" s="2">
        <f>geracao_mwh!I126*1000</f>
        <v>35750474970.00032</v>
      </c>
      <c r="J126" s="2">
        <f>geracao_mwh!J126*1000</f>
        <v>0</v>
      </c>
      <c r="K126" s="2">
        <f>geracao_mwh!K126*1000</f>
        <v>1278265659.999999</v>
      </c>
      <c r="L126" s="2">
        <f>geracao_mwh!L126*1000</f>
        <v>249310</v>
      </c>
      <c r="M126" s="2">
        <f>geracao_mwh!M126*1000</f>
        <v>175181619.99999988</v>
      </c>
      <c r="N126" s="2">
        <f>geracao_mwh!N126*1000</f>
        <v>0</v>
      </c>
      <c r="O126" s="2">
        <f>geracao_mwh!O126*1000</f>
        <v>171397650.00000104</v>
      </c>
    </row>
    <row r="127" spans="1:15" x14ac:dyDescent="0.3">
      <c r="A127" s="6">
        <v>126</v>
      </c>
      <c r="B127" s="6">
        <v>2010</v>
      </c>
      <c r="C127" s="6">
        <v>6</v>
      </c>
      <c r="D127" s="2">
        <f>geracao_mwh!D127*1000</f>
        <v>37973929.999999963</v>
      </c>
      <c r="E127" s="2">
        <f>geracao_mwh!E127*1000</f>
        <v>510358169.99999982</v>
      </c>
      <c r="F127" s="2">
        <f>geracao_mwh!F127*1000</f>
        <v>108748199.99999978</v>
      </c>
      <c r="G127" s="2">
        <f>geracao_mwh!G127*1000</f>
        <v>0</v>
      </c>
      <c r="H127" s="2">
        <f>geracao_mwh!H127*1000</f>
        <v>2115284019.999994</v>
      </c>
      <c r="I127" s="2">
        <f>geracao_mwh!I127*1000</f>
        <v>33116030529.999565</v>
      </c>
      <c r="J127" s="2">
        <f>geracao_mwh!J127*1000</f>
        <v>0</v>
      </c>
      <c r="K127" s="2">
        <f>geracao_mwh!K127*1000</f>
        <v>1425438539.9999909</v>
      </c>
      <c r="L127" s="2">
        <f>geracao_mwh!L127*1000</f>
        <v>4362529.9999999991</v>
      </c>
      <c r="M127" s="2">
        <f>geracao_mwh!M127*1000</f>
        <v>259295679.99999988</v>
      </c>
      <c r="N127" s="2">
        <f>geracao_mwh!N127*1000</f>
        <v>0</v>
      </c>
      <c r="O127" s="2">
        <f>geracao_mwh!O127*1000</f>
        <v>165085269.99999976</v>
      </c>
    </row>
    <row r="128" spans="1:15" x14ac:dyDescent="0.3">
      <c r="A128" s="6">
        <v>127</v>
      </c>
      <c r="B128" s="6">
        <v>2010</v>
      </c>
      <c r="C128" s="6">
        <v>7</v>
      </c>
      <c r="D128" s="2">
        <f>geracao_mwh!D128*1000</f>
        <v>50492439.999999851</v>
      </c>
      <c r="E128" s="2">
        <f>geracao_mwh!E128*1000</f>
        <v>425992130.00000054</v>
      </c>
      <c r="F128" s="2">
        <f>geracao_mwh!F128*1000</f>
        <v>108483100.00000004</v>
      </c>
      <c r="G128" s="2">
        <f>geracao_mwh!G128*1000</f>
        <v>0</v>
      </c>
      <c r="H128" s="2">
        <f>geracao_mwh!H128*1000</f>
        <v>2055305239.9999955</v>
      </c>
      <c r="I128" s="2">
        <f>geracao_mwh!I128*1000</f>
        <v>35346343999.999199</v>
      </c>
      <c r="J128" s="2">
        <f>geracao_mwh!J128*1000</f>
        <v>0</v>
      </c>
      <c r="K128" s="2">
        <f>geracao_mwh!K128*1000</f>
        <v>1226063940.0000057</v>
      </c>
      <c r="L128" s="2">
        <f>geracao_mwh!L128*1000</f>
        <v>181390.00000000003</v>
      </c>
      <c r="M128" s="2">
        <f>geracao_mwh!M128*1000</f>
        <v>269655069.99999994</v>
      </c>
      <c r="N128" s="2">
        <f>geracao_mwh!N128*1000</f>
        <v>0</v>
      </c>
      <c r="O128" s="2">
        <f>geracao_mwh!O128*1000</f>
        <v>182548499.99999872</v>
      </c>
    </row>
    <row r="129" spans="1:15" x14ac:dyDescent="0.3">
      <c r="A129" s="6">
        <v>128</v>
      </c>
      <c r="B129" s="6">
        <v>2010</v>
      </c>
      <c r="C129" s="6">
        <v>8</v>
      </c>
      <c r="D129" s="2">
        <f>geracao_mwh!D129*1000</f>
        <v>60175949.999999888</v>
      </c>
      <c r="E129" s="2">
        <f>geracao_mwh!E129*1000</f>
        <v>590899010.00000012</v>
      </c>
      <c r="F129" s="2">
        <f>geracao_mwh!F129*1000</f>
        <v>156266836.99999893</v>
      </c>
      <c r="G129" s="2">
        <f>geracao_mwh!G129*1000</f>
        <v>0</v>
      </c>
      <c r="H129" s="2">
        <f>geracao_mwh!H129*1000</f>
        <v>3371345229.9999595</v>
      </c>
      <c r="I129" s="2">
        <f>geracao_mwh!I129*1000</f>
        <v>33901026399.999916</v>
      </c>
      <c r="J129" s="2">
        <f>geracao_mwh!J129*1000</f>
        <v>0</v>
      </c>
      <c r="K129" s="2">
        <f>geracao_mwh!K129*1000</f>
        <v>1073882980.0000012</v>
      </c>
      <c r="L129" s="2">
        <f>geracao_mwh!L129*1000</f>
        <v>51484900.00000003</v>
      </c>
      <c r="M129" s="2">
        <f>geracao_mwh!M129*1000</f>
        <v>363341690.0000003</v>
      </c>
      <c r="N129" s="2">
        <f>geracao_mwh!N129*1000</f>
        <v>0</v>
      </c>
      <c r="O129" s="2">
        <f>geracao_mwh!O129*1000</f>
        <v>215713520.00000119</v>
      </c>
    </row>
    <row r="130" spans="1:15" x14ac:dyDescent="0.3">
      <c r="A130" s="6">
        <v>129</v>
      </c>
      <c r="B130" s="6">
        <v>2010</v>
      </c>
      <c r="C130" s="6">
        <v>9</v>
      </c>
      <c r="D130" s="2">
        <f>geracao_mwh!D130*1000</f>
        <v>60489219.999999844</v>
      </c>
      <c r="E130" s="2">
        <f>geracao_mwh!E130*1000</f>
        <v>607055510.00000226</v>
      </c>
      <c r="F130" s="2">
        <f>geracao_mwh!F130*1000</f>
        <v>193164550.00000036</v>
      </c>
      <c r="G130" s="2">
        <f>geracao_mwh!G130*1000</f>
        <v>0</v>
      </c>
      <c r="H130" s="2">
        <f>geracao_mwh!H130*1000</f>
        <v>3954349290</v>
      </c>
      <c r="I130" s="2">
        <f>geracao_mwh!I130*1000</f>
        <v>32438092699.999435</v>
      </c>
      <c r="J130" s="2">
        <f>geracao_mwh!J130*1000</f>
        <v>0</v>
      </c>
      <c r="K130" s="2">
        <f>geracao_mwh!K130*1000</f>
        <v>1333663819.9999962</v>
      </c>
      <c r="L130" s="2">
        <f>geracao_mwh!L130*1000</f>
        <v>76068400.000000015</v>
      </c>
      <c r="M130" s="2">
        <f>geracao_mwh!M130*1000</f>
        <v>404643880.00000048</v>
      </c>
      <c r="N130" s="2">
        <f>geracao_mwh!N130*1000</f>
        <v>0</v>
      </c>
      <c r="O130" s="2">
        <f>geracao_mwh!O130*1000</f>
        <v>235726329.99999934</v>
      </c>
    </row>
    <row r="131" spans="1:15" x14ac:dyDescent="0.3">
      <c r="A131" s="6">
        <v>130</v>
      </c>
      <c r="B131" s="6">
        <v>2010</v>
      </c>
      <c r="C131" s="6">
        <v>10</v>
      </c>
      <c r="D131" s="2">
        <f>geracao_mwh!D131*1000</f>
        <v>57554349.999999955</v>
      </c>
      <c r="E131" s="2">
        <f>geracao_mwh!E131*1000</f>
        <v>576257060.00000083</v>
      </c>
      <c r="F131" s="2">
        <f>geracao_mwh!F131*1000</f>
        <v>142161149.99999914</v>
      </c>
      <c r="G131" s="2">
        <f>geracao_mwh!G131*1000</f>
        <v>0</v>
      </c>
      <c r="H131" s="2">
        <f>geracao_mwh!H131*1000</f>
        <v>3558019800.000001</v>
      </c>
      <c r="I131" s="2">
        <f>geracao_mwh!I131*1000</f>
        <v>33984712770.000443</v>
      </c>
      <c r="J131" s="2">
        <f>geracao_mwh!J131*1000</f>
        <v>0</v>
      </c>
      <c r="K131" s="2">
        <f>geracao_mwh!K131*1000</f>
        <v>1121977209.9999979</v>
      </c>
      <c r="L131" s="2">
        <f>geracao_mwh!L131*1000</f>
        <v>8173520</v>
      </c>
      <c r="M131" s="2">
        <f>geracao_mwh!M131*1000</f>
        <v>319698570.00000012</v>
      </c>
      <c r="N131" s="2">
        <f>geracao_mwh!N131*1000</f>
        <v>0</v>
      </c>
      <c r="O131" s="2">
        <f>geracao_mwh!O131*1000</f>
        <v>260980489.9999986</v>
      </c>
    </row>
    <row r="132" spans="1:15" x14ac:dyDescent="0.3">
      <c r="A132" s="6">
        <v>131</v>
      </c>
      <c r="B132" s="6">
        <v>2010</v>
      </c>
      <c r="C132" s="6">
        <v>11</v>
      </c>
      <c r="D132" s="2">
        <f>geracao_mwh!D132*1000</f>
        <v>58777679.999999903</v>
      </c>
      <c r="E132" s="2">
        <f>geracao_mwh!E132*1000</f>
        <v>650432649.99999857</v>
      </c>
      <c r="F132" s="2">
        <f>geracao_mwh!F132*1000</f>
        <v>157932049.99999893</v>
      </c>
      <c r="G132" s="2">
        <f>geracao_mwh!G132*1000</f>
        <v>0</v>
      </c>
      <c r="H132" s="2">
        <f>geracao_mwh!H132*1000</f>
        <v>3638321969.9999971</v>
      </c>
      <c r="I132" s="2">
        <f>geracao_mwh!I132*1000</f>
        <v>33563671169.999966</v>
      </c>
      <c r="J132" s="2">
        <f>geracao_mwh!J132*1000</f>
        <v>0</v>
      </c>
      <c r="K132" s="2">
        <f>geracao_mwh!K132*1000</f>
        <v>433863079.99999958</v>
      </c>
      <c r="L132" s="2">
        <f>geracao_mwh!L132*1000</f>
        <v>12808359.999999994</v>
      </c>
      <c r="M132" s="2">
        <f>geracao_mwh!M132*1000</f>
        <v>397028560.00000006</v>
      </c>
      <c r="N132" s="2">
        <f>geracao_mwh!N132*1000</f>
        <v>0</v>
      </c>
      <c r="O132" s="2">
        <f>geracao_mwh!O132*1000</f>
        <v>236185559.99999994</v>
      </c>
    </row>
    <row r="133" spans="1:15" x14ac:dyDescent="0.3">
      <c r="A133" s="6">
        <v>132</v>
      </c>
      <c r="B133" s="6">
        <v>2010</v>
      </c>
      <c r="C133" s="6">
        <v>12</v>
      </c>
      <c r="D133" s="2">
        <f>geracao_mwh!D133*1000</f>
        <v>25334189.999999996</v>
      </c>
      <c r="E133" s="2">
        <f>geracao_mwh!E133*1000</f>
        <v>575277529.99999976</v>
      </c>
      <c r="F133" s="2">
        <f>geracao_mwh!F133*1000</f>
        <v>125133090.00000007</v>
      </c>
      <c r="G133" s="2">
        <f>geracao_mwh!G133*1000</f>
        <v>0</v>
      </c>
      <c r="H133" s="2">
        <f>geracao_mwh!H133*1000</f>
        <v>2296536849.9999928</v>
      </c>
      <c r="I133" s="2">
        <f>geracao_mwh!I133*1000</f>
        <v>36397097050.000015</v>
      </c>
      <c r="J133" s="2">
        <f>geracao_mwh!J133*1000</f>
        <v>0</v>
      </c>
      <c r="K133" s="2">
        <f>geracao_mwh!K133*1000</f>
        <v>1290395560</v>
      </c>
      <c r="L133" s="2">
        <f>geracao_mwh!L133*1000</f>
        <v>5634909.9999999981</v>
      </c>
      <c r="M133" s="2">
        <f>geracao_mwh!M133*1000</f>
        <v>275802900</v>
      </c>
      <c r="N133" s="2">
        <f>geracao_mwh!N133*1000</f>
        <v>0</v>
      </c>
      <c r="O133" s="2">
        <f>geracao_mwh!O133*1000</f>
        <v>202506879.99999985</v>
      </c>
    </row>
    <row r="134" spans="1:15" x14ac:dyDescent="0.3">
      <c r="A134" s="6">
        <v>133</v>
      </c>
      <c r="B134" s="6">
        <v>2011</v>
      </c>
      <c r="C134" s="6">
        <v>1</v>
      </c>
      <c r="D134" s="2">
        <f>geracao_mwh!D134*1000</f>
        <v>7983250.0000000019</v>
      </c>
      <c r="E134" s="2">
        <f>geracao_mwh!E134*1000</f>
        <v>385517440.00000012</v>
      </c>
      <c r="F134" s="2">
        <f>geracao_mwh!F134*1000</f>
        <v>70895299.999999598</v>
      </c>
      <c r="G134" s="2">
        <f>geracao_mwh!G134*1000</f>
        <v>0</v>
      </c>
      <c r="H134" s="2">
        <f>geracao_mwh!H134*1000</f>
        <v>873069480.00000107</v>
      </c>
      <c r="I134" s="2">
        <f>geracao_mwh!I134*1000</f>
        <v>38783246190.000557</v>
      </c>
      <c r="J134" s="2">
        <f>geracao_mwh!J134*1000</f>
        <v>0</v>
      </c>
      <c r="K134" s="2">
        <f>geracao_mwh!K134*1000</f>
        <v>1378456350.0000005</v>
      </c>
      <c r="L134" s="2">
        <f>geracao_mwh!L134*1000</f>
        <v>421280</v>
      </c>
      <c r="M134" s="2">
        <f>geracao_mwh!M134*1000</f>
        <v>182216110.00000003</v>
      </c>
      <c r="N134" s="2">
        <f>geracao_mwh!N134*1000</f>
        <v>0</v>
      </c>
      <c r="O134" s="2">
        <f>geracao_mwh!O134*1000</f>
        <v>255631550.00000077</v>
      </c>
    </row>
    <row r="135" spans="1:15" x14ac:dyDescent="0.3">
      <c r="A135" s="6">
        <v>134</v>
      </c>
      <c r="B135" s="6">
        <v>2011</v>
      </c>
      <c r="C135" s="6">
        <v>2</v>
      </c>
      <c r="D135" s="2">
        <f>geracao_mwh!D135*1000</f>
        <v>12265881.200000018</v>
      </c>
      <c r="E135" s="2">
        <f>geracao_mwh!E135*1000</f>
        <v>470221160.00000256</v>
      </c>
      <c r="F135" s="2">
        <f>geracao_mwh!F135*1000</f>
        <v>63545299.999999844</v>
      </c>
      <c r="G135" s="2">
        <f>geracao_mwh!G135*1000</f>
        <v>0</v>
      </c>
      <c r="H135" s="2">
        <f>geracao_mwh!H135*1000</f>
        <v>837778650.00000286</v>
      </c>
      <c r="I135" s="2">
        <f>geracao_mwh!I135*1000</f>
        <v>36668906519.999474</v>
      </c>
      <c r="J135" s="2">
        <f>geracao_mwh!J135*1000</f>
        <v>0</v>
      </c>
      <c r="K135" s="2">
        <f>geracao_mwh!K135*1000</f>
        <v>1195676839.9999981</v>
      </c>
      <c r="L135" s="2">
        <f>geracao_mwh!L135*1000</f>
        <v>29380</v>
      </c>
      <c r="M135" s="2">
        <f>geracao_mwh!M135*1000</f>
        <v>130026279.99999993</v>
      </c>
      <c r="N135" s="2">
        <f>geracao_mwh!N135*1000</f>
        <v>0</v>
      </c>
      <c r="O135" s="2">
        <f>geracao_mwh!O135*1000</f>
        <v>282481200.00000024</v>
      </c>
    </row>
    <row r="136" spans="1:15" x14ac:dyDescent="0.3">
      <c r="A136" s="6">
        <v>135</v>
      </c>
      <c r="B136" s="6">
        <v>2011</v>
      </c>
      <c r="C136" s="6">
        <v>3</v>
      </c>
      <c r="D136" s="2">
        <f>geracao_mwh!D136*1000</f>
        <v>10184640</v>
      </c>
      <c r="E136" s="2">
        <f>geracao_mwh!E136*1000</f>
        <v>270662689.99999911</v>
      </c>
      <c r="F136" s="2">
        <f>geracao_mwh!F136*1000</f>
        <v>75603979.999999881</v>
      </c>
      <c r="G136" s="2">
        <f>geracao_mwh!G136*1000</f>
        <v>0</v>
      </c>
      <c r="H136" s="2">
        <f>geracao_mwh!H136*1000</f>
        <v>789987159.99999166</v>
      </c>
      <c r="I136" s="2">
        <f>geracao_mwh!I136*1000</f>
        <v>39243077592.999611</v>
      </c>
      <c r="J136" s="2">
        <f>geracao_mwh!J136*1000</f>
        <v>0</v>
      </c>
      <c r="K136" s="2">
        <f>geracao_mwh!K136*1000</f>
        <v>1373145060.0000038</v>
      </c>
      <c r="L136" s="2">
        <f>geracao_mwh!L136*1000</f>
        <v>11759480.000000022</v>
      </c>
      <c r="M136" s="2">
        <f>geracao_mwh!M136*1000</f>
        <v>129552830.0000001</v>
      </c>
      <c r="N136" s="2">
        <f>geracao_mwh!N136*1000</f>
        <v>0</v>
      </c>
      <c r="O136" s="2">
        <f>geracao_mwh!O136*1000</f>
        <v>335362970.00000072</v>
      </c>
    </row>
    <row r="137" spans="1:15" x14ac:dyDescent="0.3">
      <c r="A137" s="6">
        <v>136</v>
      </c>
      <c r="B137" s="6">
        <v>2011</v>
      </c>
      <c r="C137" s="6">
        <v>4</v>
      </c>
      <c r="D137" s="2">
        <f>geracao_mwh!D137*1000</f>
        <v>2712779.9999999995</v>
      </c>
      <c r="E137" s="2">
        <f>geracao_mwh!E137*1000</f>
        <v>317215300.00000411</v>
      </c>
      <c r="F137" s="2">
        <f>geracao_mwh!F137*1000</f>
        <v>42688300.000000052</v>
      </c>
      <c r="G137" s="2">
        <f>geracao_mwh!G137*1000</f>
        <v>0</v>
      </c>
      <c r="H137" s="2">
        <f>geracao_mwh!H137*1000</f>
        <v>445935790.00000203</v>
      </c>
      <c r="I137" s="2">
        <f>geracao_mwh!I137*1000</f>
        <v>37769820229.999008</v>
      </c>
      <c r="J137" s="2">
        <f>geracao_mwh!J137*1000</f>
        <v>0</v>
      </c>
      <c r="K137" s="2">
        <f>geracao_mwh!K137*1000</f>
        <v>1208752960</v>
      </c>
      <c r="L137" s="2">
        <f>geracao_mwh!L137*1000</f>
        <v>4398700</v>
      </c>
      <c r="M137" s="2">
        <f>geracao_mwh!M137*1000</f>
        <v>169616319.99999994</v>
      </c>
      <c r="N137" s="2">
        <f>geracao_mwh!N137*1000</f>
        <v>0</v>
      </c>
      <c r="O137" s="2">
        <f>geracao_mwh!O137*1000</f>
        <v>391967070.00000137</v>
      </c>
    </row>
    <row r="138" spans="1:15" x14ac:dyDescent="0.3">
      <c r="A138" s="6">
        <v>137</v>
      </c>
      <c r="B138" s="6">
        <v>2011</v>
      </c>
      <c r="C138" s="6">
        <v>5</v>
      </c>
      <c r="D138" s="2">
        <f>geracao_mwh!D138*1000</f>
        <v>45248270.000000097</v>
      </c>
      <c r="E138" s="2">
        <f>geracao_mwh!E138*1000</f>
        <v>442569859.9999997</v>
      </c>
      <c r="F138" s="2">
        <f>geracao_mwh!F138*1000</f>
        <v>66097749.99999959</v>
      </c>
      <c r="G138" s="2">
        <f>geracao_mwh!G138*1000</f>
        <v>0</v>
      </c>
      <c r="H138" s="2">
        <f>geracao_mwh!H138*1000</f>
        <v>925638810.00000334</v>
      </c>
      <c r="I138" s="2">
        <f>geracao_mwh!I138*1000</f>
        <v>37202252080.001411</v>
      </c>
      <c r="J138" s="2">
        <f>geracao_mwh!J138*1000</f>
        <v>0</v>
      </c>
      <c r="K138" s="2">
        <f>geracao_mwh!K138*1000</f>
        <v>1227815170.0000043</v>
      </c>
      <c r="L138" s="2">
        <f>geracao_mwh!L138*1000</f>
        <v>10761490.000000007</v>
      </c>
      <c r="M138" s="2">
        <f>geracao_mwh!M138*1000</f>
        <v>270890559.99999988</v>
      </c>
      <c r="N138" s="2">
        <f>geracao_mwh!N138*1000</f>
        <v>0</v>
      </c>
      <c r="O138" s="2">
        <f>geracao_mwh!O138*1000</f>
        <v>333953600.00000012</v>
      </c>
    </row>
    <row r="139" spans="1:15" x14ac:dyDescent="0.3">
      <c r="A139" s="6">
        <v>138</v>
      </c>
      <c r="B139" s="6">
        <v>2011</v>
      </c>
      <c r="C139" s="6">
        <v>6</v>
      </c>
      <c r="D139" s="2">
        <f>geracao_mwh!D139*1000</f>
        <v>58563229.999999993</v>
      </c>
      <c r="E139" s="2">
        <f>geracao_mwh!E139*1000</f>
        <v>531934899.99999988</v>
      </c>
      <c r="F139" s="2">
        <f>geracao_mwh!F139*1000</f>
        <v>113012299.99999961</v>
      </c>
      <c r="G139" s="2">
        <f>geracao_mwh!G139*1000</f>
        <v>0</v>
      </c>
      <c r="H139" s="2">
        <f>geracao_mwh!H139*1000</f>
        <v>1320256810.0000052</v>
      </c>
      <c r="I139" s="2">
        <f>geracao_mwh!I139*1000</f>
        <v>35042281410.000252</v>
      </c>
      <c r="J139" s="2">
        <f>geracao_mwh!J139*1000</f>
        <v>0</v>
      </c>
      <c r="K139" s="2">
        <f>geracao_mwh!K139*1000</f>
        <v>1413013219.999999</v>
      </c>
      <c r="L139" s="2">
        <f>geracao_mwh!L139*1000</f>
        <v>6923340</v>
      </c>
      <c r="M139" s="2">
        <f>geracao_mwh!M139*1000</f>
        <v>281571560.00000006</v>
      </c>
      <c r="N139" s="2">
        <f>geracao_mwh!N139*1000</f>
        <v>0</v>
      </c>
      <c r="O139" s="2">
        <f>geracao_mwh!O139*1000</f>
        <v>322259660.0000006</v>
      </c>
    </row>
    <row r="140" spans="1:15" x14ac:dyDescent="0.3">
      <c r="A140" s="6">
        <v>139</v>
      </c>
      <c r="B140" s="6">
        <v>2011</v>
      </c>
      <c r="C140" s="6">
        <v>7</v>
      </c>
      <c r="D140" s="2">
        <f>geracao_mwh!D140*1000</f>
        <v>62218150.000000134</v>
      </c>
      <c r="E140" s="2">
        <f>geracao_mwh!E140*1000</f>
        <v>484227860.00000012</v>
      </c>
      <c r="F140" s="2">
        <f>geracao_mwh!F140*1000</f>
        <v>150133030.00000054</v>
      </c>
      <c r="G140" s="2">
        <f>geracao_mwh!G140*1000</f>
        <v>0</v>
      </c>
      <c r="H140" s="2">
        <f>geracao_mwh!H140*1000</f>
        <v>1355909870.0000269</v>
      </c>
      <c r="I140" s="2">
        <f>geracao_mwh!I140*1000</f>
        <v>36725450210.000122</v>
      </c>
      <c r="J140" s="2">
        <f>geracao_mwh!J140*1000</f>
        <v>0</v>
      </c>
      <c r="K140" s="2">
        <f>geracao_mwh!K140*1000</f>
        <v>1422970170.0000002</v>
      </c>
      <c r="L140" s="2">
        <f>geracao_mwh!L140*1000</f>
        <v>1019780.0000000001</v>
      </c>
      <c r="M140" s="2">
        <f>geracao_mwh!M140*1000</f>
        <v>294376910.00000024</v>
      </c>
      <c r="N140" s="2">
        <f>geracao_mwh!N140*1000</f>
        <v>0</v>
      </c>
      <c r="O140" s="2">
        <f>geracao_mwh!O140*1000</f>
        <v>259511229.99999979</v>
      </c>
    </row>
    <row r="141" spans="1:15" x14ac:dyDescent="0.3">
      <c r="A141" s="6">
        <v>140</v>
      </c>
      <c r="B141" s="6">
        <v>2011</v>
      </c>
      <c r="C141" s="6">
        <v>8</v>
      </c>
      <c r="D141" s="2">
        <f>geracao_mwh!D141*1000</f>
        <v>50328590.000000142</v>
      </c>
      <c r="E141" s="2">
        <f>geracao_mwh!E141*1000</f>
        <v>481425500.00000012</v>
      </c>
      <c r="F141" s="2">
        <f>geracao_mwh!F141*1000</f>
        <v>239803580.00000256</v>
      </c>
      <c r="G141" s="2">
        <f>geracao_mwh!G141*1000</f>
        <v>0</v>
      </c>
      <c r="H141" s="2">
        <f>geracao_mwh!H141*1000</f>
        <v>1193706400.0000002</v>
      </c>
      <c r="I141" s="2">
        <f>geracao_mwh!I141*1000</f>
        <v>38603077429.999596</v>
      </c>
      <c r="J141" s="2">
        <f>geracao_mwh!J141*1000</f>
        <v>0</v>
      </c>
      <c r="K141" s="2">
        <f>geracao_mwh!K141*1000</f>
        <v>1221706340.0000007</v>
      </c>
      <c r="L141" s="2">
        <f>geracao_mwh!L141*1000</f>
        <v>1070979.9999999998</v>
      </c>
      <c r="M141" s="2">
        <f>geracao_mwh!M141*1000</f>
        <v>323289299.99999964</v>
      </c>
      <c r="N141" s="2">
        <f>geracao_mwh!N141*1000</f>
        <v>0</v>
      </c>
      <c r="O141" s="2">
        <f>geracao_mwh!O141*1000</f>
        <v>335714110.00000048</v>
      </c>
    </row>
    <row r="142" spans="1:15" x14ac:dyDescent="0.3">
      <c r="A142" s="6">
        <v>141</v>
      </c>
      <c r="B142" s="6">
        <v>2011</v>
      </c>
      <c r="C142" s="6">
        <v>9</v>
      </c>
      <c r="D142" s="2">
        <f>geracao_mwh!D142*1000</f>
        <v>29511489.999999948</v>
      </c>
      <c r="E142" s="2">
        <f>geracao_mwh!E142*1000</f>
        <v>436840750.00000006</v>
      </c>
      <c r="F142" s="2">
        <f>geracao_mwh!F142*1000</f>
        <v>246533740.00000024</v>
      </c>
      <c r="G142" s="2">
        <f>geracao_mwh!G142*1000</f>
        <v>0</v>
      </c>
      <c r="H142" s="2">
        <f>geracao_mwh!H142*1000</f>
        <v>1064643470.0000069</v>
      </c>
      <c r="I142" s="2">
        <f>geracao_mwh!I142*1000</f>
        <v>37308228449.999542</v>
      </c>
      <c r="J142" s="2">
        <f>geracao_mwh!J142*1000</f>
        <v>0</v>
      </c>
      <c r="K142" s="2">
        <f>geracao_mwh!K142*1000</f>
        <v>1154465940.0000036</v>
      </c>
      <c r="L142" s="2">
        <f>geracao_mwh!L142*1000</f>
        <v>7776110.0000000028</v>
      </c>
      <c r="M142" s="2">
        <f>geracao_mwh!M142*1000</f>
        <v>335620789.99999994</v>
      </c>
      <c r="N142" s="2">
        <f>geracao_mwh!N142*1000</f>
        <v>0</v>
      </c>
      <c r="O142" s="2">
        <f>geracao_mwh!O142*1000</f>
        <v>289838199.99999905</v>
      </c>
    </row>
    <row r="143" spans="1:15" x14ac:dyDescent="0.3">
      <c r="A143" s="6">
        <v>142</v>
      </c>
      <c r="B143" s="6">
        <v>2011</v>
      </c>
      <c r="C143" s="6">
        <v>10</v>
      </c>
      <c r="D143" s="2">
        <f>geracao_mwh!D143*1000</f>
        <v>14516009.999999998</v>
      </c>
      <c r="E143" s="2">
        <f>geracao_mwh!E143*1000</f>
        <v>593290009.99999809</v>
      </c>
      <c r="F143" s="2">
        <f>geracao_mwh!F143*1000</f>
        <v>263157429.99999923</v>
      </c>
      <c r="G143" s="2">
        <f>geracao_mwh!G143*1000</f>
        <v>0</v>
      </c>
      <c r="H143" s="2">
        <f>geracao_mwh!H143*1000</f>
        <v>1413784730.0000036</v>
      </c>
      <c r="I143" s="2">
        <f>geracao_mwh!I143*1000</f>
        <v>37732448799.999313</v>
      </c>
      <c r="J143" s="2">
        <f>geracao_mwh!J143*1000</f>
        <v>0</v>
      </c>
      <c r="K143" s="2">
        <f>geracao_mwh!K143*1000</f>
        <v>1180202370.0000002</v>
      </c>
      <c r="L143" s="2">
        <f>geracao_mwh!L143*1000</f>
        <v>2334459.9999999991</v>
      </c>
      <c r="M143" s="2">
        <f>geracao_mwh!M143*1000</f>
        <v>340029960.00000012</v>
      </c>
      <c r="N143" s="2">
        <f>geracao_mwh!N143*1000</f>
        <v>0</v>
      </c>
      <c r="O143" s="2">
        <f>geracao_mwh!O143*1000</f>
        <v>234237000.00000018</v>
      </c>
    </row>
    <row r="144" spans="1:15" x14ac:dyDescent="0.3">
      <c r="A144" s="6">
        <v>143</v>
      </c>
      <c r="B144" s="6">
        <v>2011</v>
      </c>
      <c r="C144" s="6">
        <v>11</v>
      </c>
      <c r="D144" s="2">
        <f>geracao_mwh!D144*1000</f>
        <v>13688499.999999993</v>
      </c>
      <c r="E144" s="2">
        <f>geracao_mwh!E144*1000</f>
        <v>623666669.99999964</v>
      </c>
      <c r="F144" s="2">
        <f>geracao_mwh!F144*1000</f>
        <v>294414030.00000006</v>
      </c>
      <c r="G144" s="2">
        <f>geracao_mwh!G144*1000</f>
        <v>0</v>
      </c>
      <c r="H144" s="2">
        <f>geracao_mwh!H144*1000</f>
        <v>1405278349.9999952</v>
      </c>
      <c r="I144" s="2">
        <f>geracao_mwh!I144*1000</f>
        <v>36600478029.999519</v>
      </c>
      <c r="J144" s="2">
        <f>geracao_mwh!J144*1000</f>
        <v>0</v>
      </c>
      <c r="K144" s="2">
        <f>geracao_mwh!K144*1000</f>
        <v>1409779079.9999967</v>
      </c>
      <c r="L144" s="2">
        <f>geracao_mwh!L144*1000</f>
        <v>6728740.0000000047</v>
      </c>
      <c r="M144" s="2">
        <f>geracao_mwh!M144*1000</f>
        <v>298769259.99999946</v>
      </c>
      <c r="N144" s="2">
        <f>geracao_mwh!N144*1000</f>
        <v>0</v>
      </c>
      <c r="O144" s="2">
        <f>geracao_mwh!O144*1000</f>
        <v>272016549.99999994</v>
      </c>
    </row>
    <row r="145" spans="1:15" x14ac:dyDescent="0.3">
      <c r="A145" s="6">
        <v>144</v>
      </c>
      <c r="B145" s="6">
        <v>2011</v>
      </c>
      <c r="C145" s="6">
        <v>12</v>
      </c>
      <c r="D145" s="2">
        <f>geracao_mwh!D145*1000</f>
        <v>7488189.9999999981</v>
      </c>
      <c r="E145" s="2">
        <f>geracao_mwh!E145*1000</f>
        <v>617126679.99999785</v>
      </c>
      <c r="F145" s="2">
        <f>geracao_mwh!F145*1000</f>
        <v>278548339.99999946</v>
      </c>
      <c r="G145" s="2">
        <f>geracao_mwh!G145*1000</f>
        <v>0</v>
      </c>
      <c r="H145" s="2">
        <f>geracao_mwh!H145*1000</f>
        <v>1385958879.999999</v>
      </c>
      <c r="I145" s="2">
        <f>geracao_mwh!I145*1000</f>
        <v>38481884069.999832</v>
      </c>
      <c r="J145" s="2">
        <f>geracao_mwh!J145*1000</f>
        <v>0</v>
      </c>
      <c r="K145" s="2">
        <f>geracao_mwh!K145*1000</f>
        <v>1472011040.000006</v>
      </c>
      <c r="L145" s="2">
        <f>geracao_mwh!L145*1000</f>
        <v>17579499.999999989</v>
      </c>
      <c r="M145" s="2">
        <f>geracao_mwh!M145*1000</f>
        <v>288606830.0000006</v>
      </c>
      <c r="N145" s="2">
        <f>geracao_mwh!N145*1000</f>
        <v>0</v>
      </c>
      <c r="O145" s="2">
        <f>geracao_mwh!O145*1000</f>
        <v>250304149.99999964</v>
      </c>
    </row>
    <row r="146" spans="1:15" x14ac:dyDescent="0.3">
      <c r="A146" s="6">
        <v>145</v>
      </c>
      <c r="B146" s="6">
        <v>2012</v>
      </c>
      <c r="C146" s="6">
        <v>1</v>
      </c>
      <c r="D146" s="2">
        <f>geracao_mwh!D146*1000</f>
        <v>0</v>
      </c>
      <c r="E146" s="2">
        <f>geracao_mwh!E146*1000</f>
        <v>555307379.99999928</v>
      </c>
      <c r="F146" s="2">
        <f>geracao_mwh!F146*1000</f>
        <v>255802788.99999967</v>
      </c>
      <c r="G146" s="2">
        <f>geracao_mwh!G146*1000</f>
        <v>0</v>
      </c>
      <c r="H146" s="2">
        <f>geracao_mwh!H146*1000</f>
        <v>758924640.00001347</v>
      </c>
      <c r="I146" s="2">
        <f>geracao_mwh!I146*1000</f>
        <v>39617133939.999336</v>
      </c>
      <c r="J146" s="2">
        <f>geracao_mwh!J146*1000</f>
        <v>0</v>
      </c>
      <c r="K146" s="2">
        <f>geracao_mwh!K146*1000</f>
        <v>1409747880.0000024</v>
      </c>
      <c r="L146" s="2">
        <f>geracao_mwh!L146*1000</f>
        <v>16665939.999999987</v>
      </c>
      <c r="M146" s="2">
        <f>geracao_mwh!M146*1000</f>
        <v>179000030.00000039</v>
      </c>
      <c r="N146" s="2">
        <f>geracao_mwh!N146*1000</f>
        <v>0</v>
      </c>
      <c r="O146" s="2">
        <f>geracao_mwh!O146*1000</f>
        <v>340997199.99999946</v>
      </c>
    </row>
    <row r="147" spans="1:15" x14ac:dyDescent="0.3">
      <c r="A147" s="6">
        <v>146</v>
      </c>
      <c r="B147" s="6">
        <v>2012</v>
      </c>
      <c r="C147" s="6">
        <v>2</v>
      </c>
      <c r="D147" s="2">
        <f>geracao_mwh!D147*1000</f>
        <v>11339830.000000024</v>
      </c>
      <c r="E147" s="2">
        <f>geracao_mwh!E147*1000</f>
        <v>477775999.99999839</v>
      </c>
      <c r="F147" s="2">
        <f>geracao_mwh!F147*1000</f>
        <v>189529931.9999994</v>
      </c>
      <c r="G147" s="2">
        <f>geracao_mwh!G147*1000</f>
        <v>0</v>
      </c>
      <c r="H147" s="2">
        <f>geracao_mwh!H147*1000</f>
        <v>1129652620.0000083</v>
      </c>
      <c r="I147" s="2">
        <f>geracao_mwh!I147*1000</f>
        <v>39313480539.999748</v>
      </c>
      <c r="J147" s="2">
        <f>geracao_mwh!J147*1000</f>
        <v>0</v>
      </c>
      <c r="K147" s="2">
        <f>geracao_mwh!K147*1000</f>
        <v>1154534859.999999</v>
      </c>
      <c r="L147" s="2">
        <f>geracao_mwh!L147*1000</f>
        <v>21460409.999999996</v>
      </c>
      <c r="M147" s="2">
        <f>geracao_mwh!M147*1000</f>
        <v>130287690</v>
      </c>
      <c r="N147" s="2">
        <f>geracao_mwh!N147*1000</f>
        <v>0</v>
      </c>
      <c r="O147" s="2">
        <f>geracao_mwh!O147*1000</f>
        <v>344104169.99999923</v>
      </c>
    </row>
    <row r="148" spans="1:15" x14ac:dyDescent="0.3">
      <c r="A148" s="6">
        <v>147</v>
      </c>
      <c r="B148" s="6">
        <v>2012</v>
      </c>
      <c r="C148" s="6">
        <v>3</v>
      </c>
      <c r="D148" s="2">
        <f>geracao_mwh!D148*1000</f>
        <v>18084589.999999993</v>
      </c>
      <c r="E148" s="2">
        <f>geracao_mwh!E148*1000</f>
        <v>562219600.00000072</v>
      </c>
      <c r="F148" s="2">
        <f>geracao_mwh!F148*1000</f>
        <v>177013004.99999994</v>
      </c>
      <c r="G148" s="2">
        <f>geracao_mwh!G148*1000</f>
        <v>0</v>
      </c>
      <c r="H148" s="2">
        <f>geracao_mwh!H148*1000</f>
        <v>1711158260.0000007</v>
      </c>
      <c r="I148" s="2">
        <f>geracao_mwh!I148*1000</f>
        <v>42622441025.999481</v>
      </c>
      <c r="J148" s="2">
        <f>geracao_mwh!J148*1000</f>
        <v>0</v>
      </c>
      <c r="K148" s="2">
        <f>geracao_mwh!K148*1000</f>
        <v>513187530.00000012</v>
      </c>
      <c r="L148" s="2">
        <f>geracao_mwh!L148*1000</f>
        <v>9044790.0000000019</v>
      </c>
      <c r="M148" s="2">
        <f>geracao_mwh!M148*1000</f>
        <v>181844470.00000024</v>
      </c>
      <c r="N148" s="2">
        <f>geracao_mwh!N148*1000</f>
        <v>0</v>
      </c>
      <c r="O148" s="2">
        <f>geracao_mwh!O148*1000</f>
        <v>374011460.00000095</v>
      </c>
    </row>
    <row r="149" spans="1:15" x14ac:dyDescent="0.3">
      <c r="A149" s="6">
        <v>148</v>
      </c>
      <c r="B149" s="6">
        <v>2012</v>
      </c>
      <c r="C149" s="6">
        <v>4</v>
      </c>
      <c r="D149" s="2">
        <f>geracao_mwh!D149*1000</f>
        <v>48847380.00000003</v>
      </c>
      <c r="E149" s="2">
        <f>geracao_mwh!E149*1000</f>
        <v>508119589.99999982</v>
      </c>
      <c r="F149" s="2">
        <f>geracao_mwh!F149*1000</f>
        <v>186787406.00000054</v>
      </c>
      <c r="G149" s="2">
        <f>geracao_mwh!G149*1000</f>
        <v>0</v>
      </c>
      <c r="H149" s="2">
        <f>geracao_mwh!H149*1000</f>
        <v>2975811989.999989</v>
      </c>
      <c r="I149" s="2">
        <f>geracao_mwh!I149*1000</f>
        <v>36922406549.000015</v>
      </c>
      <c r="J149" s="2">
        <f>geracao_mwh!J149*1000</f>
        <v>0</v>
      </c>
      <c r="K149" s="2">
        <f>geracao_mwh!K149*1000</f>
        <v>1406765380.0000005</v>
      </c>
      <c r="L149" s="2">
        <f>geracao_mwh!L149*1000</f>
        <v>54595809.999999963</v>
      </c>
      <c r="M149" s="2">
        <f>geracao_mwh!M149*1000</f>
        <v>248142140.00000009</v>
      </c>
      <c r="N149" s="2">
        <f>geracao_mwh!N149*1000</f>
        <v>0</v>
      </c>
      <c r="O149" s="2">
        <f>geracao_mwh!O149*1000</f>
        <v>314100480.0000003</v>
      </c>
    </row>
    <row r="150" spans="1:15" x14ac:dyDescent="0.3">
      <c r="A150" s="6">
        <v>149</v>
      </c>
      <c r="B150" s="6">
        <v>2012</v>
      </c>
      <c r="C150" s="6">
        <v>5</v>
      </c>
      <c r="D150" s="2">
        <f>geracao_mwh!D150*1000</f>
        <v>114209950.00000013</v>
      </c>
      <c r="E150" s="2">
        <f>geracao_mwh!E150*1000</f>
        <v>532057800.00000107</v>
      </c>
      <c r="F150" s="2">
        <f>geracao_mwh!F150*1000</f>
        <v>214478610.99999994</v>
      </c>
      <c r="G150" s="2">
        <f>geracao_mwh!G150*1000</f>
        <v>0</v>
      </c>
      <c r="H150" s="2">
        <f>geracao_mwh!H150*1000</f>
        <v>2907475400.0000162</v>
      </c>
      <c r="I150" s="2">
        <f>geracao_mwh!I150*1000</f>
        <v>36383602416.999725</v>
      </c>
      <c r="J150" s="2">
        <f>geracao_mwh!J150*1000</f>
        <v>0</v>
      </c>
      <c r="K150" s="2">
        <f>geracao_mwh!K150*1000</f>
        <v>1476929029.9999967</v>
      </c>
      <c r="L150" s="2">
        <f>geracao_mwh!L150*1000</f>
        <v>8511070</v>
      </c>
      <c r="M150" s="2">
        <f>geracao_mwh!M150*1000</f>
        <v>312134460.00000024</v>
      </c>
      <c r="N150" s="2">
        <f>geracao_mwh!N150*1000</f>
        <v>0</v>
      </c>
      <c r="O150" s="2">
        <f>geracao_mwh!O150*1000</f>
        <v>255073529.99999943</v>
      </c>
    </row>
    <row r="151" spans="1:15" x14ac:dyDescent="0.3">
      <c r="A151" s="6">
        <v>150</v>
      </c>
      <c r="B151" s="6">
        <v>2012</v>
      </c>
      <c r="C151" s="6">
        <v>6</v>
      </c>
      <c r="D151" s="2">
        <f>geracao_mwh!D151*1000</f>
        <v>128750266.09999999</v>
      </c>
      <c r="E151" s="2">
        <f>geracao_mwh!E151*1000</f>
        <v>461479689.99999917</v>
      </c>
      <c r="F151" s="2">
        <f>geracao_mwh!F151*1000</f>
        <v>199149942.99999934</v>
      </c>
      <c r="G151" s="2">
        <f>geracao_mwh!G151*1000</f>
        <v>0</v>
      </c>
      <c r="H151" s="2">
        <f>geracao_mwh!H151*1000</f>
        <v>955398149.99999893</v>
      </c>
      <c r="I151" s="2">
        <f>geracao_mwh!I151*1000</f>
        <v>35444060260.99984</v>
      </c>
      <c r="J151" s="2">
        <f>geracao_mwh!J151*1000</f>
        <v>0</v>
      </c>
      <c r="K151" s="2">
        <f>geracao_mwh!K151*1000</f>
        <v>1425578819.9999821</v>
      </c>
      <c r="L151" s="2">
        <f>geracao_mwh!L151*1000</f>
        <v>14481770.000000009</v>
      </c>
      <c r="M151" s="2">
        <f>geracao_mwh!M151*1000</f>
        <v>302067970.00000006</v>
      </c>
      <c r="N151" s="2">
        <f>geracao_mwh!N151*1000</f>
        <v>0</v>
      </c>
      <c r="O151" s="2">
        <f>geracao_mwh!O151*1000</f>
        <v>145782359.99999976</v>
      </c>
    </row>
    <row r="152" spans="1:15" x14ac:dyDescent="0.3">
      <c r="A152" s="6">
        <v>151</v>
      </c>
      <c r="B152" s="6">
        <v>2012</v>
      </c>
      <c r="C152" s="6">
        <v>7</v>
      </c>
      <c r="D152" s="2">
        <f>geracao_mwh!D152*1000</f>
        <v>170960779.99999964</v>
      </c>
      <c r="E152" s="2">
        <f>geracao_mwh!E152*1000</f>
        <v>578430569.99999988</v>
      </c>
      <c r="F152" s="2">
        <f>geracao_mwh!F152*1000</f>
        <v>277711304.00000012</v>
      </c>
      <c r="G152" s="2">
        <f>geracao_mwh!G152*1000</f>
        <v>0</v>
      </c>
      <c r="H152" s="2">
        <f>geracao_mwh!H152*1000</f>
        <v>502755810.00000006</v>
      </c>
      <c r="I152" s="2">
        <f>geracao_mwh!I152*1000</f>
        <v>37008439292.999619</v>
      </c>
      <c r="J152" s="2">
        <f>geracao_mwh!J152*1000</f>
        <v>0</v>
      </c>
      <c r="K152" s="2">
        <f>geracao_mwh!K152*1000</f>
        <v>1477577019.9999933</v>
      </c>
      <c r="L152" s="2">
        <f>geracao_mwh!L152*1000</f>
        <v>18255050.000000026</v>
      </c>
      <c r="M152" s="2">
        <f>geracao_mwh!M152*1000</f>
        <v>245010409.99999952</v>
      </c>
      <c r="N152" s="2">
        <f>geracao_mwh!N152*1000</f>
        <v>0</v>
      </c>
      <c r="O152" s="2">
        <f>geracao_mwh!O152*1000</f>
        <v>144108350.00000024</v>
      </c>
    </row>
    <row r="153" spans="1:15" x14ac:dyDescent="0.3">
      <c r="A153" s="6">
        <v>152</v>
      </c>
      <c r="B153" s="6">
        <v>2012</v>
      </c>
      <c r="C153" s="6">
        <v>8</v>
      </c>
      <c r="D153" s="2">
        <f>geracao_mwh!D153*1000</f>
        <v>219902700.39999941</v>
      </c>
      <c r="E153" s="2">
        <f>geracao_mwh!E153*1000</f>
        <v>800558939.99999774</v>
      </c>
      <c r="F153" s="2">
        <f>geracao_mwh!F153*1000</f>
        <v>341665911.00000155</v>
      </c>
      <c r="G153" s="2">
        <f>geracao_mwh!G153*1000</f>
        <v>0</v>
      </c>
      <c r="H153" s="2">
        <f>geracao_mwh!H153*1000</f>
        <v>1546748684.0000007</v>
      </c>
      <c r="I153" s="2">
        <f>geracao_mwh!I153*1000</f>
        <v>37565966629.20034</v>
      </c>
      <c r="J153" s="2">
        <f>geracao_mwh!J153*1000</f>
        <v>0</v>
      </c>
      <c r="K153" s="2">
        <f>geracao_mwh!K153*1000</f>
        <v>1471095039.9999948</v>
      </c>
      <c r="L153" s="2">
        <f>geracao_mwh!L153*1000</f>
        <v>7077943.0000000028</v>
      </c>
      <c r="M153" s="2">
        <f>geracao_mwh!M153*1000</f>
        <v>272484550.00000024</v>
      </c>
      <c r="N153" s="2">
        <f>geracao_mwh!N153*1000</f>
        <v>0</v>
      </c>
      <c r="O153" s="2">
        <f>geracao_mwh!O153*1000</f>
        <v>328109590.00000036</v>
      </c>
    </row>
    <row r="154" spans="1:15" x14ac:dyDescent="0.3">
      <c r="A154" s="6">
        <v>153</v>
      </c>
      <c r="B154" s="6">
        <v>2012</v>
      </c>
      <c r="C154" s="6">
        <v>9</v>
      </c>
      <c r="D154" s="2">
        <f>geracao_mwh!D154*1000</f>
        <v>232951298.0000006</v>
      </c>
      <c r="E154" s="2">
        <f>geracao_mwh!E154*1000</f>
        <v>751884639.99999893</v>
      </c>
      <c r="F154" s="2">
        <f>geracao_mwh!F154*1000</f>
        <v>354367363.99999928</v>
      </c>
      <c r="G154" s="2">
        <f>geracao_mwh!G154*1000</f>
        <v>0</v>
      </c>
      <c r="H154" s="2">
        <f>geracao_mwh!H154*1000</f>
        <v>3922837749.0000062</v>
      </c>
      <c r="I154" s="2">
        <f>geracao_mwh!I154*1000</f>
        <v>34476720702.999817</v>
      </c>
      <c r="J154" s="2">
        <f>geracao_mwh!J154*1000</f>
        <v>0</v>
      </c>
      <c r="K154" s="2">
        <f>geracao_mwh!K154*1000</f>
        <v>1403907830.0000017</v>
      </c>
      <c r="L154" s="2">
        <f>geracao_mwh!L154*1000</f>
        <v>747869.00000000023</v>
      </c>
      <c r="M154" s="2">
        <f>geracao_mwh!M154*1000</f>
        <v>276366908.9999997</v>
      </c>
      <c r="N154" s="2">
        <f>geracao_mwh!N154*1000</f>
        <v>0</v>
      </c>
      <c r="O154" s="2">
        <f>geracao_mwh!O154*1000</f>
        <v>296432379.99999994</v>
      </c>
    </row>
    <row r="155" spans="1:15" x14ac:dyDescent="0.3">
      <c r="A155" s="6">
        <v>154</v>
      </c>
      <c r="B155" s="6">
        <v>2012</v>
      </c>
      <c r="C155" s="6">
        <v>10</v>
      </c>
      <c r="D155" s="2">
        <f>geracao_mwh!D155*1000</f>
        <v>258852331.09999961</v>
      </c>
      <c r="E155" s="2">
        <f>geracao_mwh!E155*1000</f>
        <v>810363594.00000048</v>
      </c>
      <c r="F155" s="2">
        <f>geracao_mwh!F155*1000</f>
        <v>343743908.00000083</v>
      </c>
      <c r="G155" s="2">
        <f>geracao_mwh!G155*1000</f>
        <v>0</v>
      </c>
      <c r="H155" s="2">
        <f>geracao_mwh!H155*1000</f>
        <v>4758307062.0000105</v>
      </c>
      <c r="I155" s="2">
        <f>geracao_mwh!I155*1000</f>
        <v>35276231334.999619</v>
      </c>
      <c r="J155" s="2">
        <f>geracao_mwh!J155*1000</f>
        <v>0</v>
      </c>
      <c r="K155" s="2">
        <f>geracao_mwh!K155*1000</f>
        <v>1477605619.9999986</v>
      </c>
      <c r="L155" s="2">
        <f>geracao_mwh!L155*1000</f>
        <v>449731842.99999917</v>
      </c>
      <c r="M155" s="2">
        <f>geracao_mwh!M155*1000</f>
        <v>496148546.99999774</v>
      </c>
      <c r="N155" s="2">
        <f>geracao_mwh!N155*1000</f>
        <v>0</v>
      </c>
      <c r="O155" s="2">
        <f>geracao_mwh!O155*1000</f>
        <v>333578039.99999982</v>
      </c>
    </row>
    <row r="156" spans="1:15" x14ac:dyDescent="0.3">
      <c r="A156" s="6">
        <v>155</v>
      </c>
      <c r="B156" s="6">
        <v>2012</v>
      </c>
      <c r="C156" s="6">
        <v>11</v>
      </c>
      <c r="D156" s="2">
        <f>geracao_mwh!D156*1000</f>
        <v>219205250.99999997</v>
      </c>
      <c r="E156" s="2">
        <f>geracao_mwh!E156*1000</f>
        <v>743495985.99999964</v>
      </c>
      <c r="F156" s="2">
        <f>geracao_mwh!F156*1000</f>
        <v>298164210.00000215</v>
      </c>
      <c r="G156" s="2">
        <f>geracao_mwh!G156*1000</f>
        <v>0</v>
      </c>
      <c r="H156" s="2">
        <f>geracao_mwh!H156*1000</f>
        <v>4979906609.999999</v>
      </c>
      <c r="I156" s="2">
        <f>geracao_mwh!I156*1000</f>
        <v>31796588072.999779</v>
      </c>
      <c r="J156" s="2">
        <f>geracao_mwh!J156*1000</f>
        <v>0</v>
      </c>
      <c r="K156" s="2">
        <f>geracao_mwh!K156*1000</f>
        <v>1431741760.0000021</v>
      </c>
      <c r="L156" s="2">
        <f>geracao_mwh!L156*1000</f>
        <v>1110285412.2000024</v>
      </c>
      <c r="M156" s="2">
        <f>geracao_mwh!M156*1000</f>
        <v>914215091.00000858</v>
      </c>
      <c r="N156" s="2">
        <f>geracao_mwh!N156*1000</f>
        <v>0</v>
      </c>
      <c r="O156" s="2">
        <f>geracao_mwh!O156*1000</f>
        <v>275474120.00000137</v>
      </c>
    </row>
    <row r="157" spans="1:15" x14ac:dyDescent="0.3">
      <c r="A157" s="6">
        <v>156</v>
      </c>
      <c r="B157" s="6">
        <v>2012</v>
      </c>
      <c r="C157" s="6">
        <v>12</v>
      </c>
      <c r="D157" s="2">
        <f>geracao_mwh!D157*1000</f>
        <v>149722814.99999973</v>
      </c>
      <c r="E157" s="2">
        <f>geracao_mwh!E157*1000</f>
        <v>675964306.99999869</v>
      </c>
      <c r="F157" s="2">
        <f>geracao_mwh!F157*1000</f>
        <v>335399978.99999881</v>
      </c>
      <c r="G157" s="2">
        <f>geracao_mwh!G157*1000</f>
        <v>0</v>
      </c>
      <c r="H157" s="2">
        <f>geracao_mwh!H157*1000</f>
        <v>4622524314.0000105</v>
      </c>
      <c r="I157" s="2">
        <f>geracao_mwh!I157*1000</f>
        <v>34868136929.999878</v>
      </c>
      <c r="J157" s="2">
        <f>geracao_mwh!J157*1000</f>
        <v>0</v>
      </c>
      <c r="K157" s="2">
        <f>geracao_mwh!K157*1000</f>
        <v>1390811769.9999983</v>
      </c>
      <c r="L157" s="2">
        <f>geracao_mwh!L157*1000</f>
        <v>1286689600.9999948</v>
      </c>
      <c r="M157" s="2">
        <f>geracao_mwh!M157*1000</f>
        <v>842125234.99999499</v>
      </c>
      <c r="N157" s="2">
        <f>geracao_mwh!N157*1000</f>
        <v>0</v>
      </c>
      <c r="O157" s="2">
        <f>geracao_mwh!O157*1000</f>
        <v>310879199.99999958</v>
      </c>
    </row>
    <row r="158" spans="1:15" x14ac:dyDescent="0.3">
      <c r="A158" s="6">
        <v>157</v>
      </c>
      <c r="B158" s="6">
        <v>2013</v>
      </c>
      <c r="C158" s="6">
        <v>1</v>
      </c>
      <c r="D158" s="2">
        <f>geracao_mwh!D158*1000</f>
        <v>69339633</v>
      </c>
      <c r="E158" s="2">
        <f>geracao_mwh!E158*1000</f>
        <v>1063499906.9999976</v>
      </c>
      <c r="F158" s="2">
        <f>geracao_mwh!F158*1000</f>
        <v>296020565.99999875</v>
      </c>
      <c r="G158" s="2">
        <f>geracao_mwh!G158*1000</f>
        <v>0</v>
      </c>
      <c r="H158" s="2">
        <f>geracao_mwh!H158*1000</f>
        <v>4127536619.0000014</v>
      </c>
      <c r="I158" s="2">
        <f>geracao_mwh!I158*1000</f>
        <v>34423157902.00013</v>
      </c>
      <c r="J158" s="2">
        <f>geracao_mwh!J158*1000</f>
        <v>0</v>
      </c>
      <c r="K158" s="2">
        <f>geracao_mwh!K158*1000</f>
        <v>1042854690.0000005</v>
      </c>
      <c r="L158" s="2">
        <f>geracao_mwh!L158*1000</f>
        <v>1254156148.0000007</v>
      </c>
      <c r="M158" s="2">
        <f>geracao_mwh!M158*1000</f>
        <v>715752706.00000405</v>
      </c>
      <c r="N158" s="2">
        <f>geracao_mwh!N158*1000</f>
        <v>0</v>
      </c>
      <c r="O158" s="2">
        <f>geracao_mwh!O158*1000</f>
        <v>310443499.99999988</v>
      </c>
    </row>
    <row r="159" spans="1:15" x14ac:dyDescent="0.3">
      <c r="A159" s="6">
        <v>158</v>
      </c>
      <c r="B159" s="6">
        <v>2013</v>
      </c>
      <c r="C159" s="6">
        <v>2</v>
      </c>
      <c r="D159" s="2">
        <f>geracao_mwh!D159*1000</f>
        <v>53832869.999999978</v>
      </c>
      <c r="E159" s="2">
        <f>geracao_mwh!E159*1000</f>
        <v>970310282.0000062</v>
      </c>
      <c r="F159" s="2">
        <f>geracao_mwh!F159*1000</f>
        <v>298421330.99999911</v>
      </c>
      <c r="G159" s="2">
        <f>geracao_mwh!G159*1000</f>
        <v>0</v>
      </c>
      <c r="H159" s="2">
        <f>geracao_mwh!H159*1000</f>
        <v>4001951324.0000095</v>
      </c>
      <c r="I159" s="2">
        <f>geracao_mwh!I159*1000</f>
        <v>32990202698.999977</v>
      </c>
      <c r="J159" s="2">
        <f>geracao_mwh!J159*1000</f>
        <v>0</v>
      </c>
      <c r="K159" s="2">
        <f>geracao_mwh!K159*1000</f>
        <v>895388110.0000006</v>
      </c>
      <c r="L159" s="2">
        <f>geracao_mwh!L159*1000</f>
        <v>1001401681.9999981</v>
      </c>
      <c r="M159" s="2">
        <f>geracao_mwh!M159*1000</f>
        <v>518398815.00000072</v>
      </c>
      <c r="N159" s="2">
        <f>geracao_mwh!N159*1000</f>
        <v>0</v>
      </c>
      <c r="O159" s="2">
        <f>geracao_mwh!O159*1000</f>
        <v>280035690.00000054</v>
      </c>
    </row>
    <row r="160" spans="1:15" x14ac:dyDescent="0.3">
      <c r="A160" s="6">
        <v>159</v>
      </c>
      <c r="B160" s="6">
        <v>2013</v>
      </c>
      <c r="C160" s="6">
        <v>3</v>
      </c>
      <c r="D160" s="2">
        <f>geracao_mwh!D160*1000</f>
        <v>80456239.999999851</v>
      </c>
      <c r="E160" s="2">
        <f>geracao_mwh!E160*1000</f>
        <v>988127118.99999607</v>
      </c>
      <c r="F160" s="2">
        <f>geracao_mwh!F160*1000</f>
        <v>302282818.99999893</v>
      </c>
      <c r="G160" s="2">
        <f>geracao_mwh!G160*1000</f>
        <v>0</v>
      </c>
      <c r="H160" s="2">
        <f>geracao_mwh!H160*1000</f>
        <v>3867134871.0000186</v>
      </c>
      <c r="I160" s="2">
        <f>geracao_mwh!I160*1000</f>
        <v>36433268210.000107</v>
      </c>
      <c r="J160" s="2">
        <f>geracao_mwh!J160*1000</f>
        <v>0</v>
      </c>
      <c r="K160" s="2">
        <f>geracao_mwh!K160*1000</f>
        <v>1287622579.9999998</v>
      </c>
      <c r="L160" s="2">
        <f>geracao_mwh!L160*1000</f>
        <v>905647279.99998677</v>
      </c>
      <c r="M160" s="2">
        <f>geracao_mwh!M160*1000</f>
        <v>519804430.00000101</v>
      </c>
      <c r="N160" s="2">
        <f>geracao_mwh!N160*1000</f>
        <v>0</v>
      </c>
      <c r="O160" s="2">
        <f>geracao_mwh!O160*1000</f>
        <v>338724818.99999988</v>
      </c>
    </row>
    <row r="161" spans="1:15" x14ac:dyDescent="0.3">
      <c r="A161" s="6">
        <v>160</v>
      </c>
      <c r="B161" s="6">
        <v>2013</v>
      </c>
      <c r="C161" s="6">
        <v>4</v>
      </c>
      <c r="D161" s="2">
        <f>geracao_mwh!D161*1000</f>
        <v>179386830.00000015</v>
      </c>
      <c r="E161" s="2">
        <f>geracao_mwh!E161*1000</f>
        <v>948286915.00000143</v>
      </c>
      <c r="F161" s="2">
        <f>geracao_mwh!F161*1000</f>
        <v>230064947</v>
      </c>
      <c r="G161" s="2">
        <f>geracao_mwh!G161*1000</f>
        <v>0</v>
      </c>
      <c r="H161" s="2">
        <f>geracao_mwh!H161*1000</f>
        <v>3471986503.0000057</v>
      </c>
      <c r="I161" s="2">
        <f>geracao_mwh!I161*1000</f>
        <v>34544468792.999733</v>
      </c>
      <c r="J161" s="2">
        <f>geracao_mwh!J161*1000</f>
        <v>0</v>
      </c>
      <c r="K161" s="2">
        <f>geracao_mwh!K161*1000</f>
        <v>1175712120.0000067</v>
      </c>
      <c r="L161" s="2">
        <f>geracao_mwh!L161*1000</f>
        <v>808465716.99999952</v>
      </c>
      <c r="M161" s="2">
        <f>geracao_mwh!M161*1000</f>
        <v>478557166.00000077</v>
      </c>
      <c r="N161" s="2">
        <f>geracao_mwh!N161*1000</f>
        <v>0</v>
      </c>
      <c r="O161" s="2">
        <f>geracao_mwh!O161*1000</f>
        <v>317746099.9999997</v>
      </c>
    </row>
    <row r="162" spans="1:15" x14ac:dyDescent="0.3">
      <c r="A162" s="6">
        <v>161</v>
      </c>
      <c r="B162" s="6">
        <v>2013</v>
      </c>
      <c r="C162" s="6">
        <v>5</v>
      </c>
      <c r="D162" s="2">
        <f>geracao_mwh!D162*1000</f>
        <v>322617195.00000012</v>
      </c>
      <c r="E162" s="2">
        <f>geracao_mwh!E162*1000</f>
        <v>1110958746.0000002</v>
      </c>
      <c r="F162" s="2">
        <f>geracao_mwh!F162*1000</f>
        <v>242658105.00000027</v>
      </c>
      <c r="G162" s="2">
        <f>geracao_mwh!G162*1000</f>
        <v>0</v>
      </c>
      <c r="H162" s="2">
        <f>geracao_mwh!H162*1000</f>
        <v>4216109042.0000162</v>
      </c>
      <c r="I162" s="2">
        <f>geracao_mwh!I162*1000</f>
        <v>33386801785.999947</v>
      </c>
      <c r="J162" s="2">
        <f>geracao_mwh!J162*1000</f>
        <v>0</v>
      </c>
      <c r="K162" s="2">
        <f>geracao_mwh!K162*1000</f>
        <v>543648119.99999988</v>
      </c>
      <c r="L162" s="2">
        <f>geracao_mwh!L162*1000</f>
        <v>1072867096.9999987</v>
      </c>
      <c r="M162" s="2">
        <f>geracao_mwh!M162*1000</f>
        <v>571122964.1000011</v>
      </c>
      <c r="N162" s="2">
        <f>geracao_mwh!N162*1000</f>
        <v>0</v>
      </c>
      <c r="O162" s="2">
        <f>geracao_mwh!O162*1000</f>
        <v>319757097.00000042</v>
      </c>
    </row>
    <row r="163" spans="1:15" x14ac:dyDescent="0.3">
      <c r="A163" s="6">
        <v>162</v>
      </c>
      <c r="B163" s="6">
        <v>2013</v>
      </c>
      <c r="C163" s="6">
        <v>6</v>
      </c>
      <c r="D163" s="2">
        <f>geracao_mwh!D163*1000</f>
        <v>323545899.99999988</v>
      </c>
      <c r="E163" s="2">
        <f>geracao_mwh!E163*1000</f>
        <v>1251065964.999999</v>
      </c>
      <c r="F163" s="2">
        <f>geracao_mwh!F163*1000</f>
        <v>249770292.99999958</v>
      </c>
      <c r="G163" s="2">
        <f>geracao_mwh!G163*1000</f>
        <v>0</v>
      </c>
      <c r="H163" s="2">
        <f>geracao_mwh!H163*1000</f>
        <v>3716084423.0000162</v>
      </c>
      <c r="I163" s="2">
        <f>geracao_mwh!I163*1000</f>
        <v>31645194203.999771</v>
      </c>
      <c r="J163" s="2">
        <f>geracao_mwh!J163*1000</f>
        <v>0</v>
      </c>
      <c r="K163" s="2">
        <f>geracao_mwh!K163*1000</f>
        <v>1353891489.9999995</v>
      </c>
      <c r="L163" s="2">
        <f>geracao_mwh!L163*1000</f>
        <v>983904888.00000346</v>
      </c>
      <c r="M163" s="2">
        <f>geracao_mwh!M163*1000</f>
        <v>381807898.00000018</v>
      </c>
      <c r="N163" s="2">
        <f>geracao_mwh!N163*1000</f>
        <v>0</v>
      </c>
      <c r="O163" s="2">
        <f>geracao_mwh!O163*1000</f>
        <v>291749280</v>
      </c>
    </row>
    <row r="164" spans="1:15" x14ac:dyDescent="0.3">
      <c r="A164" s="6">
        <v>163</v>
      </c>
      <c r="B164" s="6">
        <v>2013</v>
      </c>
      <c r="C164" s="6">
        <v>7</v>
      </c>
      <c r="D164" s="2">
        <f>geracao_mwh!D164*1000</f>
        <v>373966419.99999964</v>
      </c>
      <c r="E164" s="2">
        <f>geracao_mwh!E164*1000</f>
        <v>1307807919.0000012</v>
      </c>
      <c r="F164" s="2">
        <f>geracao_mwh!F164*1000</f>
        <v>297106814.00000113</v>
      </c>
      <c r="G164" s="2">
        <f>geracao_mwh!G164*1000</f>
        <v>0</v>
      </c>
      <c r="H164" s="2">
        <f>geracao_mwh!H164*1000</f>
        <v>3652453958.9999962</v>
      </c>
      <c r="I164" s="2">
        <f>geracao_mwh!I164*1000</f>
        <v>34460228320.999039</v>
      </c>
      <c r="J164" s="2">
        <f>geracao_mwh!J164*1000</f>
        <v>0</v>
      </c>
      <c r="K164" s="2">
        <f>geracao_mwh!K164*1000</f>
        <v>1310794939.9999986</v>
      </c>
      <c r="L164" s="2">
        <f>geracao_mwh!L164*1000</f>
        <v>170250698.99999982</v>
      </c>
      <c r="M164" s="2">
        <f>geracao_mwh!M164*1000</f>
        <v>241994498.00000003</v>
      </c>
      <c r="N164" s="2">
        <f>geracao_mwh!N164*1000</f>
        <v>0</v>
      </c>
      <c r="O164" s="2">
        <f>geracao_mwh!O164*1000</f>
        <v>353736000.00000018</v>
      </c>
    </row>
    <row r="165" spans="1:15" x14ac:dyDescent="0.3">
      <c r="A165" s="6">
        <v>164</v>
      </c>
      <c r="B165" s="6">
        <v>2013</v>
      </c>
      <c r="C165" s="6">
        <v>8</v>
      </c>
      <c r="D165" s="2">
        <f>geracao_mwh!D165*1000</f>
        <v>482126976.60000068</v>
      </c>
      <c r="E165" s="2">
        <f>geracao_mwh!E165*1000</f>
        <v>1315459137.9999998</v>
      </c>
      <c r="F165" s="2">
        <f>geracao_mwh!F165*1000</f>
        <v>409897560.00000149</v>
      </c>
      <c r="G165" s="2">
        <f>geracao_mwh!G165*1000</f>
        <v>0</v>
      </c>
      <c r="H165" s="2">
        <f>geracao_mwh!H165*1000</f>
        <v>4070194161.0000024</v>
      </c>
      <c r="I165" s="2">
        <f>geracao_mwh!I165*1000</f>
        <v>35053972920.19986</v>
      </c>
      <c r="J165" s="2">
        <f>geracao_mwh!J165*1000</f>
        <v>0</v>
      </c>
      <c r="K165" s="2">
        <f>geracao_mwh!K165*1000</f>
        <v>1346374730.0000026</v>
      </c>
      <c r="L165" s="2">
        <f>geracao_mwh!L165*1000</f>
        <v>23345510</v>
      </c>
      <c r="M165" s="2">
        <f>geracao_mwh!M165*1000</f>
        <v>238665550.00000018</v>
      </c>
      <c r="N165" s="2">
        <f>geracao_mwh!N165*1000</f>
        <v>0</v>
      </c>
      <c r="O165" s="2">
        <f>geracao_mwh!O165*1000</f>
        <v>393495680</v>
      </c>
    </row>
    <row r="166" spans="1:15" x14ac:dyDescent="0.3">
      <c r="A166" s="6">
        <v>165</v>
      </c>
      <c r="B166" s="6">
        <v>2013</v>
      </c>
      <c r="C166" s="6">
        <v>9</v>
      </c>
      <c r="D166" s="2">
        <f>geracao_mwh!D166*1000</f>
        <v>482485051.29999995</v>
      </c>
      <c r="E166" s="2">
        <f>geracao_mwh!E166*1000</f>
        <v>1241421320.9999976</v>
      </c>
      <c r="F166" s="2">
        <f>geracao_mwh!F166*1000</f>
        <v>444695786.00000185</v>
      </c>
      <c r="G166" s="2">
        <f>geracao_mwh!G166*1000</f>
        <v>0</v>
      </c>
      <c r="H166" s="2">
        <f>geracao_mwh!H166*1000</f>
        <v>3647530594.9999962</v>
      </c>
      <c r="I166" s="2">
        <f>geracao_mwh!I166*1000</f>
        <v>34367197554.000313</v>
      </c>
      <c r="J166" s="2">
        <f>geracao_mwh!J166*1000</f>
        <v>0</v>
      </c>
      <c r="K166" s="2">
        <f>geracao_mwh!K166*1000</f>
        <v>1356827750.000001</v>
      </c>
      <c r="L166" s="2">
        <f>geracao_mwh!L166*1000</f>
        <v>432710929</v>
      </c>
      <c r="M166" s="2">
        <f>geracao_mwh!M166*1000</f>
        <v>230815663.00000018</v>
      </c>
      <c r="N166" s="2">
        <f>geracao_mwh!N166*1000</f>
        <v>0</v>
      </c>
      <c r="O166" s="2">
        <f>geracao_mwh!O166*1000</f>
        <v>376803239.99999869</v>
      </c>
    </row>
    <row r="167" spans="1:15" x14ac:dyDescent="0.3">
      <c r="A167" s="6">
        <v>166</v>
      </c>
      <c r="B167" s="6">
        <v>2013</v>
      </c>
      <c r="C167" s="6">
        <v>10</v>
      </c>
      <c r="D167" s="2">
        <f>geracao_mwh!D167*1000</f>
        <v>504655507.69999957</v>
      </c>
      <c r="E167" s="2">
        <f>geracao_mwh!E167*1000</f>
        <v>1270790360.0000017</v>
      </c>
      <c r="F167" s="2">
        <f>geracao_mwh!F167*1000</f>
        <v>492303238.99999726</v>
      </c>
      <c r="G167" s="2">
        <f>geracao_mwh!G167*1000</f>
        <v>0</v>
      </c>
      <c r="H167" s="2">
        <f>geracao_mwh!H167*1000</f>
        <v>3523933053.5000257</v>
      </c>
      <c r="I167" s="2">
        <f>geracao_mwh!I167*1000</f>
        <v>36178608878.000572</v>
      </c>
      <c r="J167" s="2">
        <f>geracao_mwh!J167*1000</f>
        <v>0</v>
      </c>
      <c r="K167" s="2">
        <f>geracao_mwh!K167*1000</f>
        <v>1463920709.9999981</v>
      </c>
      <c r="L167" s="2">
        <f>geracao_mwh!L167*1000</f>
        <v>669384376.00000083</v>
      </c>
      <c r="M167" s="2">
        <f>geracao_mwh!M167*1000</f>
        <v>297553578.00000018</v>
      </c>
      <c r="N167" s="2">
        <f>geracao_mwh!N167*1000</f>
        <v>0</v>
      </c>
      <c r="O167" s="2">
        <f>geracao_mwh!O167*1000</f>
        <v>390763809.99999726</v>
      </c>
    </row>
    <row r="168" spans="1:15" x14ac:dyDescent="0.3">
      <c r="A168" s="6">
        <v>167</v>
      </c>
      <c r="B168" s="6">
        <v>2013</v>
      </c>
      <c r="C168" s="6">
        <v>11</v>
      </c>
      <c r="D168" s="2">
        <f>geracao_mwh!D168*1000</f>
        <v>447182922.9999997</v>
      </c>
      <c r="E168" s="2">
        <f>geracao_mwh!E168*1000</f>
        <v>1410484282.000005</v>
      </c>
      <c r="F168" s="2">
        <f>geracao_mwh!F168*1000</f>
        <v>497975086.00000262</v>
      </c>
      <c r="G168" s="2">
        <f>geracao_mwh!G168*1000</f>
        <v>0</v>
      </c>
      <c r="H168" s="2">
        <f>geracao_mwh!H168*1000</f>
        <v>3709604765.0000119</v>
      </c>
      <c r="I168" s="2">
        <f>geracao_mwh!I168*1000</f>
        <v>34623320781.998116</v>
      </c>
      <c r="J168" s="2">
        <f>geracao_mwh!J168*1000</f>
        <v>0</v>
      </c>
      <c r="K168" s="2">
        <f>geracao_mwh!K168*1000</f>
        <v>1431128159.9999988</v>
      </c>
      <c r="L168" s="2">
        <f>geracao_mwh!L168*1000</f>
        <v>809363315.99999797</v>
      </c>
      <c r="M168" s="2">
        <f>geracao_mwh!M168*1000</f>
        <v>291335858.9999994</v>
      </c>
      <c r="N168" s="2">
        <f>geracao_mwh!N168*1000</f>
        <v>0</v>
      </c>
      <c r="O168" s="2">
        <f>geracao_mwh!O168*1000</f>
        <v>354067629.99999726</v>
      </c>
    </row>
    <row r="169" spans="1:15" x14ac:dyDescent="0.3">
      <c r="A169" s="6">
        <v>168</v>
      </c>
      <c r="B169" s="6">
        <v>2013</v>
      </c>
      <c r="C169" s="6">
        <v>12</v>
      </c>
      <c r="D169" s="2">
        <f>geracao_mwh!D169*1000</f>
        <v>323180978.00000018</v>
      </c>
      <c r="E169" s="2">
        <f>geracao_mwh!E169*1000</f>
        <v>1220125138.9999988</v>
      </c>
      <c r="F169" s="2">
        <f>geracao_mwh!F169*1000</f>
        <v>406029880.9999997</v>
      </c>
      <c r="G169" s="2">
        <f>geracao_mwh!G169*1000</f>
        <v>0</v>
      </c>
      <c r="H169" s="2">
        <f>geracao_mwh!H169*1000</f>
        <v>3616185874.3999939</v>
      </c>
      <c r="I169" s="2">
        <f>geracao_mwh!I169*1000</f>
        <v>35635042436.000015</v>
      </c>
      <c r="J169" s="2">
        <f>geracao_mwh!J169*1000</f>
        <v>0</v>
      </c>
      <c r="K169" s="2">
        <f>geracao_mwh!K169*1000</f>
        <v>1369741879.9999995</v>
      </c>
      <c r="L169" s="2">
        <f>geracao_mwh!L169*1000</f>
        <v>561275548.00000083</v>
      </c>
      <c r="M169" s="2">
        <f>geracao_mwh!M169*1000</f>
        <v>322643874.99999869</v>
      </c>
      <c r="N169" s="2">
        <f>geracao_mwh!N169*1000</f>
        <v>0</v>
      </c>
      <c r="O169" s="2">
        <f>geracao_mwh!O169*1000</f>
        <v>378666609.99999672</v>
      </c>
    </row>
    <row r="170" spans="1:15" x14ac:dyDescent="0.3">
      <c r="A170" s="6">
        <v>169</v>
      </c>
      <c r="B170" s="6">
        <v>2014</v>
      </c>
      <c r="C170" s="6">
        <v>1</v>
      </c>
      <c r="D170" s="2">
        <f>geracao_mwh!D170*1000</f>
        <v>145452866.20000002</v>
      </c>
      <c r="E170" s="2">
        <f>geracao_mwh!E170*1000</f>
        <v>1388401355.0000055</v>
      </c>
      <c r="F170" s="2">
        <f>geracao_mwh!F170*1000</f>
        <v>468114030.16200078</v>
      </c>
      <c r="G170" s="2">
        <f>geracao_mwh!G170*1000</f>
        <v>0</v>
      </c>
      <c r="H170" s="2">
        <f>geracao_mwh!H170*1000</f>
        <v>3936506597.9000378</v>
      </c>
      <c r="I170" s="2">
        <f>geracao_mwh!I170*1000</f>
        <v>39454073588.000092</v>
      </c>
      <c r="J170" s="2">
        <f>geracao_mwh!J170*1000</f>
        <v>0</v>
      </c>
      <c r="K170" s="2">
        <f>geracao_mwh!K170*1000</f>
        <v>1474109938.0000005</v>
      </c>
      <c r="L170" s="2">
        <f>geracao_mwh!L170*1000</f>
        <v>1008177997.9999974</v>
      </c>
      <c r="M170" s="2">
        <f>geracao_mwh!M170*1000</f>
        <v>413791406.799999</v>
      </c>
      <c r="N170" s="2">
        <f>geracao_mwh!N170*1000</f>
        <v>0</v>
      </c>
      <c r="O170" s="2">
        <f>geracao_mwh!O170*1000</f>
        <v>432218839.9999966</v>
      </c>
    </row>
    <row r="171" spans="1:15" x14ac:dyDescent="0.3">
      <c r="A171" s="6">
        <v>170</v>
      </c>
      <c r="B171" s="6">
        <v>2014</v>
      </c>
      <c r="C171" s="6">
        <v>2</v>
      </c>
      <c r="D171" s="2">
        <f>geracao_mwh!D171*1000</f>
        <v>136494168.70000011</v>
      </c>
      <c r="E171" s="2">
        <f>geracao_mwh!E171*1000</f>
        <v>1363352519.900002</v>
      </c>
      <c r="F171" s="2">
        <f>geracao_mwh!F171*1000</f>
        <v>427428487.68000311</v>
      </c>
      <c r="G171" s="2">
        <f>geracao_mwh!G171*1000</f>
        <v>0</v>
      </c>
      <c r="H171" s="2">
        <f>geracao_mwh!H171*1000</f>
        <v>4382803377.3000193</v>
      </c>
      <c r="I171" s="2">
        <f>geracao_mwh!I171*1000</f>
        <v>33862316416.999825</v>
      </c>
      <c r="J171" s="2">
        <f>geracao_mwh!J171*1000</f>
        <v>0</v>
      </c>
      <c r="K171" s="2">
        <f>geracao_mwh!K171*1000</f>
        <v>1285589928.0000017</v>
      </c>
      <c r="L171" s="2">
        <f>geracao_mwh!L171*1000</f>
        <v>1202266577.0000005</v>
      </c>
      <c r="M171" s="2">
        <f>geracao_mwh!M171*1000</f>
        <v>623640742.39999819</v>
      </c>
      <c r="N171" s="2">
        <f>geracao_mwh!N171*1000</f>
        <v>0</v>
      </c>
      <c r="O171" s="2">
        <f>geracao_mwh!O171*1000</f>
        <v>399798399.99999821</v>
      </c>
    </row>
    <row r="172" spans="1:15" x14ac:dyDescent="0.3">
      <c r="A172" s="6">
        <v>171</v>
      </c>
      <c r="B172" s="6">
        <v>2014</v>
      </c>
      <c r="C172" s="6">
        <v>3</v>
      </c>
      <c r="D172" s="2">
        <f>geracao_mwh!D172*1000</f>
        <v>192678990.60000074</v>
      </c>
      <c r="E172" s="2">
        <f>geracao_mwh!E172*1000</f>
        <v>1693001204.1999965</v>
      </c>
      <c r="F172" s="2">
        <f>geracao_mwh!F172*1000</f>
        <v>446970726.75335187</v>
      </c>
      <c r="G172" s="2">
        <f>geracao_mwh!G172*1000</f>
        <v>0</v>
      </c>
      <c r="H172" s="2">
        <f>geracao_mwh!H172*1000</f>
        <v>5367847209.8999672</v>
      </c>
      <c r="I172" s="2">
        <f>geracao_mwh!I172*1000</f>
        <v>35632503752.999306</v>
      </c>
      <c r="J172" s="2">
        <f>geracao_mwh!J172*1000</f>
        <v>0</v>
      </c>
      <c r="K172" s="2">
        <f>geracao_mwh!K172*1000</f>
        <v>1421338572.0000014</v>
      </c>
      <c r="L172" s="2">
        <f>geracao_mwh!L172*1000</f>
        <v>1249894180.0000062</v>
      </c>
      <c r="M172" s="2">
        <f>geracao_mwh!M172*1000</f>
        <v>587622609.99999845</v>
      </c>
      <c r="N172" s="2">
        <f>geracao_mwh!N172*1000</f>
        <v>0</v>
      </c>
      <c r="O172" s="2">
        <f>geracao_mwh!O172*1000</f>
        <v>523182477.99999791</v>
      </c>
    </row>
    <row r="173" spans="1:15" x14ac:dyDescent="0.3">
      <c r="A173" s="6">
        <v>172</v>
      </c>
      <c r="B173" s="6">
        <v>2014</v>
      </c>
      <c r="C173" s="6">
        <v>4</v>
      </c>
      <c r="D173" s="2">
        <f>geracao_mwh!D173*1000</f>
        <v>299339826.80000013</v>
      </c>
      <c r="E173" s="2">
        <f>geracao_mwh!E173*1000</f>
        <v>1485299696.000001</v>
      </c>
      <c r="F173" s="2">
        <f>geracao_mwh!F173*1000</f>
        <v>412877710.33258969</v>
      </c>
      <c r="G173" s="2">
        <f>geracao_mwh!G173*1000</f>
        <v>0</v>
      </c>
      <c r="H173" s="2">
        <f>geracao_mwh!H173*1000</f>
        <v>4848922642.9999876</v>
      </c>
      <c r="I173" s="2">
        <f>geracao_mwh!I173*1000</f>
        <v>33438339185.999901</v>
      </c>
      <c r="J173" s="2">
        <f>geracao_mwh!J173*1000</f>
        <v>0</v>
      </c>
      <c r="K173" s="2">
        <f>geracao_mwh!K173*1000</f>
        <v>982187220.00000012</v>
      </c>
      <c r="L173" s="2">
        <f>geracao_mwh!L173*1000</f>
        <v>1205683228.0000062</v>
      </c>
      <c r="M173" s="2">
        <f>geracao_mwh!M173*1000</f>
        <v>634405105.00000036</v>
      </c>
      <c r="N173" s="2">
        <f>geracao_mwh!N173*1000</f>
        <v>0</v>
      </c>
      <c r="O173" s="2">
        <f>geracao_mwh!O173*1000</f>
        <v>537941219.99999714</v>
      </c>
    </row>
    <row r="174" spans="1:15" x14ac:dyDescent="0.3">
      <c r="A174" s="6">
        <v>173</v>
      </c>
      <c r="B174" s="6">
        <v>2014</v>
      </c>
      <c r="C174" s="6">
        <v>5</v>
      </c>
      <c r="D174" s="2">
        <f>geracao_mwh!D174*1000</f>
        <v>481887198.24224961</v>
      </c>
      <c r="E174" s="2">
        <f>geracao_mwh!E174*1000</f>
        <v>1503117406.5000021</v>
      </c>
      <c r="F174" s="2">
        <f>geracao_mwh!F174*1000</f>
        <v>424044986.16135448</v>
      </c>
      <c r="G174" s="2">
        <f>geracao_mwh!G174*1000</f>
        <v>0</v>
      </c>
      <c r="H174" s="2">
        <f>geracao_mwh!H174*1000</f>
        <v>6510303225.8999844</v>
      </c>
      <c r="I174" s="2">
        <f>geracao_mwh!I174*1000</f>
        <v>32013792799.350014</v>
      </c>
      <c r="J174" s="2">
        <f>geracao_mwh!J174*1000</f>
        <v>0</v>
      </c>
      <c r="K174" s="2">
        <f>geracao_mwh!K174*1000</f>
        <v>1397662863.3000011</v>
      </c>
      <c r="L174" s="2">
        <f>geracao_mwh!L174*1000</f>
        <v>1123477736.8999979</v>
      </c>
      <c r="M174" s="2">
        <f>geracao_mwh!M174*1000</f>
        <v>691959632.38888562</v>
      </c>
      <c r="N174" s="2">
        <f>geracao_mwh!N174*1000</f>
        <v>0</v>
      </c>
      <c r="O174" s="2">
        <f>geracao_mwh!O174*1000</f>
        <v>481025910.49999028</v>
      </c>
    </row>
    <row r="175" spans="1:15" x14ac:dyDescent="0.3">
      <c r="A175" s="6">
        <v>174</v>
      </c>
      <c r="B175" s="6">
        <v>2014</v>
      </c>
      <c r="C175" s="6">
        <v>6</v>
      </c>
      <c r="D175" s="2">
        <f>geracao_mwh!D175*1000</f>
        <v>526698124.86536056</v>
      </c>
      <c r="E175" s="2">
        <f>geracao_mwh!E175*1000</f>
        <v>1426899195.3000028</v>
      </c>
      <c r="F175" s="2">
        <f>geracao_mwh!F175*1000</f>
        <v>726800022.82390046</v>
      </c>
      <c r="G175" s="2">
        <f>geracao_mwh!G175*1000</f>
        <v>0</v>
      </c>
      <c r="H175" s="2">
        <f>geracao_mwh!H175*1000</f>
        <v>5799773933.5000296</v>
      </c>
      <c r="I175" s="2">
        <f>geracao_mwh!I175*1000</f>
        <v>29962239038.722778</v>
      </c>
      <c r="J175" s="2">
        <f>geracao_mwh!J175*1000</f>
        <v>0</v>
      </c>
      <c r="K175" s="2">
        <f>geracao_mwh!K175*1000</f>
        <v>1391355141.7000093</v>
      </c>
      <c r="L175" s="2">
        <f>geracao_mwh!L175*1000</f>
        <v>936184037.90000033</v>
      </c>
      <c r="M175" s="2">
        <f>geracao_mwh!M175*1000</f>
        <v>568998313.72222161</v>
      </c>
      <c r="N175" s="2">
        <f>geracao_mwh!N175*1000</f>
        <v>0</v>
      </c>
      <c r="O175" s="2">
        <f>geracao_mwh!O175*1000</f>
        <v>555255221.10000622</v>
      </c>
    </row>
    <row r="176" spans="1:15" x14ac:dyDescent="0.3">
      <c r="A176" s="6">
        <v>175</v>
      </c>
      <c r="B176" s="6">
        <v>2014</v>
      </c>
      <c r="C176" s="6">
        <v>7</v>
      </c>
      <c r="D176" s="2">
        <f>geracao_mwh!D176*1000</f>
        <v>455415373.10000122</v>
      </c>
      <c r="E176" s="2">
        <f>geracao_mwh!E176*1000</f>
        <v>1353563227.1000016</v>
      </c>
      <c r="F176" s="2">
        <f>geracao_mwh!F176*1000</f>
        <v>994823736.56309021</v>
      </c>
      <c r="G176" s="2">
        <f>geracao_mwh!G176*1000</f>
        <v>0</v>
      </c>
      <c r="H176" s="2">
        <f>geracao_mwh!H176*1000</f>
        <v>6328398180.9999523</v>
      </c>
      <c r="I176" s="2">
        <f>geracao_mwh!I176*1000</f>
        <v>31064699004.999401</v>
      </c>
      <c r="J176" s="2">
        <f>geracao_mwh!J176*1000</f>
        <v>0</v>
      </c>
      <c r="K176" s="2">
        <f>geracao_mwh!K176*1000</f>
        <v>926862645.99999976</v>
      </c>
      <c r="L176" s="2">
        <f>geracao_mwh!L176*1000</f>
        <v>1143865216.9999998</v>
      </c>
      <c r="M176" s="2">
        <f>geracao_mwh!M176*1000</f>
        <v>643297060.00000203</v>
      </c>
      <c r="N176" s="2">
        <f>geracao_mwh!N176*1000</f>
        <v>0</v>
      </c>
      <c r="O176" s="2">
        <f>geracao_mwh!O176*1000</f>
        <v>596099956.00000763</v>
      </c>
    </row>
    <row r="177" spans="1:15" x14ac:dyDescent="0.3">
      <c r="A177" s="6">
        <v>176</v>
      </c>
      <c r="B177" s="6">
        <v>2014</v>
      </c>
      <c r="C177" s="6">
        <v>8</v>
      </c>
      <c r="D177" s="2">
        <f>geracao_mwh!D177*1000</f>
        <v>632116068.00000119</v>
      </c>
      <c r="E177" s="2">
        <f>geracao_mwh!E177*1000</f>
        <v>1411323359.1999965</v>
      </c>
      <c r="F177" s="2">
        <f>geracao_mwh!F177*1000</f>
        <v>1176284875.9334197</v>
      </c>
      <c r="G177" s="2">
        <f>geracao_mwh!G177*1000</f>
        <v>0</v>
      </c>
      <c r="H177" s="2">
        <f>geracao_mwh!H177*1000</f>
        <v>6628171088.9999695</v>
      </c>
      <c r="I177" s="2">
        <f>geracao_mwh!I177*1000</f>
        <v>30195866105.999668</v>
      </c>
      <c r="J177" s="2">
        <f>geracao_mwh!J177*1000</f>
        <v>0</v>
      </c>
      <c r="K177" s="2">
        <f>geracao_mwh!K177*1000</f>
        <v>630709903.00000083</v>
      </c>
      <c r="L177" s="2">
        <f>geracao_mwh!L177*1000</f>
        <v>1712435135.0000083</v>
      </c>
      <c r="M177" s="2">
        <f>geracao_mwh!M177*1000</f>
        <v>761037818.99999571</v>
      </c>
      <c r="N177" s="2">
        <f>geracao_mwh!N177*1000</f>
        <v>0</v>
      </c>
      <c r="O177" s="2">
        <f>geracao_mwh!O177*1000</f>
        <v>624045641.00000739</v>
      </c>
    </row>
    <row r="178" spans="1:15" x14ac:dyDescent="0.3">
      <c r="A178" s="6">
        <v>177</v>
      </c>
      <c r="B178" s="6">
        <v>2014</v>
      </c>
      <c r="C178" s="6">
        <v>9</v>
      </c>
      <c r="D178" s="2">
        <f>geracao_mwh!D178*1000</f>
        <v>537953036.00000167</v>
      </c>
      <c r="E178" s="2">
        <f>geracao_mwh!E178*1000</f>
        <v>1252708135.3999996</v>
      </c>
      <c r="F178" s="2">
        <f>geracao_mwh!F178*1000</f>
        <v>1138450462.6969876</v>
      </c>
      <c r="G178" s="2">
        <f>geracao_mwh!G178*1000</f>
        <v>0</v>
      </c>
      <c r="H178" s="2">
        <f>geracao_mwh!H178*1000</f>
        <v>5597267505.9999914</v>
      </c>
      <c r="I178" s="2">
        <f>geracao_mwh!I178*1000</f>
        <v>30935978835.999168</v>
      </c>
      <c r="J178" s="2">
        <f>geracao_mwh!J178*1000</f>
        <v>0</v>
      </c>
      <c r="K178" s="2">
        <f>geracao_mwh!K178*1000</f>
        <v>1453258341.0000002</v>
      </c>
      <c r="L178" s="2">
        <f>geracao_mwh!L178*1000</f>
        <v>1638341831.8999972</v>
      </c>
      <c r="M178" s="2">
        <f>geracao_mwh!M178*1000</f>
        <v>780680765.99998724</v>
      </c>
      <c r="N178" s="2">
        <f>geracao_mwh!N178*1000</f>
        <v>0</v>
      </c>
      <c r="O178" s="2">
        <f>geracao_mwh!O178*1000</f>
        <v>567339649.00000763</v>
      </c>
    </row>
    <row r="179" spans="1:15" x14ac:dyDescent="0.3">
      <c r="A179" s="6">
        <v>178</v>
      </c>
      <c r="B179" s="6">
        <v>2014</v>
      </c>
      <c r="C179" s="6">
        <v>10</v>
      </c>
      <c r="D179" s="2">
        <f>geracao_mwh!D179*1000</f>
        <v>549527421.40000343</v>
      </c>
      <c r="E179" s="2">
        <f>geracao_mwh!E179*1000</f>
        <v>1367755507.9999983</v>
      </c>
      <c r="F179" s="2">
        <f>geracao_mwh!F179*1000</f>
        <v>1352617297.2663078</v>
      </c>
      <c r="G179" s="2">
        <f>geracao_mwh!G179*1000</f>
        <v>0</v>
      </c>
      <c r="H179" s="2">
        <f>geracao_mwh!H179*1000</f>
        <v>6229699211.0000801</v>
      </c>
      <c r="I179" s="2">
        <f>geracao_mwh!I179*1000</f>
        <v>32308290948.000069</v>
      </c>
      <c r="J179" s="2">
        <f>geracao_mwh!J179*1000</f>
        <v>0</v>
      </c>
      <c r="K179" s="2">
        <f>geracao_mwh!K179*1000</f>
        <v>1496887670.0000014</v>
      </c>
      <c r="L179" s="2">
        <f>geracao_mwh!L179*1000</f>
        <v>1651164017.0000017</v>
      </c>
      <c r="M179" s="2">
        <f>geracao_mwh!M179*1000</f>
        <v>823619136.9999969</v>
      </c>
      <c r="N179" s="2">
        <f>geracao_mwh!N179*1000</f>
        <v>0</v>
      </c>
      <c r="O179" s="2">
        <f>geracao_mwh!O179*1000</f>
        <v>572206619.00000846</v>
      </c>
    </row>
    <row r="180" spans="1:15" x14ac:dyDescent="0.3">
      <c r="A180" s="6">
        <v>179</v>
      </c>
      <c r="B180" s="6">
        <v>2014</v>
      </c>
      <c r="C180" s="6">
        <v>11</v>
      </c>
      <c r="D180" s="2">
        <f>geracao_mwh!D180*1000</f>
        <v>465863077.99999917</v>
      </c>
      <c r="E180" s="2">
        <f>geracao_mwh!E180*1000</f>
        <v>1480688999.9999962</v>
      </c>
      <c r="F180" s="2">
        <f>geracao_mwh!F180*1000</f>
        <v>1119589005.200815</v>
      </c>
      <c r="G180" s="2">
        <f>geracao_mwh!G180*1000</f>
        <v>0</v>
      </c>
      <c r="H180" s="2">
        <f>geracao_mwh!H180*1000</f>
        <v>6194359829.3999872</v>
      </c>
      <c r="I180" s="2">
        <f>geracao_mwh!I180*1000</f>
        <v>31037301658.000259</v>
      </c>
      <c r="J180" s="2">
        <f>geracao_mwh!J180*1000</f>
        <v>0</v>
      </c>
      <c r="K180" s="2">
        <f>geracao_mwh!K180*1000</f>
        <v>1400143740.9999998</v>
      </c>
      <c r="L180" s="2">
        <f>geracao_mwh!L180*1000</f>
        <v>1665901159.0000026</v>
      </c>
      <c r="M180" s="2">
        <f>geracao_mwh!M180*1000</f>
        <v>761874899</v>
      </c>
      <c r="N180" s="2">
        <f>geracao_mwh!N180*1000</f>
        <v>0</v>
      </c>
      <c r="O180" s="2">
        <f>geracao_mwh!O180*1000</f>
        <v>521520010.00000256</v>
      </c>
    </row>
    <row r="181" spans="1:15" x14ac:dyDescent="0.3">
      <c r="A181" s="6">
        <v>180</v>
      </c>
      <c r="B181" s="6">
        <v>2014</v>
      </c>
      <c r="C181" s="6">
        <v>12</v>
      </c>
      <c r="D181" s="2">
        <f>geracao_mwh!D181*1000</f>
        <v>416679692.80000108</v>
      </c>
      <c r="E181" s="2">
        <f>geracao_mwh!E181*1000</f>
        <v>1614109554.7000031</v>
      </c>
      <c r="F181" s="2">
        <f>geracao_mwh!F181*1000</f>
        <v>1193743166.6942108</v>
      </c>
      <c r="G181" s="2">
        <f>geracao_mwh!G181*1000</f>
        <v>0</v>
      </c>
      <c r="H181" s="2">
        <f>geracao_mwh!H181*1000</f>
        <v>6598386439.2999792</v>
      </c>
      <c r="I181" s="2">
        <f>geracao_mwh!I181*1000</f>
        <v>31622416983.000519</v>
      </c>
      <c r="J181" s="2">
        <f>geracao_mwh!J181*1000</f>
        <v>0</v>
      </c>
      <c r="K181" s="2">
        <f>geracao_mwh!K181*1000</f>
        <v>1492417940.0000026</v>
      </c>
      <c r="L181" s="2">
        <f>geracao_mwh!L181*1000</f>
        <v>1575796054.0000122</v>
      </c>
      <c r="M181" s="2">
        <f>geracao_mwh!M181*1000</f>
        <v>703487528.99999368</v>
      </c>
      <c r="N181" s="2">
        <f>geracao_mwh!N181*1000</f>
        <v>0</v>
      </c>
      <c r="O181" s="2">
        <f>geracao_mwh!O181*1000</f>
        <v>629481623.00000668</v>
      </c>
    </row>
    <row r="182" spans="1:15" x14ac:dyDescent="0.3">
      <c r="A182" s="6">
        <v>181</v>
      </c>
      <c r="B182" s="6">
        <v>2015</v>
      </c>
      <c r="C182" s="6">
        <v>1</v>
      </c>
      <c r="D182" s="2">
        <f>geracao_mwh!D182*1000</f>
        <v>161891782.99999994</v>
      </c>
      <c r="E182" s="2">
        <f>geracao_mwh!E182*1000</f>
        <v>1742347611.7000027</v>
      </c>
      <c r="F182" s="2">
        <f>geracao_mwh!F182*1000</f>
        <v>1331756242.2231486</v>
      </c>
      <c r="G182" s="2">
        <f>geracao_mwh!G182*1000</f>
        <v>0</v>
      </c>
      <c r="H182" s="2">
        <f>geracao_mwh!H182*1000</f>
        <v>6389881118.00002</v>
      </c>
      <c r="I182" s="2">
        <f>geracao_mwh!I182*1000</f>
        <v>36176220832.000206</v>
      </c>
      <c r="J182" s="2">
        <f>geracao_mwh!J182*1000</f>
        <v>0</v>
      </c>
      <c r="K182" s="2">
        <f>geracao_mwh!K182*1000</f>
        <v>1450737396</v>
      </c>
      <c r="L182" s="2">
        <f>geracao_mwh!L182*1000</f>
        <v>1414640528.0000041</v>
      </c>
      <c r="M182" s="2">
        <f>geracao_mwh!M182*1000</f>
        <v>702396785.99999154</v>
      </c>
      <c r="N182" s="2">
        <f>geracao_mwh!N182*1000</f>
        <v>0</v>
      </c>
      <c r="O182" s="2">
        <f>geracao_mwh!O182*1000</f>
        <v>623507791.00001001</v>
      </c>
    </row>
    <row r="183" spans="1:15" x14ac:dyDescent="0.3">
      <c r="A183" s="6">
        <v>182</v>
      </c>
      <c r="B183" s="6">
        <v>2015</v>
      </c>
      <c r="C183" s="6">
        <v>2</v>
      </c>
      <c r="D183" s="2">
        <f>geracao_mwh!D183*1000</f>
        <v>150876882.90000024</v>
      </c>
      <c r="E183" s="2">
        <f>geracao_mwh!E183*1000</f>
        <v>1423664216.5999949</v>
      </c>
      <c r="F183" s="2">
        <f>geracao_mwh!F183*1000</f>
        <v>1071152309.9770133</v>
      </c>
      <c r="G183" s="2">
        <f>geracao_mwh!G183*1000</f>
        <v>0</v>
      </c>
      <c r="H183" s="2">
        <f>geracao_mwh!H183*1000</f>
        <v>5992585128.1000261</v>
      </c>
      <c r="I183" s="2">
        <f>geracao_mwh!I183*1000</f>
        <v>31818343412.535137</v>
      </c>
      <c r="J183" s="2">
        <f>geracao_mwh!J183*1000</f>
        <v>0</v>
      </c>
      <c r="K183" s="2">
        <f>geracao_mwh!K183*1000</f>
        <v>1145479905.9999998</v>
      </c>
      <c r="L183" s="2">
        <f>geracao_mwh!L183*1000</f>
        <v>1369723046.0000048</v>
      </c>
      <c r="M183" s="2">
        <f>geracao_mwh!M183*1000</f>
        <v>723330076.69995677</v>
      </c>
      <c r="N183" s="2">
        <f>geracao_mwh!N183*1000</f>
        <v>0</v>
      </c>
      <c r="O183" s="2">
        <f>geracao_mwh!O183*1000</f>
        <v>548139843.00000775</v>
      </c>
    </row>
    <row r="184" spans="1:15" x14ac:dyDescent="0.3">
      <c r="A184" s="6">
        <v>183</v>
      </c>
      <c r="B184" s="6">
        <v>2015</v>
      </c>
      <c r="C184" s="6">
        <v>3</v>
      </c>
      <c r="D184" s="2">
        <f>geracao_mwh!D184*1000</f>
        <v>201306175.93256107</v>
      </c>
      <c r="E184" s="2">
        <f>geracao_mwh!E184*1000</f>
        <v>1636541386.8000045</v>
      </c>
      <c r="F184" s="2">
        <f>geracao_mwh!F184*1000</f>
        <v>1002632478.1527288</v>
      </c>
      <c r="G184" s="2">
        <f>geracao_mwh!G184*1000</f>
        <v>0</v>
      </c>
      <c r="H184" s="2">
        <f>geracao_mwh!H184*1000</f>
        <v>6767581626.9999866</v>
      </c>
      <c r="I184" s="2">
        <f>geracao_mwh!I184*1000</f>
        <v>34640203457.415482</v>
      </c>
      <c r="J184" s="2">
        <f>geracao_mwh!J184*1000</f>
        <v>0</v>
      </c>
      <c r="K184" s="2">
        <f>geracao_mwh!K184*1000</f>
        <v>1313713905.9999983</v>
      </c>
      <c r="L184" s="2">
        <f>geracao_mwh!L184*1000</f>
        <v>1441006386.0000045</v>
      </c>
      <c r="M184" s="2">
        <f>geracao_mwh!M184*1000</f>
        <v>853490037.39995503</v>
      </c>
      <c r="N184" s="2">
        <f>geracao_mwh!N184*1000</f>
        <v>0</v>
      </c>
      <c r="O184" s="2">
        <f>geracao_mwh!O184*1000</f>
        <v>477499072.0000087</v>
      </c>
    </row>
    <row r="185" spans="1:15" x14ac:dyDescent="0.3">
      <c r="A185" s="6">
        <v>184</v>
      </c>
      <c r="B185" s="6">
        <v>2015</v>
      </c>
      <c r="C185" s="6">
        <v>4</v>
      </c>
      <c r="D185" s="2">
        <f>geracao_mwh!D185*1000</f>
        <v>441039181.97496045</v>
      </c>
      <c r="E185" s="2">
        <f>geracao_mwh!E185*1000</f>
        <v>1397765919.9999988</v>
      </c>
      <c r="F185" s="2">
        <f>geracao_mwh!F185*1000</f>
        <v>855434979.53985834</v>
      </c>
      <c r="G185" s="2">
        <f>geracao_mwh!G185*1000</f>
        <v>0</v>
      </c>
      <c r="H185" s="2">
        <f>geracao_mwh!H185*1000</f>
        <v>6085209193.9999876</v>
      </c>
      <c r="I185" s="2">
        <f>geracao_mwh!I185*1000</f>
        <v>30471585495.0117</v>
      </c>
      <c r="J185" s="2">
        <f>geracao_mwh!J185*1000</f>
        <v>0</v>
      </c>
      <c r="K185" s="2">
        <f>geracao_mwh!K185*1000</f>
        <v>1394916458.9999993</v>
      </c>
      <c r="L185" s="2">
        <f>geracao_mwh!L185*1000</f>
        <v>965442340.00000381</v>
      </c>
      <c r="M185" s="2">
        <f>geracao_mwh!M185*1000</f>
        <v>596436551.00000143</v>
      </c>
      <c r="N185" s="2">
        <f>geracao_mwh!N185*1000</f>
        <v>0</v>
      </c>
      <c r="O185" s="2">
        <f>geracao_mwh!O185*1000</f>
        <v>525029114.00000423</v>
      </c>
    </row>
    <row r="186" spans="1:15" x14ac:dyDescent="0.3">
      <c r="A186" s="6">
        <v>185</v>
      </c>
      <c r="B186" s="6">
        <v>2015</v>
      </c>
      <c r="C186" s="6">
        <v>5</v>
      </c>
      <c r="D186" s="2">
        <f>geracao_mwh!D186*1000</f>
        <v>609220224.70000541</v>
      </c>
      <c r="E186" s="2">
        <f>geracao_mwh!E186*1000</f>
        <v>1312808820.9999993</v>
      </c>
      <c r="F186" s="2">
        <f>geracao_mwh!F186*1000</f>
        <v>1406118044.3688545</v>
      </c>
      <c r="G186" s="2">
        <f>geracao_mwh!G186*1000</f>
        <v>0</v>
      </c>
      <c r="H186" s="2">
        <f>geracao_mwh!H186*1000</f>
        <v>6007335116.0000467</v>
      </c>
      <c r="I186" s="2">
        <f>geracao_mwh!I186*1000</f>
        <v>30656858134.000423</v>
      </c>
      <c r="J186" s="2">
        <f>geracao_mwh!J186*1000</f>
        <v>0</v>
      </c>
      <c r="K186" s="2">
        <f>geracao_mwh!K186*1000</f>
        <v>1119677991.9999986</v>
      </c>
      <c r="L186" s="2">
        <f>geracao_mwh!L186*1000</f>
        <v>904520381.00000274</v>
      </c>
      <c r="M186" s="2">
        <f>geracao_mwh!M186*1000</f>
        <v>479722232.99999875</v>
      </c>
      <c r="N186" s="2">
        <f>geracao_mwh!N186*1000</f>
        <v>0</v>
      </c>
      <c r="O186" s="2">
        <f>geracao_mwh!O186*1000</f>
        <v>622836230.00000715</v>
      </c>
    </row>
    <row r="187" spans="1:15" x14ac:dyDescent="0.3">
      <c r="A187" s="6">
        <v>186</v>
      </c>
      <c r="B187" s="6">
        <v>2015</v>
      </c>
      <c r="C187" s="6">
        <v>6</v>
      </c>
      <c r="D187" s="2">
        <f>geracao_mwh!D187*1000</f>
        <v>649459862.29999566</v>
      </c>
      <c r="E187" s="2">
        <f>geracao_mwh!E187*1000</f>
        <v>1431435693.0000014</v>
      </c>
      <c r="F187" s="2">
        <f>geracao_mwh!F187*1000</f>
        <v>1479133136.529866</v>
      </c>
      <c r="G187" s="2">
        <f>geracao_mwh!G187*1000</f>
        <v>0</v>
      </c>
      <c r="H187" s="2">
        <f>geracao_mwh!H187*1000</f>
        <v>5935237072.7999525</v>
      </c>
      <c r="I187" s="2">
        <f>geracao_mwh!I187*1000</f>
        <v>28017956963.999897</v>
      </c>
      <c r="J187" s="2">
        <f>geracao_mwh!J187*1000</f>
        <v>0</v>
      </c>
      <c r="K187" s="2">
        <f>geracao_mwh!K187*1000</f>
        <v>983899163.00000131</v>
      </c>
      <c r="L187" s="2">
        <f>geracao_mwh!L187*1000</f>
        <v>1048769181.9999973</v>
      </c>
      <c r="M187" s="2">
        <f>geracao_mwh!M187*1000</f>
        <v>729236082.79999554</v>
      </c>
      <c r="N187" s="2">
        <f>geracao_mwh!N187*1000</f>
        <v>0</v>
      </c>
      <c r="O187" s="2">
        <f>geracao_mwh!O187*1000</f>
        <v>589913485.00000834</v>
      </c>
    </row>
    <row r="188" spans="1:15" x14ac:dyDescent="0.3">
      <c r="A188" s="6">
        <v>187</v>
      </c>
      <c r="B188" s="6">
        <v>2015</v>
      </c>
      <c r="C188" s="6">
        <v>7</v>
      </c>
      <c r="D188" s="2">
        <f>geracao_mwh!D188*1000</f>
        <v>673726433.80000043</v>
      </c>
      <c r="E188" s="2">
        <f>geracao_mwh!E188*1000</f>
        <v>1570620932.0000005</v>
      </c>
      <c r="F188" s="2">
        <f>geracao_mwh!F188*1000</f>
        <v>1753742110.6265912</v>
      </c>
      <c r="G188" s="2">
        <f>geracao_mwh!G188*1000</f>
        <v>22564.999999999989</v>
      </c>
      <c r="H188" s="2">
        <f>geracao_mwh!H188*1000</f>
        <v>5214864069.9999981</v>
      </c>
      <c r="I188" s="2">
        <f>geracao_mwh!I188*1000</f>
        <v>30045922045.999744</v>
      </c>
      <c r="J188" s="2">
        <f>geracao_mwh!J188*1000</f>
        <v>0</v>
      </c>
      <c r="K188" s="2">
        <f>geracao_mwh!K188*1000</f>
        <v>1357810104.0000005</v>
      </c>
      <c r="L188" s="2">
        <f>geracao_mwh!L188*1000</f>
        <v>795724150.00000083</v>
      </c>
      <c r="M188" s="2">
        <f>geracao_mwh!M188*1000</f>
        <v>490780587.99999952</v>
      </c>
      <c r="N188" s="2">
        <f>geracao_mwh!N188*1000</f>
        <v>0</v>
      </c>
      <c r="O188" s="2">
        <f>geracao_mwh!O188*1000</f>
        <v>603731356.00000203</v>
      </c>
    </row>
    <row r="189" spans="1:15" x14ac:dyDescent="0.3">
      <c r="A189" s="6">
        <v>188</v>
      </c>
      <c r="B189" s="6">
        <v>2015</v>
      </c>
      <c r="C189" s="6">
        <v>8</v>
      </c>
      <c r="D189" s="2">
        <f>geracao_mwh!D189*1000</f>
        <v>825150597.09999764</v>
      </c>
      <c r="E189" s="2">
        <f>geracao_mwh!E189*1000</f>
        <v>1458210479.0000045</v>
      </c>
      <c r="F189" s="2">
        <f>geracao_mwh!F189*1000</f>
        <v>2338266189.7997818</v>
      </c>
      <c r="G189" s="2">
        <f>geracao_mwh!G189*1000</f>
        <v>1103625.0000000007</v>
      </c>
      <c r="H189" s="2">
        <f>geracao_mwh!H189*1000</f>
        <v>5474000010.1000128</v>
      </c>
      <c r="I189" s="2">
        <f>geracao_mwh!I189*1000</f>
        <v>30091666686.999622</v>
      </c>
      <c r="J189" s="2">
        <f>geracao_mwh!J189*1000</f>
        <v>0</v>
      </c>
      <c r="K189" s="2">
        <f>geracao_mwh!K189*1000</f>
        <v>1357807423.9999979</v>
      </c>
      <c r="L189" s="2">
        <f>geracao_mwh!L189*1000</f>
        <v>873555756.60000074</v>
      </c>
      <c r="M189" s="2">
        <f>geracao_mwh!M189*1000</f>
        <v>319726165.00000012</v>
      </c>
      <c r="N189" s="2">
        <f>geracao_mwh!N189*1000</f>
        <v>0</v>
      </c>
      <c r="O189" s="2">
        <f>geracao_mwh!O189*1000</f>
        <v>622826394.00001025</v>
      </c>
    </row>
    <row r="190" spans="1:15" x14ac:dyDescent="0.3">
      <c r="A190" s="6">
        <v>189</v>
      </c>
      <c r="B190" s="6">
        <v>2015</v>
      </c>
      <c r="C190" s="6">
        <v>9</v>
      </c>
      <c r="D190" s="2">
        <f>geracao_mwh!D190*1000</f>
        <v>763772691.99999249</v>
      </c>
      <c r="E190" s="2">
        <f>geracao_mwh!E190*1000</f>
        <v>1477415367.0000005</v>
      </c>
      <c r="F190" s="2">
        <f>geracao_mwh!F190*1000</f>
        <v>1997899581.6633086</v>
      </c>
      <c r="G190" s="2">
        <f>geracao_mwh!G190*1000</f>
        <v>1464647.9999999993</v>
      </c>
      <c r="H190" s="2">
        <f>geracao_mwh!H190*1000</f>
        <v>6064545957.9999685</v>
      </c>
      <c r="I190" s="2">
        <f>geracao_mwh!I190*1000</f>
        <v>30336602422.999668</v>
      </c>
      <c r="J190" s="2">
        <f>geracao_mwh!J190*1000</f>
        <v>0</v>
      </c>
      <c r="K190" s="2">
        <f>geracao_mwh!K190*1000</f>
        <v>1135074385</v>
      </c>
      <c r="L190" s="2">
        <f>geracao_mwh!L190*1000</f>
        <v>1000412857.0000046</v>
      </c>
      <c r="M190" s="2">
        <f>geracao_mwh!M190*1000</f>
        <v>181699442.99999955</v>
      </c>
      <c r="N190" s="2">
        <f>geracao_mwh!N190*1000</f>
        <v>0</v>
      </c>
      <c r="O190" s="2">
        <f>geracao_mwh!O190*1000</f>
        <v>588726253.00000799</v>
      </c>
    </row>
    <row r="191" spans="1:15" x14ac:dyDescent="0.3">
      <c r="A191" s="6">
        <v>190</v>
      </c>
      <c r="B191" s="6">
        <v>2015</v>
      </c>
      <c r="C191" s="6">
        <v>10</v>
      </c>
      <c r="D191" s="2">
        <f>geracao_mwh!D191*1000</f>
        <v>767446926.70000136</v>
      </c>
      <c r="E191" s="2">
        <f>geracao_mwh!E191*1000</f>
        <v>1529428857.0000017</v>
      </c>
      <c r="F191" s="2">
        <f>geracao_mwh!F191*1000</f>
        <v>2271079766.13165</v>
      </c>
      <c r="G191" s="2">
        <f>geracao_mwh!G191*1000</f>
        <v>1733461.0000000002</v>
      </c>
      <c r="H191" s="2">
        <f>geracao_mwh!H191*1000</f>
        <v>5905000766.9999962</v>
      </c>
      <c r="I191" s="2">
        <f>geracao_mwh!I191*1000</f>
        <v>33263427526.999905</v>
      </c>
      <c r="J191" s="2">
        <f>geracao_mwh!J191*1000</f>
        <v>0</v>
      </c>
      <c r="K191" s="2">
        <f>geracao_mwh!K191*1000</f>
        <v>513969100.00000077</v>
      </c>
      <c r="L191" s="2">
        <f>geracao_mwh!L191*1000</f>
        <v>1127177776.9999988</v>
      </c>
      <c r="M191" s="2">
        <f>geracao_mwh!M191*1000</f>
        <v>227103781.99999973</v>
      </c>
      <c r="N191" s="2">
        <f>geracao_mwh!N191*1000</f>
        <v>0</v>
      </c>
      <c r="O191" s="2">
        <f>geracao_mwh!O191*1000</f>
        <v>647933915.00000417</v>
      </c>
    </row>
    <row r="192" spans="1:15" x14ac:dyDescent="0.3">
      <c r="A192" s="6">
        <v>191</v>
      </c>
      <c r="B192" s="6">
        <v>2015</v>
      </c>
      <c r="C192" s="6">
        <v>11</v>
      </c>
      <c r="D192" s="2">
        <f>geracao_mwh!D192*1000</f>
        <v>645708300.70000494</v>
      </c>
      <c r="E192" s="2">
        <f>geracao_mwh!E192*1000</f>
        <v>1388320579.9999955</v>
      </c>
      <c r="F192" s="2">
        <f>geracao_mwh!F192*1000</f>
        <v>1922110532.9413748</v>
      </c>
      <c r="G192" s="2">
        <f>geracao_mwh!G192*1000</f>
        <v>1633587</v>
      </c>
      <c r="H192" s="2">
        <f>geracao_mwh!H192*1000</f>
        <v>5544442135.0000105</v>
      </c>
      <c r="I192" s="2">
        <f>geracao_mwh!I192*1000</f>
        <v>31887600598.999977</v>
      </c>
      <c r="J192" s="2">
        <f>geracao_mwh!J192*1000</f>
        <v>0</v>
      </c>
      <c r="K192" s="2">
        <f>geracao_mwh!K192*1000</f>
        <v>1424576035.999999</v>
      </c>
      <c r="L192" s="2">
        <f>geracao_mwh!L192*1000</f>
        <v>1037898890.0000001</v>
      </c>
      <c r="M192" s="2">
        <f>geracao_mwh!M192*1000</f>
        <v>288906877.99999923</v>
      </c>
      <c r="N192" s="2">
        <f>geracao_mwh!N192*1000</f>
        <v>0</v>
      </c>
      <c r="O192" s="2">
        <f>geracao_mwh!O192*1000</f>
        <v>625943692.00000763</v>
      </c>
    </row>
    <row r="193" spans="1:15" x14ac:dyDescent="0.3">
      <c r="A193" s="6">
        <v>192</v>
      </c>
      <c r="B193" s="6">
        <v>2015</v>
      </c>
      <c r="C193" s="6">
        <v>12</v>
      </c>
      <c r="D193" s="2">
        <f>geracao_mwh!D193*1000</f>
        <v>461271082.99999768</v>
      </c>
      <c r="E193" s="2">
        <f>geracao_mwh!E193*1000</f>
        <v>1502179430.9999948</v>
      </c>
      <c r="F193" s="2">
        <f>geracao_mwh!F193*1000</f>
        <v>2051324493.9629655</v>
      </c>
      <c r="G193" s="2">
        <f>geracao_mwh!G193*1000</f>
        <v>1485017.9999999974</v>
      </c>
      <c r="H193" s="2">
        <f>geracao_mwh!H193*1000</f>
        <v>5576380814.9999456</v>
      </c>
      <c r="I193" s="2">
        <f>geracao_mwh!I193*1000</f>
        <v>33559347062.999977</v>
      </c>
      <c r="J193" s="2">
        <f>geracao_mwh!J193*1000</f>
        <v>0</v>
      </c>
      <c r="K193" s="2">
        <f>geracao_mwh!K193*1000</f>
        <v>1489977412.9999995</v>
      </c>
      <c r="L193" s="2">
        <f>geracao_mwh!L193*1000</f>
        <v>905506245.00000322</v>
      </c>
      <c r="M193" s="2">
        <f>geracao_mwh!M193*1000</f>
        <v>201492022.00000018</v>
      </c>
      <c r="N193" s="2">
        <f>geracao_mwh!N193*1000</f>
        <v>0</v>
      </c>
      <c r="O193" s="2">
        <f>geracao_mwh!O193*1000</f>
        <v>629716773.00000727</v>
      </c>
    </row>
    <row r="194" spans="1:15" x14ac:dyDescent="0.3">
      <c r="A194" s="6">
        <v>193</v>
      </c>
      <c r="B194" s="6">
        <v>2016</v>
      </c>
      <c r="C194" s="6">
        <v>1</v>
      </c>
      <c r="D194" s="2">
        <f>geracao_mwh!D194*1000</f>
        <v>216255389.60000408</v>
      </c>
      <c r="E194" s="2">
        <f>geracao_mwh!E194*1000</f>
        <v>1274046803.999995</v>
      </c>
      <c r="F194" s="2">
        <f>geracao_mwh!F194*1000</f>
        <v>1271499300.827971</v>
      </c>
      <c r="G194" s="2">
        <f>geracao_mwh!G194*1000</f>
        <v>1268768.0000000016</v>
      </c>
      <c r="H194" s="2">
        <f>geracao_mwh!H194*1000</f>
        <v>5238329621.0000114</v>
      </c>
      <c r="I194" s="2">
        <f>geracao_mwh!I194*1000</f>
        <v>35425595295.800217</v>
      </c>
      <c r="J194" s="2">
        <f>geracao_mwh!J194*1000</f>
        <v>0</v>
      </c>
      <c r="K194" s="2">
        <f>geracao_mwh!K194*1000</f>
        <v>1490637820.0000017</v>
      </c>
      <c r="L194" s="2">
        <f>geracao_mwh!L194*1000</f>
        <v>897860654.99999738</v>
      </c>
      <c r="M194" s="2">
        <f>geracao_mwh!M194*1000</f>
        <v>152178106.99999967</v>
      </c>
      <c r="N194" s="2">
        <f>geracao_mwh!N194*1000</f>
        <v>0</v>
      </c>
      <c r="O194" s="2">
        <f>geracao_mwh!O194*1000</f>
        <v>570663363.00000739</v>
      </c>
    </row>
    <row r="195" spans="1:15" x14ac:dyDescent="0.3">
      <c r="A195" s="6">
        <v>194</v>
      </c>
      <c r="B195" s="6">
        <v>2016</v>
      </c>
      <c r="C195" s="6">
        <v>2</v>
      </c>
      <c r="D195" s="2">
        <f>geracao_mwh!D195*1000</f>
        <v>240410225.00000653</v>
      </c>
      <c r="E195" s="2">
        <f>geracao_mwh!E195*1000</f>
        <v>1278159963.9999971</v>
      </c>
      <c r="F195" s="2">
        <f>geracao_mwh!F195*1000</f>
        <v>1761776302.9999988</v>
      </c>
      <c r="G195" s="2">
        <f>geracao_mwh!G195*1000</f>
        <v>1526057</v>
      </c>
      <c r="H195" s="2">
        <f>geracao_mwh!H195*1000</f>
        <v>4154826296.0000157</v>
      </c>
      <c r="I195" s="2">
        <f>geracao_mwh!I195*1000</f>
        <v>36206865203.900368</v>
      </c>
      <c r="J195" s="2">
        <f>geracao_mwh!J195*1000</f>
        <v>0</v>
      </c>
      <c r="K195" s="2">
        <f>geracao_mwh!K195*1000</f>
        <v>1386644220.0000014</v>
      </c>
      <c r="L195" s="2">
        <f>geracao_mwh!L195*1000</f>
        <v>603050298.3999995</v>
      </c>
      <c r="M195" s="2">
        <f>geracao_mwh!M195*1000</f>
        <v>74033751.000000104</v>
      </c>
      <c r="N195" s="2">
        <f>geracao_mwh!N195*1000</f>
        <v>0</v>
      </c>
      <c r="O195" s="2">
        <f>geracao_mwh!O195*1000</f>
        <v>560948078.2000072</v>
      </c>
    </row>
    <row r="196" spans="1:15" x14ac:dyDescent="0.3">
      <c r="A196" s="6">
        <v>195</v>
      </c>
      <c r="B196" s="6">
        <v>2016</v>
      </c>
      <c r="C196" s="6">
        <v>3</v>
      </c>
      <c r="D196" s="2">
        <f>geracao_mwh!D196*1000</f>
        <v>369991466.99999994</v>
      </c>
      <c r="E196" s="2">
        <f>geracao_mwh!E196*1000</f>
        <v>1495710769</v>
      </c>
      <c r="F196" s="2">
        <f>geracao_mwh!F196*1000</f>
        <v>1915972056.00001</v>
      </c>
      <c r="G196" s="2">
        <f>geracao_mwh!G196*1000</f>
        <v>1669378.0000000016</v>
      </c>
      <c r="H196" s="2">
        <f>geracao_mwh!H196*1000</f>
        <v>3415422623.9999609</v>
      </c>
      <c r="I196" s="2">
        <f>geracao_mwh!I196*1000</f>
        <v>38663992196.199394</v>
      </c>
      <c r="J196" s="2">
        <f>geracao_mwh!J196*1000</f>
        <v>0</v>
      </c>
      <c r="K196" s="2">
        <f>geracao_mwh!K196*1000</f>
        <v>1485586711.9999995</v>
      </c>
      <c r="L196" s="2">
        <f>geracao_mwh!L196*1000</f>
        <v>375051428.9999994</v>
      </c>
      <c r="M196" s="2">
        <f>geracao_mwh!M196*1000</f>
        <v>44711225.999999993</v>
      </c>
      <c r="N196" s="2">
        <f>geracao_mwh!N196*1000</f>
        <v>0</v>
      </c>
      <c r="O196" s="2">
        <f>geracao_mwh!O196*1000</f>
        <v>616578037.40000594</v>
      </c>
    </row>
    <row r="197" spans="1:15" x14ac:dyDescent="0.3">
      <c r="A197" s="6">
        <v>196</v>
      </c>
      <c r="B197" s="6">
        <v>2016</v>
      </c>
      <c r="C197" s="6">
        <v>4</v>
      </c>
      <c r="D197" s="2">
        <f>geracao_mwh!D197*1000</f>
        <v>627869543.00000072</v>
      </c>
      <c r="E197" s="2">
        <f>geracao_mwh!E197*1000</f>
        <v>1398248894.0000002</v>
      </c>
      <c r="F197" s="2">
        <f>geracao_mwh!F197*1000</f>
        <v>2141772709.999979</v>
      </c>
      <c r="G197" s="2">
        <f>geracao_mwh!G197*1000</f>
        <v>916963.99999999965</v>
      </c>
      <c r="H197" s="2">
        <f>geracao_mwh!H197*1000</f>
        <v>3286751972.4999971</v>
      </c>
      <c r="I197" s="2">
        <f>geracao_mwh!I197*1000</f>
        <v>35913948976.799995</v>
      </c>
      <c r="J197" s="2">
        <f>geracao_mwh!J197*1000</f>
        <v>0</v>
      </c>
      <c r="K197" s="2">
        <f>geracao_mwh!K197*1000</f>
        <v>1427650834</v>
      </c>
      <c r="L197" s="2">
        <f>geracao_mwh!L197*1000</f>
        <v>571301015.99999678</v>
      </c>
      <c r="M197" s="2">
        <f>geracao_mwh!M197*1000</f>
        <v>73466657.999999925</v>
      </c>
      <c r="N197" s="2">
        <f>geracao_mwh!N197*1000</f>
        <v>0</v>
      </c>
      <c r="O197" s="2">
        <f>geracao_mwh!O197*1000</f>
        <v>617198685.50000751</v>
      </c>
    </row>
    <row r="198" spans="1:15" x14ac:dyDescent="0.3">
      <c r="A198" s="6">
        <v>197</v>
      </c>
      <c r="B198" s="6">
        <v>2016</v>
      </c>
      <c r="C198" s="6">
        <v>5</v>
      </c>
      <c r="D198" s="2">
        <f>geracao_mwh!D198*1000</f>
        <v>759604378.00000143</v>
      </c>
      <c r="E198" s="2">
        <f>geracao_mwh!E198*1000</f>
        <v>1331887870.0000017</v>
      </c>
      <c r="F198" s="2">
        <f>geracao_mwh!F198*1000</f>
        <v>2245325242.0000315</v>
      </c>
      <c r="G198" s="2">
        <f>geracao_mwh!G198*1000</f>
        <v>1154371.9999999988</v>
      </c>
      <c r="H198" s="2">
        <f>geracao_mwh!H198*1000</f>
        <v>2845471870.0000038</v>
      </c>
      <c r="I198" s="2">
        <f>geracao_mwh!I198*1000</f>
        <v>34366565955.999741</v>
      </c>
      <c r="J198" s="2">
        <f>geracao_mwh!J198*1000</f>
        <v>0</v>
      </c>
      <c r="K198" s="2">
        <f>geracao_mwh!K198*1000</f>
        <v>1495324506.0000002</v>
      </c>
      <c r="L198" s="2">
        <f>geracao_mwh!L198*1000</f>
        <v>300207129.99999946</v>
      </c>
      <c r="M198" s="2">
        <f>geracao_mwh!M198*1000</f>
        <v>111297846.40000021</v>
      </c>
      <c r="N198" s="2">
        <f>geracao_mwh!N198*1000</f>
        <v>0</v>
      </c>
      <c r="O198" s="2">
        <f>geracao_mwh!O198*1000</f>
        <v>710721473.00000966</v>
      </c>
    </row>
    <row r="199" spans="1:15" x14ac:dyDescent="0.3">
      <c r="A199" s="6">
        <v>198</v>
      </c>
      <c r="B199" s="6">
        <v>2016</v>
      </c>
      <c r="C199" s="6">
        <v>6</v>
      </c>
      <c r="D199" s="2">
        <f>geracao_mwh!D199*1000</f>
        <v>801574537.99999988</v>
      </c>
      <c r="E199" s="2">
        <f>geracao_mwh!E199*1000</f>
        <v>1586523208.0000014</v>
      </c>
      <c r="F199" s="2">
        <f>geracao_mwh!F199*1000</f>
        <v>2530658162.0000114</v>
      </c>
      <c r="G199" s="2">
        <f>geracao_mwh!G199*1000</f>
        <v>1101477.9999999995</v>
      </c>
      <c r="H199" s="2">
        <f>geracao_mwh!H199*1000</f>
        <v>3015435036.9999995</v>
      </c>
      <c r="I199" s="2">
        <f>geracao_mwh!I199*1000</f>
        <v>32285005181.000099</v>
      </c>
      <c r="J199" s="2">
        <f>geracao_mwh!J199*1000</f>
        <v>0</v>
      </c>
      <c r="K199" s="2">
        <f>geracao_mwh!K199*1000</f>
        <v>1249249775</v>
      </c>
      <c r="L199" s="2">
        <f>geracao_mwh!L199*1000</f>
        <v>291058040.9999994</v>
      </c>
      <c r="M199" s="2">
        <f>geracao_mwh!M199*1000</f>
        <v>134147294.99999981</v>
      </c>
      <c r="N199" s="2">
        <f>geracao_mwh!N199*1000</f>
        <v>0</v>
      </c>
      <c r="O199" s="2">
        <f>geracao_mwh!O199*1000</f>
        <v>638248093.00000107</v>
      </c>
    </row>
    <row r="200" spans="1:15" x14ac:dyDescent="0.3">
      <c r="A200" s="6">
        <v>199</v>
      </c>
      <c r="B200" s="6">
        <v>2016</v>
      </c>
      <c r="C200" s="6">
        <v>7</v>
      </c>
      <c r="D200" s="2">
        <f>geracao_mwh!D200*1000</f>
        <v>921837715.00000358</v>
      </c>
      <c r="E200" s="2">
        <f>geracao_mwh!E200*1000</f>
        <v>1358793069.0000074</v>
      </c>
      <c r="F200" s="2">
        <f>geracao_mwh!F200*1000</f>
        <v>3098007056.0000172</v>
      </c>
      <c r="G200" s="2">
        <f>geracao_mwh!G200*1000</f>
        <v>1251471.9999999991</v>
      </c>
      <c r="H200" s="2">
        <f>geracao_mwh!H200*1000</f>
        <v>2968751849.9999824</v>
      </c>
      <c r="I200" s="2">
        <f>geracao_mwh!I200*1000</f>
        <v>32915589752.999321</v>
      </c>
      <c r="J200" s="2">
        <f>geracao_mwh!J200*1000</f>
        <v>0</v>
      </c>
      <c r="K200" s="2">
        <f>geracao_mwh!K200*1000</f>
        <v>1143746018.9999993</v>
      </c>
      <c r="L200" s="2">
        <f>geracao_mwh!L200*1000</f>
        <v>155010760.99999878</v>
      </c>
      <c r="M200" s="2">
        <f>geracao_mwh!M200*1000</f>
        <v>152531688.99999997</v>
      </c>
      <c r="N200" s="2">
        <f>geracao_mwh!N200*1000</f>
        <v>0</v>
      </c>
      <c r="O200" s="2">
        <f>geracao_mwh!O200*1000</f>
        <v>747953586.00000966</v>
      </c>
    </row>
    <row r="201" spans="1:15" x14ac:dyDescent="0.3">
      <c r="A201" s="6">
        <v>200</v>
      </c>
      <c r="B201" s="6">
        <v>2016</v>
      </c>
      <c r="C201" s="6">
        <v>8</v>
      </c>
      <c r="D201" s="2">
        <f>geracao_mwh!D201*1000</f>
        <v>873990225.00000298</v>
      </c>
      <c r="E201" s="2">
        <f>geracao_mwh!E201*1000</f>
        <v>1279812979.000001</v>
      </c>
      <c r="F201" s="2">
        <f>geracao_mwh!F201*1000</f>
        <v>3164303125.9999871</v>
      </c>
      <c r="G201" s="2">
        <f>geracao_mwh!G201*1000</f>
        <v>1468046.9999999991</v>
      </c>
      <c r="H201" s="2">
        <f>geracao_mwh!H201*1000</f>
        <v>3825695740.9999943</v>
      </c>
      <c r="I201" s="2">
        <f>geracao_mwh!I201*1000</f>
        <v>32579978777.999458</v>
      </c>
      <c r="J201" s="2">
        <f>geracao_mwh!J201*1000</f>
        <v>0</v>
      </c>
      <c r="K201" s="2">
        <f>geracao_mwh!K201*1000</f>
        <v>1480729266.0000021</v>
      </c>
      <c r="L201" s="2">
        <f>geracao_mwh!L201*1000</f>
        <v>286161297.99999994</v>
      </c>
      <c r="M201" s="2">
        <f>geracao_mwh!M201*1000</f>
        <v>159933843.00000048</v>
      </c>
      <c r="N201" s="2">
        <f>geracao_mwh!N201*1000</f>
        <v>0</v>
      </c>
      <c r="O201" s="2">
        <f>geracao_mwh!O201*1000</f>
        <v>816840409.00001049</v>
      </c>
    </row>
    <row r="202" spans="1:15" x14ac:dyDescent="0.3">
      <c r="A202" s="6">
        <v>201</v>
      </c>
      <c r="B202" s="6">
        <v>2016</v>
      </c>
      <c r="C202" s="6">
        <v>9</v>
      </c>
      <c r="D202" s="2">
        <f>geracao_mwh!D202*1000</f>
        <v>883582389.00000048</v>
      </c>
      <c r="E202" s="2">
        <f>geracao_mwh!E202*1000</f>
        <v>1192659696.9999983</v>
      </c>
      <c r="F202" s="2">
        <f>geracao_mwh!F202*1000</f>
        <v>3326525139.9999886</v>
      </c>
      <c r="G202" s="2">
        <f>geracao_mwh!G202*1000</f>
        <v>1570779.9999999993</v>
      </c>
      <c r="H202" s="2">
        <f>geracao_mwh!H202*1000</f>
        <v>4102696657.9999847</v>
      </c>
      <c r="I202" s="2">
        <f>geracao_mwh!I202*1000</f>
        <v>30946698600.000156</v>
      </c>
      <c r="J202" s="2">
        <f>geracao_mwh!J202*1000</f>
        <v>0</v>
      </c>
      <c r="K202" s="2">
        <f>geracao_mwh!K202*1000</f>
        <v>1453430651.0000002</v>
      </c>
      <c r="L202" s="2">
        <f>geracao_mwh!L202*1000</f>
        <v>424792714.0000003</v>
      </c>
      <c r="M202" s="2">
        <f>geracao_mwh!M202*1000</f>
        <v>147580167.99999982</v>
      </c>
      <c r="N202" s="2">
        <f>geracao_mwh!N202*1000</f>
        <v>0</v>
      </c>
      <c r="O202" s="2">
        <f>geracao_mwh!O202*1000</f>
        <v>871646966.0000037</v>
      </c>
    </row>
    <row r="203" spans="1:15" x14ac:dyDescent="0.3">
      <c r="A203" s="6">
        <v>202</v>
      </c>
      <c r="B203" s="6">
        <v>2016</v>
      </c>
      <c r="C203" s="6">
        <v>10</v>
      </c>
      <c r="D203" s="2">
        <f>geracao_mwh!D203*1000</f>
        <v>839737331.10000312</v>
      </c>
      <c r="E203" s="2">
        <f>geracao_mwh!E203*1000</f>
        <v>1026411754.0000019</v>
      </c>
      <c r="F203" s="2">
        <f>geracao_mwh!F203*1000</f>
        <v>3397267220.9999914</v>
      </c>
      <c r="G203" s="2">
        <f>geracao_mwh!G203*1000</f>
        <v>1643869.9999999979</v>
      </c>
      <c r="H203" s="2">
        <f>geracao_mwh!H203*1000</f>
        <v>4677636599.1999235</v>
      </c>
      <c r="I203" s="2">
        <f>geracao_mwh!I203*1000</f>
        <v>32206834908.999512</v>
      </c>
      <c r="J203" s="2">
        <f>geracao_mwh!J203*1000</f>
        <v>0</v>
      </c>
      <c r="K203" s="2">
        <f>geracao_mwh!K203*1000</f>
        <v>1495237085.0000021</v>
      </c>
      <c r="L203" s="2">
        <f>geracao_mwh!L203*1000</f>
        <v>576253350.00000036</v>
      </c>
      <c r="M203" s="2">
        <f>geracao_mwh!M203*1000</f>
        <v>109170601.99999979</v>
      </c>
      <c r="N203" s="2">
        <f>geracao_mwh!N203*1000</f>
        <v>0</v>
      </c>
      <c r="O203" s="2">
        <f>geracao_mwh!O203*1000</f>
        <v>789849507.0000118</v>
      </c>
    </row>
    <row r="204" spans="1:15" x14ac:dyDescent="0.3">
      <c r="A204" s="6">
        <v>203</v>
      </c>
      <c r="B204" s="6">
        <v>2016</v>
      </c>
      <c r="C204" s="6">
        <v>11</v>
      </c>
      <c r="D204" s="2">
        <f>geracao_mwh!D204*1000</f>
        <v>691711569.60000134</v>
      </c>
      <c r="E204" s="2">
        <f>geracao_mwh!E204*1000</f>
        <v>1320559457.0000048</v>
      </c>
      <c r="F204" s="2">
        <f>geracao_mwh!F204*1000</f>
        <v>3070170899.9999533</v>
      </c>
      <c r="G204" s="2">
        <f>geracao_mwh!G204*1000</f>
        <v>1552932</v>
      </c>
      <c r="H204" s="2">
        <f>geracao_mwh!H204*1000</f>
        <v>4705705336.0000162</v>
      </c>
      <c r="I204" s="2">
        <f>geracao_mwh!I204*1000</f>
        <v>32083386497.999908</v>
      </c>
      <c r="J204" s="2">
        <f>geracao_mwh!J204*1000</f>
        <v>0</v>
      </c>
      <c r="K204" s="2">
        <f>geracao_mwh!K204*1000</f>
        <v>864515682.00000155</v>
      </c>
      <c r="L204" s="2">
        <f>geracao_mwh!L204*1000</f>
        <v>459415966.99999952</v>
      </c>
      <c r="M204" s="2">
        <f>geracao_mwh!M204*1000</f>
        <v>95851349.900000021</v>
      </c>
      <c r="N204" s="2">
        <f>geracao_mwh!N204*1000</f>
        <v>0</v>
      </c>
      <c r="O204" s="2">
        <f>geracao_mwh!O204*1000</f>
        <v>857549995.00001037</v>
      </c>
    </row>
    <row r="205" spans="1:15" x14ac:dyDescent="0.3">
      <c r="A205" s="6">
        <v>204</v>
      </c>
      <c r="B205" s="6">
        <v>2016</v>
      </c>
      <c r="C205" s="6">
        <v>12</v>
      </c>
      <c r="D205" s="2">
        <f>geracao_mwh!D205*1000</f>
        <v>442651157.70000046</v>
      </c>
      <c r="E205" s="2">
        <f>geracao_mwh!E205*1000</f>
        <v>1084583838.9999976</v>
      </c>
      <c r="F205" s="2">
        <f>geracao_mwh!F205*1000</f>
        <v>2808149894.0000033</v>
      </c>
      <c r="G205" s="2">
        <f>geracao_mwh!G205*1000</f>
        <v>1393110.9999999988</v>
      </c>
      <c r="H205" s="2">
        <f>geracao_mwh!H205*1000</f>
        <v>3512475148.9999866</v>
      </c>
      <c r="I205" s="2">
        <f>geracao_mwh!I205*1000</f>
        <v>36408289651.999397</v>
      </c>
      <c r="J205" s="2">
        <f>geracao_mwh!J205*1000</f>
        <v>0</v>
      </c>
      <c r="K205" s="2">
        <f>geracao_mwh!K205*1000</f>
        <v>881850182.99999917</v>
      </c>
      <c r="L205" s="2">
        <f>geracao_mwh!L205*1000</f>
        <v>347957059.99999809</v>
      </c>
      <c r="M205" s="2">
        <f>geracao_mwh!M205*1000</f>
        <v>68585822.99999997</v>
      </c>
      <c r="N205" s="2">
        <f>geracao_mwh!N205*1000</f>
        <v>0</v>
      </c>
      <c r="O205" s="2">
        <f>geracao_mwh!O205*1000</f>
        <v>853644054.00001073</v>
      </c>
    </row>
    <row r="206" spans="1:15" x14ac:dyDescent="0.3">
      <c r="A206" s="6">
        <v>205</v>
      </c>
      <c r="B206" s="6">
        <v>2017</v>
      </c>
      <c r="C206" s="6">
        <v>1</v>
      </c>
      <c r="D206" s="2">
        <f>geracao_mwh!D206*1000</f>
        <v>310281442.10000092</v>
      </c>
      <c r="E206" s="2">
        <f>geracao_mwh!E206*1000</f>
        <v>885632367.99999952</v>
      </c>
      <c r="F206" s="2">
        <f>geracao_mwh!F206*1000</f>
        <v>2653640259.0000129</v>
      </c>
      <c r="G206" s="2">
        <f>geracao_mwh!G206*1000</f>
        <v>1570158.9999999984</v>
      </c>
      <c r="H206" s="2">
        <f>geracao_mwh!H206*1000</f>
        <v>3298953180.000001</v>
      </c>
      <c r="I206" s="2">
        <f>geracao_mwh!I206*1000</f>
        <v>39694679093.99939</v>
      </c>
      <c r="J206" s="2">
        <f>geracao_mwh!J206*1000</f>
        <v>0</v>
      </c>
      <c r="K206" s="2">
        <f>geracao_mwh!K206*1000</f>
        <v>1440333358.9999979</v>
      </c>
      <c r="L206" s="2">
        <f>geracao_mwh!L206*1000</f>
        <v>354184999.99999976</v>
      </c>
      <c r="M206" s="2">
        <f>geracao_mwh!M206*1000</f>
        <v>30958737.999999981</v>
      </c>
      <c r="N206" s="2">
        <f>geracao_mwh!N206*1000</f>
        <v>0</v>
      </c>
      <c r="O206" s="2">
        <f>geracao_mwh!O206*1000</f>
        <v>883407060.00000656</v>
      </c>
    </row>
    <row r="207" spans="1:15" x14ac:dyDescent="0.3">
      <c r="A207" s="6">
        <v>206</v>
      </c>
      <c r="B207" s="6">
        <v>2017</v>
      </c>
      <c r="C207" s="6">
        <v>2</v>
      </c>
      <c r="D207" s="2">
        <f>geracao_mwh!D207*1000</f>
        <v>255800076.99999988</v>
      </c>
      <c r="E207" s="2">
        <f>geracao_mwh!E207*1000</f>
        <v>905462263.99999714</v>
      </c>
      <c r="F207" s="2">
        <f>geracao_mwh!F207*1000</f>
        <v>2046555200.00001</v>
      </c>
      <c r="G207" s="2">
        <f>geracao_mwh!G207*1000</f>
        <v>1355843.9999999988</v>
      </c>
      <c r="H207" s="2">
        <f>geracao_mwh!H207*1000</f>
        <v>2782769280.9999871</v>
      </c>
      <c r="I207" s="2">
        <f>geracao_mwh!I207*1000</f>
        <v>37667837044.999718</v>
      </c>
      <c r="J207" s="2">
        <f>geracao_mwh!J207*1000</f>
        <v>0</v>
      </c>
      <c r="K207" s="2">
        <f>geracao_mwh!K207*1000</f>
        <v>1198019861.0000005</v>
      </c>
      <c r="L207" s="2">
        <f>geracao_mwh!L207*1000</f>
        <v>268789391.59999794</v>
      </c>
      <c r="M207" s="2">
        <f>geracao_mwh!M207*1000</f>
        <v>28719631.000000007</v>
      </c>
      <c r="N207" s="2">
        <f>geracao_mwh!N207*1000</f>
        <v>0</v>
      </c>
      <c r="O207" s="2">
        <f>geracao_mwh!O207*1000</f>
        <v>746068017.99999797</v>
      </c>
    </row>
    <row r="208" spans="1:15" x14ac:dyDescent="0.3">
      <c r="A208" s="6">
        <v>207</v>
      </c>
      <c r="B208" s="6">
        <v>2017</v>
      </c>
      <c r="C208" s="6">
        <v>3</v>
      </c>
      <c r="D208" s="2">
        <f>geracao_mwh!D208*1000</f>
        <v>382885982.00000095</v>
      </c>
      <c r="E208" s="2">
        <f>geracao_mwh!E208*1000</f>
        <v>1255605340.0000026</v>
      </c>
      <c r="F208" s="2">
        <f>geracao_mwh!F208*1000</f>
        <v>1945945576.000006</v>
      </c>
      <c r="G208" s="2">
        <f>geracao_mwh!G208*1000</f>
        <v>1186286.9999999991</v>
      </c>
      <c r="H208" s="2">
        <f>geracao_mwh!H208*1000</f>
        <v>3645238945.9999847</v>
      </c>
      <c r="I208" s="2">
        <f>geracao_mwh!I208*1000</f>
        <v>39999189908.999084</v>
      </c>
      <c r="J208" s="2">
        <f>geracao_mwh!J208*1000</f>
        <v>0</v>
      </c>
      <c r="K208" s="2">
        <f>geracao_mwh!K208*1000</f>
        <v>1321151671</v>
      </c>
      <c r="L208" s="2">
        <f>geracao_mwh!L208*1000</f>
        <v>572005089.99999952</v>
      </c>
      <c r="M208" s="2">
        <f>geracao_mwh!M208*1000</f>
        <v>88450194.000000015</v>
      </c>
      <c r="N208" s="2">
        <f>geracao_mwh!N208*1000</f>
        <v>0</v>
      </c>
      <c r="O208" s="2">
        <f>geracao_mwh!O208*1000</f>
        <v>812423795.00000048</v>
      </c>
    </row>
    <row r="209" spans="1:15" x14ac:dyDescent="0.3">
      <c r="A209" s="6">
        <v>208</v>
      </c>
      <c r="B209" s="6">
        <v>2017</v>
      </c>
      <c r="C209" s="6">
        <v>4</v>
      </c>
      <c r="D209" s="2">
        <f>geracao_mwh!D209*1000</f>
        <v>615953933.00000274</v>
      </c>
      <c r="E209" s="2">
        <f>geracao_mwh!E209*1000</f>
        <v>1168416430.9999974</v>
      </c>
      <c r="F209" s="2">
        <f>geracao_mwh!F209*1000</f>
        <v>2442842046.0000052</v>
      </c>
      <c r="G209" s="2">
        <f>geracao_mwh!G209*1000</f>
        <v>1168763.9999999998</v>
      </c>
      <c r="H209" s="2">
        <f>geracao_mwh!H209*1000</f>
        <v>4250872908.9999943</v>
      </c>
      <c r="I209" s="2">
        <f>geracao_mwh!I209*1000</f>
        <v>33339003077.99971</v>
      </c>
      <c r="J209" s="2">
        <f>geracao_mwh!J209*1000</f>
        <v>0</v>
      </c>
      <c r="K209" s="2">
        <f>geracao_mwh!K209*1000</f>
        <v>1438724012.0000014</v>
      </c>
      <c r="L209" s="2">
        <f>geracao_mwh!L209*1000</f>
        <v>227686775.00000018</v>
      </c>
      <c r="M209" s="2">
        <f>geracao_mwh!M209*1000</f>
        <v>148030252.99999997</v>
      </c>
      <c r="N209" s="2">
        <f>geracao_mwh!N209*1000</f>
        <v>0</v>
      </c>
      <c r="O209" s="2">
        <f>geracao_mwh!O209*1000</f>
        <v>928525042.9999969</v>
      </c>
    </row>
    <row r="210" spans="1:15" x14ac:dyDescent="0.3">
      <c r="A210" s="6">
        <v>209</v>
      </c>
      <c r="B210" s="6">
        <v>2017</v>
      </c>
      <c r="C210" s="6">
        <v>5</v>
      </c>
      <c r="D210" s="2">
        <f>geracao_mwh!D210*1000</f>
        <v>797702510.00000215</v>
      </c>
      <c r="E210" s="2">
        <f>geracao_mwh!E210*1000</f>
        <v>1271849564.9999988</v>
      </c>
      <c r="F210" s="2">
        <f>geracao_mwh!F210*1000</f>
        <v>2617865320.9999785</v>
      </c>
      <c r="G210" s="2">
        <f>geracao_mwh!G210*1000</f>
        <v>5798205.0000000084</v>
      </c>
      <c r="H210" s="2">
        <f>geracao_mwh!H210*1000</f>
        <v>4259515593.8999958</v>
      </c>
      <c r="I210" s="2">
        <f>geracao_mwh!I210*1000</f>
        <v>33303840672.000328</v>
      </c>
      <c r="J210" s="2">
        <f>geracao_mwh!J210*1000</f>
        <v>0</v>
      </c>
      <c r="K210" s="2">
        <f>geracao_mwh!K210*1000</f>
        <v>1417330764</v>
      </c>
      <c r="L210" s="2">
        <f>geracao_mwh!L210*1000</f>
        <v>244637954.99999896</v>
      </c>
      <c r="M210" s="2">
        <f>geracao_mwh!M210*1000</f>
        <v>174774324.99999905</v>
      </c>
      <c r="N210" s="2">
        <f>geracao_mwh!N210*1000</f>
        <v>0</v>
      </c>
      <c r="O210" s="2">
        <f>geracao_mwh!O210*1000</f>
        <v>921154251.99999905</v>
      </c>
    </row>
    <row r="211" spans="1:15" x14ac:dyDescent="0.3">
      <c r="A211" s="6">
        <v>210</v>
      </c>
      <c r="B211" s="6">
        <v>2017</v>
      </c>
      <c r="C211" s="6">
        <v>6</v>
      </c>
      <c r="D211" s="2">
        <f>geracao_mwh!D211*1000</f>
        <v>922094150.99999797</v>
      </c>
      <c r="E211" s="2">
        <f>geracao_mwh!E211*1000</f>
        <v>1042351105.9999993</v>
      </c>
      <c r="F211" s="2">
        <f>geracao_mwh!F211*1000</f>
        <v>3206029594.9999952</v>
      </c>
      <c r="G211" s="2">
        <f>geracao_mwh!G211*1000</f>
        <v>25368946.999999978</v>
      </c>
      <c r="H211" s="2">
        <f>geracao_mwh!H211*1000</f>
        <v>3141772453.9999952</v>
      </c>
      <c r="I211" s="2">
        <f>geracao_mwh!I211*1000</f>
        <v>32076425542.000397</v>
      </c>
      <c r="J211" s="2">
        <f>geracao_mwh!J211*1000</f>
        <v>0</v>
      </c>
      <c r="K211" s="2">
        <f>geracao_mwh!K211*1000</f>
        <v>1258782337</v>
      </c>
      <c r="L211" s="2">
        <f>geracao_mwh!L211*1000</f>
        <v>209463850.99999997</v>
      </c>
      <c r="M211" s="2">
        <f>geracao_mwh!M211*1000</f>
        <v>162276735.00000006</v>
      </c>
      <c r="N211" s="2">
        <f>geracao_mwh!N211*1000</f>
        <v>0</v>
      </c>
      <c r="O211" s="2">
        <f>geracao_mwh!O211*1000</f>
        <v>854216893.00000012</v>
      </c>
    </row>
    <row r="212" spans="1:15" x14ac:dyDescent="0.3">
      <c r="A212" s="6">
        <v>211</v>
      </c>
      <c r="B212" s="6">
        <v>2017</v>
      </c>
      <c r="C212" s="6">
        <v>7</v>
      </c>
      <c r="D212" s="2">
        <f>geracao_mwh!D212*1000</f>
        <v>1099648921.0000048</v>
      </c>
      <c r="E212" s="2">
        <f>geracao_mwh!E212*1000</f>
        <v>1186344260.0000021</v>
      </c>
      <c r="F212" s="2">
        <f>geracao_mwh!F212*1000</f>
        <v>3931844794.0000334</v>
      </c>
      <c r="G212" s="2">
        <f>geracao_mwh!G212*1000</f>
        <v>38936345.999999925</v>
      </c>
      <c r="H212" s="2">
        <f>geracao_mwh!H212*1000</f>
        <v>4907969266.0000019</v>
      </c>
      <c r="I212" s="2">
        <f>geracao_mwh!I212*1000</f>
        <v>29081194435.999107</v>
      </c>
      <c r="J212" s="2">
        <f>geracao_mwh!J212*1000</f>
        <v>0</v>
      </c>
      <c r="K212" s="2">
        <f>geracao_mwh!K212*1000</f>
        <v>1423363295.9999988</v>
      </c>
      <c r="L212" s="2">
        <f>geracao_mwh!L212*1000</f>
        <v>184422130.99999991</v>
      </c>
      <c r="M212" s="2">
        <f>geracao_mwh!M212*1000</f>
        <v>197152638.99999923</v>
      </c>
      <c r="N212" s="2">
        <f>geracao_mwh!N212*1000</f>
        <v>0</v>
      </c>
      <c r="O212" s="2">
        <f>geracao_mwh!O212*1000</f>
        <v>878439087.0000006</v>
      </c>
    </row>
    <row r="213" spans="1:15" x14ac:dyDescent="0.3">
      <c r="A213" s="6">
        <v>212</v>
      </c>
      <c r="B213" s="6">
        <v>2017</v>
      </c>
      <c r="C213" s="6">
        <v>8</v>
      </c>
      <c r="D213" s="2">
        <f>geracao_mwh!D213*1000</f>
        <v>998890730.99999344</v>
      </c>
      <c r="E213" s="2">
        <f>geracao_mwh!E213*1000</f>
        <v>1365853774.0000029</v>
      </c>
      <c r="F213" s="2">
        <f>geracao_mwh!F213*1000</f>
        <v>4171559246.0000243</v>
      </c>
      <c r="G213" s="2">
        <f>geracao_mwh!G213*1000</f>
        <v>51745913.00000006</v>
      </c>
      <c r="H213" s="2">
        <f>geracao_mwh!H213*1000</f>
        <v>6021494476.0000086</v>
      </c>
      <c r="I213" s="2">
        <f>geracao_mwh!I213*1000</f>
        <v>28066921540.000278</v>
      </c>
      <c r="J213" s="2">
        <f>geracao_mwh!J213*1000</f>
        <v>0</v>
      </c>
      <c r="K213" s="2">
        <f>geracao_mwh!K213*1000</f>
        <v>1278483256.9999983</v>
      </c>
      <c r="L213" s="2">
        <f>geracao_mwh!L213*1000</f>
        <v>1121331418.9999914</v>
      </c>
      <c r="M213" s="2">
        <f>geracao_mwh!M213*1000</f>
        <v>332529358.89999986</v>
      </c>
      <c r="N213" s="2">
        <f>geracao_mwh!N213*1000</f>
        <v>0</v>
      </c>
      <c r="O213" s="2">
        <f>geracao_mwh!O213*1000</f>
        <v>861172547.00000072</v>
      </c>
    </row>
    <row r="214" spans="1:15" x14ac:dyDescent="0.3">
      <c r="A214" s="6">
        <v>213</v>
      </c>
      <c r="B214" s="6">
        <v>2017</v>
      </c>
      <c r="C214" s="6">
        <v>9</v>
      </c>
      <c r="D214" s="2">
        <f>geracao_mwh!D214*1000</f>
        <v>1075432174.9999995</v>
      </c>
      <c r="E214" s="2">
        <f>geracao_mwh!E214*1000</f>
        <v>1281611082.0000024</v>
      </c>
      <c r="F214" s="2">
        <f>geracao_mwh!F214*1000</f>
        <v>4822111597.0000067</v>
      </c>
      <c r="G214" s="2">
        <f>geracao_mwh!G214*1000</f>
        <v>66592093.999999955</v>
      </c>
      <c r="H214" s="2">
        <f>geracao_mwh!H214*1000</f>
        <v>5688282940.0000067</v>
      </c>
      <c r="I214" s="2">
        <f>geracao_mwh!I214*1000</f>
        <v>27872051865.000019</v>
      </c>
      <c r="J214" s="2">
        <f>geracao_mwh!J214*1000</f>
        <v>0</v>
      </c>
      <c r="K214" s="2">
        <f>geracao_mwh!K214*1000</f>
        <v>979670199.00000036</v>
      </c>
      <c r="L214" s="2">
        <f>geracao_mwh!L214*1000</f>
        <v>1125612000.799999</v>
      </c>
      <c r="M214" s="2">
        <f>geracao_mwh!M214*1000</f>
        <v>344592815.99999964</v>
      </c>
      <c r="N214" s="2">
        <f>geracao_mwh!N214*1000</f>
        <v>0</v>
      </c>
      <c r="O214" s="2">
        <f>geracao_mwh!O214*1000</f>
        <v>920823280.00000072</v>
      </c>
    </row>
    <row r="215" spans="1:15" x14ac:dyDescent="0.3">
      <c r="A215" s="6">
        <v>214</v>
      </c>
      <c r="B215" s="6">
        <v>2017</v>
      </c>
      <c r="C215" s="6">
        <v>10</v>
      </c>
      <c r="D215" s="2">
        <f>geracao_mwh!D215*1000</f>
        <v>963168567.0000037</v>
      </c>
      <c r="E215" s="2">
        <f>geracao_mwh!E215*1000</f>
        <v>1601205755.0000026</v>
      </c>
      <c r="F215" s="2">
        <f>geracao_mwh!F215*1000</f>
        <v>4665886128.0000057</v>
      </c>
      <c r="G215" s="2">
        <f>geracao_mwh!G215*1000</f>
        <v>136056032.00000018</v>
      </c>
      <c r="H215" s="2">
        <f>geracao_mwh!H215*1000</f>
        <v>6104037309.999999</v>
      </c>
      <c r="I215" s="2">
        <f>geracao_mwh!I215*1000</f>
        <v>29237131407.999371</v>
      </c>
      <c r="J215" s="2">
        <f>geracao_mwh!J215*1000</f>
        <v>0</v>
      </c>
      <c r="K215" s="2">
        <f>geracao_mwh!K215*1000</f>
        <v>1186051030.0000005</v>
      </c>
      <c r="L215" s="2">
        <f>geracao_mwh!L215*1000</f>
        <v>1262494236.0000036</v>
      </c>
      <c r="M215" s="2">
        <f>geracao_mwh!M215*1000</f>
        <v>404327209.99999976</v>
      </c>
      <c r="N215" s="2">
        <f>geracao_mwh!N215*1000</f>
        <v>0</v>
      </c>
      <c r="O215" s="2">
        <f>geracao_mwh!O215*1000</f>
        <v>934155332.00000143</v>
      </c>
    </row>
    <row r="216" spans="1:15" x14ac:dyDescent="0.3">
      <c r="A216" s="6">
        <v>215</v>
      </c>
      <c r="B216" s="6">
        <v>2017</v>
      </c>
      <c r="C216" s="6">
        <v>11</v>
      </c>
      <c r="D216" s="2">
        <f>geracao_mwh!D216*1000</f>
        <v>833199705.99999285</v>
      </c>
      <c r="E216" s="2">
        <f>geracao_mwh!E216*1000</f>
        <v>1545040847.9999986</v>
      </c>
      <c r="F216" s="2">
        <f>geracao_mwh!F216*1000</f>
        <v>3764858496.9999862</v>
      </c>
      <c r="G216" s="2">
        <f>geracao_mwh!G216*1000</f>
        <v>121813146.99999999</v>
      </c>
      <c r="H216" s="2">
        <f>geracao_mwh!H216*1000</f>
        <v>5554281798.9999857</v>
      </c>
      <c r="I216" s="2">
        <f>geracao_mwh!I216*1000</f>
        <v>29620327665.999607</v>
      </c>
      <c r="J216" s="2">
        <f>geracao_mwh!J216*1000</f>
        <v>0</v>
      </c>
      <c r="K216" s="2">
        <f>geracao_mwh!K216*1000</f>
        <v>1443088493.9999986</v>
      </c>
      <c r="L216" s="2">
        <f>geracao_mwh!L216*1000</f>
        <v>790739748.9999975</v>
      </c>
      <c r="M216" s="2">
        <f>geracao_mwh!M216*1000</f>
        <v>260945980.99999943</v>
      </c>
      <c r="N216" s="2">
        <f>geracao_mwh!N216*1000</f>
        <v>0</v>
      </c>
      <c r="O216" s="2">
        <f>geracao_mwh!O216*1000</f>
        <v>897722990.00000417</v>
      </c>
    </row>
    <row r="217" spans="1:15" x14ac:dyDescent="0.3">
      <c r="A217" s="6">
        <v>216</v>
      </c>
      <c r="B217" s="6">
        <v>2017</v>
      </c>
      <c r="C217" s="6">
        <v>12</v>
      </c>
      <c r="D217" s="2">
        <f>geracao_mwh!D217*1000</f>
        <v>546922891.00000095</v>
      </c>
      <c r="E217" s="2">
        <f>geracao_mwh!E217*1000</f>
        <v>1444047860.9999995</v>
      </c>
      <c r="F217" s="2">
        <f>geracao_mwh!F217*1000</f>
        <v>3531331518.0000048</v>
      </c>
      <c r="G217" s="2">
        <f>geracao_mwh!G217*1000</f>
        <v>142918824.00000009</v>
      </c>
      <c r="H217" s="2">
        <f>geracao_mwh!H217*1000</f>
        <v>5119168971.0000277</v>
      </c>
      <c r="I217" s="2">
        <f>geracao_mwh!I217*1000</f>
        <v>34236589252.000137</v>
      </c>
      <c r="J217" s="2">
        <f>geracao_mwh!J217*1000</f>
        <v>0</v>
      </c>
      <c r="K217" s="2">
        <f>geracao_mwh!K217*1000</f>
        <v>1346068493.9999995</v>
      </c>
      <c r="L217" s="2">
        <f>geracao_mwh!L217*1000</f>
        <v>157439278.80000037</v>
      </c>
      <c r="M217" s="2">
        <f>geracao_mwh!M217*1000</f>
        <v>107566911.99999981</v>
      </c>
      <c r="N217" s="2">
        <f>geracao_mwh!N217*1000</f>
        <v>0</v>
      </c>
      <c r="O217" s="2">
        <f>geracao_mwh!O217*1000</f>
        <v>912857318.99999881</v>
      </c>
    </row>
    <row r="218" spans="1:15" x14ac:dyDescent="0.3">
      <c r="A218" s="6">
        <v>217</v>
      </c>
      <c r="B218" s="6">
        <v>2018</v>
      </c>
      <c r="C218" s="6">
        <v>1</v>
      </c>
      <c r="D218" s="2">
        <f>geracao_mwh!D218*1000</f>
        <v>273775638.99999917</v>
      </c>
      <c r="E218" s="2">
        <f>geracao_mwh!E218*1000</f>
        <v>1038377057.0000002</v>
      </c>
      <c r="F218" s="2">
        <f>geracao_mwh!F218*1000</f>
        <v>3268030483.0000267</v>
      </c>
      <c r="G218" s="2">
        <f>geracao_mwh!G218*1000</f>
        <v>164410117</v>
      </c>
      <c r="H218" s="2">
        <f>geracao_mwh!H218*1000</f>
        <v>3798454241.3999925</v>
      </c>
      <c r="I218" s="2">
        <f>geracao_mwh!I218*1000</f>
        <v>38334532868.000183</v>
      </c>
      <c r="J218" s="2">
        <f>geracao_mwh!J218*1000</f>
        <v>0</v>
      </c>
      <c r="K218" s="2">
        <f>geracao_mwh!K218*1000</f>
        <v>1399645754.0000012</v>
      </c>
      <c r="L218" s="2">
        <f>geracao_mwh!L218*1000</f>
        <v>180941490.99999848</v>
      </c>
      <c r="M218" s="2">
        <f>geracao_mwh!M218*1000</f>
        <v>100897620.9999999</v>
      </c>
      <c r="N218" s="2">
        <f>geracao_mwh!N218*1000</f>
        <v>0</v>
      </c>
      <c r="O218" s="2">
        <f>geracao_mwh!O218*1000</f>
        <v>940533433.99999368</v>
      </c>
    </row>
    <row r="219" spans="1:15" x14ac:dyDescent="0.3">
      <c r="A219" s="6">
        <v>218</v>
      </c>
      <c r="B219" s="6">
        <v>2018</v>
      </c>
      <c r="C219" s="6">
        <v>2</v>
      </c>
      <c r="D219" s="2">
        <f>geracao_mwh!D219*1000</f>
        <v>266174240.99999958</v>
      </c>
      <c r="E219" s="2">
        <f>geracao_mwh!E219*1000</f>
        <v>1013561369.0000023</v>
      </c>
      <c r="F219" s="2">
        <f>geracao_mwh!F219*1000</f>
        <v>2041527248.0000093</v>
      </c>
      <c r="G219" s="2">
        <f>geracao_mwh!G219*1000</f>
        <v>147145743.00000015</v>
      </c>
      <c r="H219" s="2">
        <f>geracao_mwh!H219*1000</f>
        <v>3014939624.0000124</v>
      </c>
      <c r="I219" s="2">
        <f>geracao_mwh!I219*1000</f>
        <v>36125593893.000542</v>
      </c>
      <c r="J219" s="2">
        <f>geracao_mwh!J219*1000</f>
        <v>0</v>
      </c>
      <c r="K219" s="2">
        <f>geracao_mwh!K219*1000</f>
        <v>824962287.99999881</v>
      </c>
      <c r="L219" s="2">
        <f>geracao_mwh!L219*1000</f>
        <v>245424508.99999991</v>
      </c>
      <c r="M219" s="2">
        <f>geracao_mwh!M219*1000</f>
        <v>78840941.00000003</v>
      </c>
      <c r="N219" s="2">
        <f>geracao_mwh!N219*1000</f>
        <v>0</v>
      </c>
      <c r="O219" s="2">
        <f>geracao_mwh!O219*1000</f>
        <v>841655221.99999905</v>
      </c>
    </row>
    <row r="220" spans="1:15" x14ac:dyDescent="0.3">
      <c r="A220" s="6">
        <v>219</v>
      </c>
      <c r="B220" s="6">
        <v>2018</v>
      </c>
      <c r="C220" s="6">
        <v>3</v>
      </c>
      <c r="D220" s="2">
        <f>geracao_mwh!D220*1000</f>
        <v>431384782.00000352</v>
      </c>
      <c r="E220" s="2">
        <f>geracao_mwh!E220*1000</f>
        <v>1276595641.9999986</v>
      </c>
      <c r="F220" s="2">
        <f>geracao_mwh!F220*1000</f>
        <v>2168220075.9999938</v>
      </c>
      <c r="G220" s="2">
        <f>geracao_mwh!G220*1000</f>
        <v>184505052.00000033</v>
      </c>
      <c r="H220" s="2">
        <f>geracao_mwh!H220*1000</f>
        <v>3239540248.9999905</v>
      </c>
      <c r="I220" s="2">
        <f>geracao_mwh!I220*1000</f>
        <v>41094961770.999313</v>
      </c>
      <c r="J220" s="2">
        <f>geracao_mwh!J220*1000</f>
        <v>0</v>
      </c>
      <c r="K220" s="2">
        <f>geracao_mwh!K220*1000</f>
        <v>855947827.00000012</v>
      </c>
      <c r="L220" s="2">
        <f>geracao_mwh!L220*1000</f>
        <v>457997434.99999934</v>
      </c>
      <c r="M220" s="2">
        <f>geracao_mwh!M220*1000</f>
        <v>118837290.00000019</v>
      </c>
      <c r="N220" s="2">
        <f>geracao_mwh!N220*1000</f>
        <v>0</v>
      </c>
      <c r="O220" s="2">
        <f>geracao_mwh!O220*1000</f>
        <v>804459104.99999869</v>
      </c>
    </row>
    <row r="221" spans="1:15" x14ac:dyDescent="0.3">
      <c r="A221" s="6">
        <v>220</v>
      </c>
      <c r="B221" s="6">
        <v>2018</v>
      </c>
      <c r="C221" s="6">
        <v>4</v>
      </c>
      <c r="D221" s="2">
        <f>geracao_mwh!D221*1000</f>
        <v>767441366.99999571</v>
      </c>
      <c r="E221" s="2">
        <f>geracao_mwh!E221*1000</f>
        <v>887787692</v>
      </c>
      <c r="F221" s="2">
        <f>geracao_mwh!F221*1000</f>
        <v>2590857609.0000668</v>
      </c>
      <c r="G221" s="2">
        <f>geracao_mwh!G221*1000</f>
        <v>183242541.00000075</v>
      </c>
      <c r="H221" s="2">
        <f>geracao_mwh!H221*1000</f>
        <v>2531537500.9999952</v>
      </c>
      <c r="I221" s="2">
        <f>geracao_mwh!I221*1000</f>
        <v>36488995359.000259</v>
      </c>
      <c r="J221" s="2">
        <f>geracao_mwh!J221*1000</f>
        <v>0</v>
      </c>
      <c r="K221" s="2">
        <f>geracao_mwh!K221*1000</f>
        <v>1423812644.0000014</v>
      </c>
      <c r="L221" s="2">
        <f>geracao_mwh!L221*1000</f>
        <v>209240783.99999967</v>
      </c>
      <c r="M221" s="2">
        <f>geracao_mwh!M221*1000</f>
        <v>119562871.00000019</v>
      </c>
      <c r="N221" s="2">
        <f>geracao_mwh!N221*1000</f>
        <v>0</v>
      </c>
      <c r="O221" s="2">
        <f>geracao_mwh!O221*1000</f>
        <v>809440194.00000691</v>
      </c>
    </row>
    <row r="222" spans="1:15" x14ac:dyDescent="0.3">
      <c r="A222" s="6">
        <v>221</v>
      </c>
      <c r="B222" s="6">
        <v>2018</v>
      </c>
      <c r="C222" s="6">
        <v>5</v>
      </c>
      <c r="D222" s="2">
        <f>geracao_mwh!D222*1000</f>
        <v>861334408.9999851</v>
      </c>
      <c r="E222" s="2">
        <f>geracao_mwh!E222*1000</f>
        <v>982387165.00000143</v>
      </c>
      <c r="F222" s="2">
        <f>geracao_mwh!F222*1000</f>
        <v>3572644939.9999943</v>
      </c>
      <c r="G222" s="2">
        <f>geracao_mwh!G222*1000</f>
        <v>214111315.00000042</v>
      </c>
      <c r="H222" s="2">
        <f>geracao_mwh!H222*1000</f>
        <v>3014974840.0000019</v>
      </c>
      <c r="I222" s="2">
        <f>geracao_mwh!I222*1000</f>
        <v>33466222412.999226</v>
      </c>
      <c r="J222" s="2">
        <f>geracao_mwh!J222*1000</f>
        <v>0</v>
      </c>
      <c r="K222" s="2">
        <f>geracao_mwh!K222*1000</f>
        <v>1494958860.9999974</v>
      </c>
      <c r="L222" s="2">
        <f>geracao_mwh!L222*1000</f>
        <v>40203920.000000022</v>
      </c>
      <c r="M222" s="2">
        <f>geracao_mwh!M222*1000</f>
        <v>129069341.99999987</v>
      </c>
      <c r="N222" s="2">
        <f>geracao_mwh!N222*1000</f>
        <v>0</v>
      </c>
      <c r="O222" s="2">
        <f>geracao_mwh!O222*1000</f>
        <v>827595802.99999797</v>
      </c>
    </row>
    <row r="223" spans="1:15" x14ac:dyDescent="0.3">
      <c r="A223" s="6">
        <v>222</v>
      </c>
      <c r="B223" s="6">
        <v>2018</v>
      </c>
      <c r="C223" s="6">
        <v>6</v>
      </c>
      <c r="D223" s="2">
        <f>geracao_mwh!D223*1000</f>
        <v>1009828212.9999956</v>
      </c>
      <c r="E223" s="2">
        <f>geracao_mwh!E223*1000</f>
        <v>1212139974.9999998</v>
      </c>
      <c r="F223" s="2">
        <f>geracao_mwh!F223*1000</f>
        <v>4159298778.9999871</v>
      </c>
      <c r="G223" s="2">
        <f>geracao_mwh!G223*1000</f>
        <v>214523924.99999976</v>
      </c>
      <c r="H223" s="2">
        <f>geracao_mwh!H223*1000</f>
        <v>4514146904.0000048</v>
      </c>
      <c r="I223" s="2">
        <f>geracao_mwh!I223*1000</f>
        <v>29179700200.000069</v>
      </c>
      <c r="J223" s="2">
        <f>geracao_mwh!J223*1000</f>
        <v>0</v>
      </c>
      <c r="K223" s="2">
        <f>geracao_mwh!K223*1000</f>
        <v>1446429570.9999998</v>
      </c>
      <c r="L223" s="2">
        <f>geracao_mwh!L223*1000</f>
        <v>8622179.9999999981</v>
      </c>
      <c r="M223" s="2">
        <f>geracao_mwh!M223*1000</f>
        <v>202579585.00000009</v>
      </c>
      <c r="N223" s="2">
        <f>geracao_mwh!N223*1000</f>
        <v>0</v>
      </c>
      <c r="O223" s="2">
        <f>geracao_mwh!O223*1000</f>
        <v>880028741.00001144</v>
      </c>
    </row>
    <row r="224" spans="1:15" x14ac:dyDescent="0.3">
      <c r="A224" s="6">
        <v>223</v>
      </c>
      <c r="B224" s="6">
        <v>2018</v>
      </c>
      <c r="C224" s="6">
        <v>7</v>
      </c>
      <c r="D224" s="2">
        <f>geracao_mwh!D224*1000</f>
        <v>1101080535.9999857</v>
      </c>
      <c r="E224" s="2">
        <f>geracao_mwh!E224*1000</f>
        <v>1532540524.000001</v>
      </c>
      <c r="F224" s="2">
        <f>geracao_mwh!F224*1000</f>
        <v>4840415664.9999866</v>
      </c>
      <c r="G224" s="2">
        <f>geracao_mwh!G224*1000</f>
        <v>245409269.99999985</v>
      </c>
      <c r="H224" s="2">
        <f>geracao_mwh!H224*1000</f>
        <v>4897110157.9999332</v>
      </c>
      <c r="I224" s="2">
        <f>geracao_mwh!I224*1000</f>
        <v>28758310317.99995</v>
      </c>
      <c r="J224" s="2">
        <f>geracao_mwh!J224*1000</f>
        <v>0</v>
      </c>
      <c r="K224" s="2">
        <f>geracao_mwh!K224*1000</f>
        <v>1493342801.0000014</v>
      </c>
      <c r="L224" s="2">
        <f>geracao_mwh!L224*1000</f>
        <v>176838280.00000003</v>
      </c>
      <c r="M224" s="2">
        <f>geracao_mwh!M224*1000</f>
        <v>312211756</v>
      </c>
      <c r="N224" s="2">
        <f>geracao_mwh!N224*1000</f>
        <v>0</v>
      </c>
      <c r="O224" s="2">
        <f>geracao_mwh!O224*1000</f>
        <v>908180582.00000131</v>
      </c>
    </row>
    <row r="225" spans="1:15" x14ac:dyDescent="0.3">
      <c r="A225" s="6">
        <v>224</v>
      </c>
      <c r="B225" s="6">
        <v>2018</v>
      </c>
      <c r="C225" s="6">
        <v>8</v>
      </c>
      <c r="D225" s="2">
        <f>geracao_mwh!D225*1000</f>
        <v>997660450.99999225</v>
      </c>
      <c r="E225" s="2">
        <f>geracao_mwh!E225*1000</f>
        <v>1527508253.0000055</v>
      </c>
      <c r="F225" s="2">
        <f>geracao_mwh!F225*1000</f>
        <v>4966604427.0000048</v>
      </c>
      <c r="G225" s="2">
        <f>geracao_mwh!G225*1000</f>
        <v>240317068.99999973</v>
      </c>
      <c r="H225" s="2">
        <f>geracao_mwh!H225*1000</f>
        <v>4352847944.9999304</v>
      </c>
      <c r="I225" s="2">
        <f>geracao_mwh!I225*1000</f>
        <v>28956734865.000107</v>
      </c>
      <c r="J225" s="2">
        <f>geracao_mwh!J225*1000</f>
        <v>0</v>
      </c>
      <c r="K225" s="2">
        <f>geracao_mwh!K225*1000</f>
        <v>1504327708.0000002</v>
      </c>
      <c r="L225" s="2">
        <f>geracao_mwh!L225*1000</f>
        <v>1063502406.9999996</v>
      </c>
      <c r="M225" s="2">
        <f>geracao_mwh!M225*1000</f>
        <v>340220458.0000006</v>
      </c>
      <c r="N225" s="2">
        <f>geracao_mwh!N225*1000</f>
        <v>0</v>
      </c>
      <c r="O225" s="2">
        <f>geracao_mwh!O225*1000</f>
        <v>912851413.00000179</v>
      </c>
    </row>
    <row r="226" spans="1:15" x14ac:dyDescent="0.3">
      <c r="A226" s="6">
        <v>225</v>
      </c>
      <c r="B226" s="6">
        <v>2018</v>
      </c>
      <c r="C226" s="6">
        <v>9</v>
      </c>
      <c r="D226" s="2">
        <f>geracao_mwh!D226*1000</f>
        <v>895225694.00000584</v>
      </c>
      <c r="E226" s="2">
        <f>geracao_mwh!E226*1000</f>
        <v>1202489989.9999998</v>
      </c>
      <c r="F226" s="2">
        <f>geracao_mwh!F226*1000</f>
        <v>5253123885.0000038</v>
      </c>
      <c r="G226" s="2">
        <f>geracao_mwh!G226*1000</f>
        <v>270750600.99999982</v>
      </c>
      <c r="H226" s="2">
        <f>geracao_mwh!H226*1000</f>
        <v>5296354437.000042</v>
      </c>
      <c r="I226" s="2">
        <f>geracao_mwh!I226*1000</f>
        <v>27641604232.999821</v>
      </c>
      <c r="J226" s="2">
        <f>geracao_mwh!J226*1000</f>
        <v>0</v>
      </c>
      <c r="K226" s="2">
        <f>geracao_mwh!K226*1000</f>
        <v>1448836759.0000024</v>
      </c>
      <c r="L226" s="2">
        <f>geracao_mwh!L226*1000</f>
        <v>747152069.99999821</v>
      </c>
      <c r="M226" s="2">
        <f>geracao_mwh!M226*1000</f>
        <v>289249243.00000012</v>
      </c>
      <c r="N226" s="2">
        <f>geracao_mwh!N226*1000</f>
        <v>0</v>
      </c>
      <c r="O226" s="2">
        <f>geracao_mwh!O226*1000</f>
        <v>943248768.00000036</v>
      </c>
    </row>
    <row r="227" spans="1:15" x14ac:dyDescent="0.3">
      <c r="A227" s="6">
        <v>226</v>
      </c>
      <c r="B227" s="6">
        <v>2018</v>
      </c>
      <c r="C227" s="6">
        <v>10</v>
      </c>
      <c r="D227" s="2">
        <f>geracao_mwh!D227*1000</f>
        <v>806709970.99999857</v>
      </c>
      <c r="E227" s="2">
        <f>geracao_mwh!E227*1000</f>
        <v>1108277295.0000017</v>
      </c>
      <c r="F227" s="2">
        <f>geracao_mwh!F227*1000</f>
        <v>4519505591.9999704</v>
      </c>
      <c r="G227" s="2">
        <f>geracao_mwh!G227*1000</f>
        <v>260852930.99999964</v>
      </c>
      <c r="H227" s="2">
        <f>geracao_mwh!H227*1000</f>
        <v>4339413570.0000439</v>
      </c>
      <c r="I227" s="2">
        <f>geracao_mwh!I227*1000</f>
        <v>33567229040.999195</v>
      </c>
      <c r="J227" s="2">
        <f>geracao_mwh!J227*1000</f>
        <v>0</v>
      </c>
      <c r="K227" s="2">
        <f>geracao_mwh!K227*1000</f>
        <v>1407384981.9999993</v>
      </c>
      <c r="L227" s="2">
        <f>geracao_mwh!L227*1000</f>
        <v>174672054.99999982</v>
      </c>
      <c r="M227" s="2">
        <f>geracao_mwh!M227*1000</f>
        <v>148460468.00000024</v>
      </c>
      <c r="N227" s="2">
        <f>geracao_mwh!N227*1000</f>
        <v>0</v>
      </c>
      <c r="O227" s="2">
        <f>geracao_mwh!O227*1000</f>
        <v>871230256.00000036</v>
      </c>
    </row>
    <row r="228" spans="1:15" x14ac:dyDescent="0.3">
      <c r="A228" s="6">
        <v>227</v>
      </c>
      <c r="B228" s="6">
        <v>2018</v>
      </c>
      <c r="C228" s="6">
        <v>11</v>
      </c>
      <c r="D228" s="2">
        <f>geracao_mwh!D228*1000</f>
        <v>710523136.99999988</v>
      </c>
      <c r="E228" s="2">
        <f>geracao_mwh!E228*1000</f>
        <v>416884640.9999994</v>
      </c>
      <c r="F228" s="2">
        <f>geracao_mwh!F228*1000</f>
        <v>4881572415.0000458</v>
      </c>
      <c r="G228" s="2">
        <f>geracao_mwh!G228*1000</f>
        <v>245309113.99999973</v>
      </c>
      <c r="H228" s="2">
        <f>geracao_mwh!H228*1000</f>
        <v>2079822735.0000169</v>
      </c>
      <c r="I228" s="2">
        <f>geracao_mwh!I228*1000</f>
        <v>35501562147.999756</v>
      </c>
      <c r="J228" s="2">
        <f>geracao_mwh!J228*1000</f>
        <v>0</v>
      </c>
      <c r="K228" s="2">
        <f>geracao_mwh!K228*1000</f>
        <v>982467252.99999952</v>
      </c>
      <c r="L228" s="2">
        <f>geracao_mwh!L228*1000</f>
        <v>118247745.99999961</v>
      </c>
      <c r="M228" s="2">
        <f>geracao_mwh!M228*1000</f>
        <v>135047839</v>
      </c>
      <c r="N228" s="2">
        <f>geracao_mwh!N228*1000</f>
        <v>0</v>
      </c>
      <c r="O228" s="2">
        <f>geracao_mwh!O228*1000</f>
        <v>860043522.9999938</v>
      </c>
    </row>
    <row r="229" spans="1:15" x14ac:dyDescent="0.3">
      <c r="A229" s="6">
        <v>228</v>
      </c>
      <c r="B229" s="6">
        <v>2018</v>
      </c>
      <c r="C229" s="6">
        <v>12</v>
      </c>
      <c r="D229" s="2">
        <f>geracao_mwh!D229*1000</f>
        <v>503116459.99999928</v>
      </c>
      <c r="E229" s="2">
        <f>geracao_mwh!E229*1000</f>
        <v>525119080.00000066</v>
      </c>
      <c r="F229" s="2">
        <f>geracao_mwh!F229*1000</f>
        <v>3564527003.0000038</v>
      </c>
      <c r="G229" s="2">
        <f>geracao_mwh!G229*1000</f>
        <v>299494344.99999946</v>
      </c>
      <c r="H229" s="2">
        <f>geracao_mwh!H229*1000</f>
        <v>1704217598</v>
      </c>
      <c r="I229" s="2">
        <f>geracao_mwh!I229*1000</f>
        <v>39289902590.999161</v>
      </c>
      <c r="J229" s="2">
        <f>geracao_mwh!J229*1000</f>
        <v>0</v>
      </c>
      <c r="K229" s="2">
        <f>geracao_mwh!K229*1000</f>
        <v>1391964576.0000005</v>
      </c>
      <c r="L229" s="2">
        <f>geracao_mwh!L229*1000</f>
        <v>234958966.00000003</v>
      </c>
      <c r="M229" s="2">
        <f>geracao_mwh!M229*1000</f>
        <v>162174372.00000021</v>
      </c>
      <c r="N229" s="2">
        <f>geracao_mwh!N229*1000</f>
        <v>0</v>
      </c>
      <c r="O229" s="2">
        <f>geracao_mwh!O229*1000</f>
        <v>861594174.00000548</v>
      </c>
    </row>
    <row r="230" spans="1:15" x14ac:dyDescent="0.3">
      <c r="A230" s="6">
        <v>229</v>
      </c>
      <c r="B230" s="6">
        <v>2019</v>
      </c>
      <c r="C230" s="6">
        <v>1</v>
      </c>
      <c r="D230" s="2">
        <f>geracao_mwh!D230*1000</f>
        <v>259112179.00000048</v>
      </c>
      <c r="E230" s="2">
        <f>geracao_mwh!E230*1000</f>
        <v>447932857.00000095</v>
      </c>
      <c r="F230" s="2">
        <f>geracao_mwh!F230*1000</f>
        <v>4145511273.0000291</v>
      </c>
      <c r="G230" s="2">
        <f>geracao_mwh!G230*1000</f>
        <v>358376127.00000089</v>
      </c>
      <c r="H230" s="2">
        <f>geracao_mwh!H230*1000</f>
        <v>2584958178.9999847</v>
      </c>
      <c r="I230" s="2">
        <f>geracao_mwh!I230*1000</f>
        <v>42639561995.999611</v>
      </c>
      <c r="J230" s="2">
        <f>geracao_mwh!J230*1000</f>
        <v>0</v>
      </c>
      <c r="K230" s="2">
        <f>geracao_mwh!K230*1000</f>
        <v>1417962173.9999981</v>
      </c>
      <c r="L230" s="2">
        <f>geracao_mwh!L230*1000</f>
        <v>124687673.00000019</v>
      </c>
      <c r="M230" s="2">
        <f>geracao_mwh!M230*1000</f>
        <v>96432679.000000209</v>
      </c>
      <c r="N230" s="2">
        <f>geracao_mwh!N230*1000</f>
        <v>0</v>
      </c>
      <c r="O230" s="2">
        <f>geracao_mwh!O230*1000</f>
        <v>825202845.99999917</v>
      </c>
    </row>
    <row r="231" spans="1:15" x14ac:dyDescent="0.3">
      <c r="A231" s="6">
        <v>230</v>
      </c>
      <c r="B231" s="6">
        <v>2019</v>
      </c>
      <c r="C231" s="6">
        <v>2</v>
      </c>
      <c r="D231" s="2">
        <f>geracao_mwh!D231*1000</f>
        <v>269326764.0000006</v>
      </c>
      <c r="E231" s="2">
        <f>geracao_mwh!E231*1000</f>
        <v>906374205.00000072</v>
      </c>
      <c r="F231" s="2">
        <f>geracao_mwh!F231*1000</f>
        <v>2175544734.0000081</v>
      </c>
      <c r="G231" s="2">
        <f>geracao_mwh!G231*1000</f>
        <v>291953926.99999964</v>
      </c>
      <c r="H231" s="2">
        <f>geracao_mwh!H231*1000</f>
        <v>3868918516.000001</v>
      </c>
      <c r="I231" s="2">
        <f>geracao_mwh!I231*1000</f>
        <v>36806011822.999573</v>
      </c>
      <c r="J231" s="2">
        <f>geracao_mwh!J231*1000</f>
        <v>0</v>
      </c>
      <c r="K231" s="2">
        <f>geracao_mwh!K231*1000</f>
        <v>1337455164.9999998</v>
      </c>
      <c r="L231" s="2">
        <f>geracao_mwh!L231*1000</f>
        <v>290347279.00000042</v>
      </c>
      <c r="M231" s="2">
        <f>geracao_mwh!M231*1000</f>
        <v>179494745.99999994</v>
      </c>
      <c r="N231" s="2">
        <f>geracao_mwh!N231*1000</f>
        <v>0</v>
      </c>
      <c r="O231" s="2">
        <f>geracao_mwh!O231*1000</f>
        <v>647869223.00000894</v>
      </c>
    </row>
    <row r="232" spans="1:15" x14ac:dyDescent="0.3">
      <c r="A232" s="6">
        <v>231</v>
      </c>
      <c r="B232" s="6">
        <v>2019</v>
      </c>
      <c r="C232" s="6">
        <v>3</v>
      </c>
      <c r="D232" s="2">
        <f>geracao_mwh!D232*1000</f>
        <v>496925782</v>
      </c>
      <c r="E232" s="2">
        <f>geracao_mwh!E232*1000</f>
        <v>935971538.9999994</v>
      </c>
      <c r="F232" s="2">
        <f>geracao_mwh!F232*1000</f>
        <v>2532265473.2299991</v>
      </c>
      <c r="G232" s="2">
        <f>geracao_mwh!G232*1000</f>
        <v>327382936.9999997</v>
      </c>
      <c r="H232" s="2">
        <f>geracao_mwh!H232*1000</f>
        <v>3039099314.9999876</v>
      </c>
      <c r="I232" s="2">
        <f>geracao_mwh!I232*1000</f>
        <v>39727280953.999176</v>
      </c>
      <c r="J232" s="2">
        <f>geracao_mwh!J232*1000</f>
        <v>0</v>
      </c>
      <c r="K232" s="2">
        <f>geracao_mwh!K232*1000</f>
        <v>1284001682.0000005</v>
      </c>
      <c r="L232" s="2">
        <f>geracao_mwh!L232*1000</f>
        <v>270748736.99999982</v>
      </c>
      <c r="M232" s="2">
        <f>geracao_mwh!M232*1000</f>
        <v>55331152.000000007</v>
      </c>
      <c r="N232" s="2">
        <f>geracao_mwh!N232*1000</f>
        <v>0</v>
      </c>
      <c r="O232" s="2">
        <f>geracao_mwh!O232*1000</f>
        <v>903284775.00000072</v>
      </c>
    </row>
    <row r="233" spans="1:15" x14ac:dyDescent="0.3">
      <c r="A233" s="6">
        <v>232</v>
      </c>
      <c r="B233" s="6">
        <v>2019</v>
      </c>
      <c r="C233" s="6">
        <v>4</v>
      </c>
      <c r="D233" s="2">
        <f>geracao_mwh!D233*1000</f>
        <v>756300216.99999952</v>
      </c>
      <c r="E233" s="2">
        <f>geracao_mwh!E233*1000</f>
        <v>952182620.99999559</v>
      </c>
      <c r="F233" s="2">
        <f>geracao_mwh!F233*1000</f>
        <v>2572866723.0000343</v>
      </c>
      <c r="G233" s="2">
        <f>geracao_mwh!G233*1000</f>
        <v>312906249.99999762</v>
      </c>
      <c r="H233" s="2">
        <f>geracao_mwh!H233*1000</f>
        <v>2261734597.9999967</v>
      </c>
      <c r="I233" s="2">
        <f>geracao_mwh!I233*1000</f>
        <v>37990775552.999695</v>
      </c>
      <c r="J233" s="2">
        <f>geracao_mwh!J233*1000</f>
        <v>0</v>
      </c>
      <c r="K233" s="2">
        <f>geracao_mwh!K233*1000</f>
        <v>1069632239.0000007</v>
      </c>
      <c r="L233" s="2">
        <f>geracao_mwh!L233*1000</f>
        <v>298103582</v>
      </c>
      <c r="M233" s="2">
        <f>geracao_mwh!M233*1000</f>
        <v>55814473.999999903</v>
      </c>
      <c r="N233" s="2">
        <f>geracao_mwh!N233*1000</f>
        <v>0</v>
      </c>
      <c r="O233" s="2">
        <f>geracao_mwh!O233*1000</f>
        <v>847132976.99998641</v>
      </c>
    </row>
    <row r="234" spans="1:15" x14ac:dyDescent="0.3">
      <c r="A234" s="6">
        <v>233</v>
      </c>
      <c r="B234" s="6">
        <v>2019</v>
      </c>
      <c r="C234" s="6">
        <v>5</v>
      </c>
      <c r="D234" s="2">
        <f>geracao_mwh!D234*1000</f>
        <v>1007685241.9999962</v>
      </c>
      <c r="E234" s="2">
        <f>geracao_mwh!E234*1000</f>
        <v>829550542.00000083</v>
      </c>
      <c r="F234" s="2">
        <f>geracao_mwh!F234*1000</f>
        <v>3812161783.0000091</v>
      </c>
      <c r="G234" s="2">
        <f>geracao_mwh!G234*1000</f>
        <v>323412811.00000191</v>
      </c>
      <c r="H234" s="2">
        <f>geracao_mwh!H234*1000</f>
        <v>2173258210.0000124</v>
      </c>
      <c r="I234" s="2">
        <f>geracao_mwh!I234*1000</f>
        <v>36749366995.999641</v>
      </c>
      <c r="J234" s="2">
        <f>geracao_mwh!J234*1000</f>
        <v>0</v>
      </c>
      <c r="K234" s="2">
        <f>geracao_mwh!K234*1000</f>
        <v>772153192.99999964</v>
      </c>
      <c r="L234" s="2">
        <f>geracao_mwh!L234*1000</f>
        <v>171324703.99999991</v>
      </c>
      <c r="M234" s="2">
        <f>geracao_mwh!M234*1000</f>
        <v>64165913.999999955</v>
      </c>
      <c r="N234" s="2">
        <f>geracao_mwh!N234*1000</f>
        <v>0</v>
      </c>
      <c r="O234" s="2">
        <f>geracao_mwh!O234*1000</f>
        <v>818309987.99998426</v>
      </c>
    </row>
    <row r="235" spans="1:15" x14ac:dyDescent="0.3">
      <c r="A235" s="6">
        <v>234</v>
      </c>
      <c r="B235" s="6">
        <v>2019</v>
      </c>
      <c r="C235" s="6">
        <v>6</v>
      </c>
      <c r="D235" s="2">
        <f>geracao_mwh!D235*1000</f>
        <v>1036200329.0000032</v>
      </c>
      <c r="E235" s="2">
        <f>geracao_mwh!E235*1000</f>
        <v>534695230.99999923</v>
      </c>
      <c r="F235" s="2">
        <f>geracao_mwh!F235*1000</f>
        <v>5076147688.9999905</v>
      </c>
      <c r="G235" s="2">
        <f>geracao_mwh!G235*1000</f>
        <v>320548445.99999988</v>
      </c>
      <c r="H235" s="2">
        <f>geracao_mwh!H235*1000</f>
        <v>2340201715.9999933</v>
      </c>
      <c r="I235" s="2">
        <f>geracao_mwh!I235*1000</f>
        <v>31875674767.999561</v>
      </c>
      <c r="J235" s="2">
        <f>geracao_mwh!J235*1000</f>
        <v>0</v>
      </c>
      <c r="K235" s="2">
        <f>geracao_mwh!K235*1000</f>
        <v>1426860252.0000002</v>
      </c>
      <c r="L235" s="2">
        <f>geracao_mwh!L235*1000</f>
        <v>21742779.000000004</v>
      </c>
      <c r="M235" s="2">
        <f>geracao_mwh!M235*1000</f>
        <v>64166678.000000022</v>
      </c>
      <c r="N235" s="2">
        <f>geracao_mwh!N235*1000</f>
        <v>0</v>
      </c>
      <c r="O235" s="2">
        <f>geracao_mwh!O235*1000</f>
        <v>766081940.99999738</v>
      </c>
    </row>
    <row r="236" spans="1:15" x14ac:dyDescent="0.3">
      <c r="A236" s="6">
        <v>235</v>
      </c>
      <c r="B236" s="6">
        <v>2019</v>
      </c>
      <c r="C236" s="6">
        <v>7</v>
      </c>
      <c r="D236" s="2">
        <f>geracao_mwh!D236*1000</f>
        <v>1072766372.9999967</v>
      </c>
      <c r="E236" s="2">
        <f>geracao_mwh!E236*1000</f>
        <v>1541740410.0000064</v>
      </c>
      <c r="F236" s="2">
        <f>geracao_mwh!F236*1000</f>
        <v>5047622055.0000448</v>
      </c>
      <c r="G236" s="2">
        <f>geracao_mwh!G236*1000</f>
        <v>349024850.00000042</v>
      </c>
      <c r="H236" s="2">
        <f>geracao_mwh!H236*1000</f>
        <v>3981426571.0000076</v>
      </c>
      <c r="I236" s="2">
        <f>geracao_mwh!I236*1000</f>
        <v>30074841387.998753</v>
      </c>
      <c r="J236" s="2">
        <f>geracao_mwh!J236*1000</f>
        <v>0</v>
      </c>
      <c r="K236" s="2">
        <f>geracao_mwh!K236*1000</f>
        <v>1489606075.9999986</v>
      </c>
      <c r="L236" s="2">
        <f>geracao_mwh!L236*1000</f>
        <v>29110989.99999984</v>
      </c>
      <c r="M236" s="2">
        <f>geracao_mwh!M236*1000</f>
        <v>53203254.000000015</v>
      </c>
      <c r="N236" s="2">
        <f>geracao_mwh!N236*1000</f>
        <v>0</v>
      </c>
      <c r="O236" s="2">
        <f>geracao_mwh!O236*1000</f>
        <v>607270760.00000167</v>
      </c>
    </row>
    <row r="237" spans="1:15" x14ac:dyDescent="0.3">
      <c r="A237" s="6">
        <v>236</v>
      </c>
      <c r="B237" s="6">
        <v>2019</v>
      </c>
      <c r="C237" s="6">
        <v>8</v>
      </c>
      <c r="D237" s="2">
        <f>geracao_mwh!D237*1000</f>
        <v>1093653790.0000129</v>
      </c>
      <c r="E237" s="2">
        <f>geracao_mwh!E237*1000</f>
        <v>1488017179.9999914</v>
      </c>
      <c r="F237" s="2">
        <f>geracao_mwh!F237*1000</f>
        <v>6287175894.0000029</v>
      </c>
      <c r="G237" s="2">
        <f>geracao_mwh!G237*1000</f>
        <v>395355494.00000077</v>
      </c>
      <c r="H237" s="2">
        <f>geracao_mwh!H237*1000</f>
        <v>5216647360.0000458</v>
      </c>
      <c r="I237" s="2">
        <f>geracao_mwh!I237*1000</f>
        <v>27992113018.998238</v>
      </c>
      <c r="J237" s="2">
        <f>geracao_mwh!J237*1000</f>
        <v>0</v>
      </c>
      <c r="K237" s="2">
        <f>geracao_mwh!K237*1000</f>
        <v>1500407239.0000002</v>
      </c>
      <c r="L237" s="2">
        <f>geracao_mwh!L237*1000</f>
        <v>27781170.999999858</v>
      </c>
      <c r="M237" s="2">
        <f>geracao_mwh!M237*1000</f>
        <v>64505795.999999963</v>
      </c>
      <c r="N237" s="2">
        <f>geracao_mwh!N237*1000</f>
        <v>0</v>
      </c>
      <c r="O237" s="2">
        <f>geracao_mwh!O237*1000</f>
        <v>800160667</v>
      </c>
    </row>
    <row r="238" spans="1:15" x14ac:dyDescent="0.3">
      <c r="A238" s="6">
        <v>237</v>
      </c>
      <c r="B238" s="6">
        <v>2019</v>
      </c>
      <c r="C238" s="6">
        <v>9</v>
      </c>
      <c r="D238" s="2">
        <f>geracao_mwh!D238*1000</f>
        <v>988790473.00000584</v>
      </c>
      <c r="E238" s="2">
        <f>geracao_mwh!E238*1000</f>
        <v>1472342174.0000002</v>
      </c>
      <c r="F238" s="2">
        <f>geracao_mwh!F238*1000</f>
        <v>5808611755.9999714</v>
      </c>
      <c r="G238" s="2">
        <f>geracao_mwh!G238*1000</f>
        <v>422937666</v>
      </c>
      <c r="H238" s="2">
        <f>geracao_mwh!H238*1000</f>
        <v>5110331432.0000143</v>
      </c>
      <c r="I238" s="2">
        <f>geracao_mwh!I238*1000</f>
        <v>29245572601.999527</v>
      </c>
      <c r="J238" s="2">
        <f>geracao_mwh!J238*1000</f>
        <v>0</v>
      </c>
      <c r="K238" s="2">
        <f>geracao_mwh!K238*1000</f>
        <v>1450156914.0000002</v>
      </c>
      <c r="L238" s="2">
        <f>geracao_mwh!L238*1000</f>
        <v>33082248.999999981</v>
      </c>
      <c r="M238" s="2">
        <f>geracao_mwh!M238*1000</f>
        <v>49144217.999999978</v>
      </c>
      <c r="N238" s="2">
        <f>geracao_mwh!N238*1000</f>
        <v>0</v>
      </c>
      <c r="O238" s="2">
        <f>geracao_mwh!O238*1000</f>
        <v>831000623.9999944</v>
      </c>
    </row>
    <row r="239" spans="1:15" x14ac:dyDescent="0.3">
      <c r="A239" s="6">
        <v>238</v>
      </c>
      <c r="B239" s="6">
        <v>2019</v>
      </c>
      <c r="C239" s="6">
        <v>10</v>
      </c>
      <c r="D239" s="2">
        <f>geracao_mwh!D239*1000</f>
        <v>984317777.00001788</v>
      </c>
      <c r="E239" s="2">
        <f>geracao_mwh!E239*1000</f>
        <v>1540441314.9999957</v>
      </c>
      <c r="F239" s="2">
        <f>geracao_mwh!F239*1000</f>
        <v>5904325176.0000591</v>
      </c>
      <c r="G239" s="2">
        <f>geracao_mwh!G239*1000</f>
        <v>435631521.99999905</v>
      </c>
      <c r="H239" s="2">
        <f>geracao_mwh!H239*1000</f>
        <v>5728912706.9999676</v>
      </c>
      <c r="I239" s="2">
        <f>geracao_mwh!I239*1000</f>
        <v>31710778861.999256</v>
      </c>
      <c r="J239" s="2">
        <f>geracao_mwh!J239*1000</f>
        <v>0</v>
      </c>
      <c r="K239" s="2">
        <f>geracao_mwh!K239*1000</f>
        <v>1455352560.9999998</v>
      </c>
      <c r="L239" s="2">
        <f>geracao_mwh!L239*1000</f>
        <v>52969136.000000238</v>
      </c>
      <c r="M239" s="2">
        <f>geracao_mwh!M239*1000</f>
        <v>32949388.000000015</v>
      </c>
      <c r="N239" s="2">
        <f>geracao_mwh!N239*1000</f>
        <v>0</v>
      </c>
      <c r="O239" s="2">
        <f>geracao_mwh!O239*1000</f>
        <v>829286649.00000107</v>
      </c>
    </row>
    <row r="240" spans="1:15" x14ac:dyDescent="0.3">
      <c r="A240" s="6">
        <v>239</v>
      </c>
      <c r="B240" s="6">
        <v>2019</v>
      </c>
      <c r="C240" s="6">
        <v>11</v>
      </c>
      <c r="D240" s="2">
        <f>geracao_mwh!D240*1000</f>
        <v>870089681.00000691</v>
      </c>
      <c r="E240" s="2">
        <f>geracao_mwh!E240*1000</f>
        <v>1623638532.0000038</v>
      </c>
      <c r="F240" s="2">
        <f>geracao_mwh!F240*1000</f>
        <v>5047455508.9999924</v>
      </c>
      <c r="G240" s="2">
        <f>geracao_mwh!G240*1000</f>
        <v>410213994.00000036</v>
      </c>
      <c r="H240" s="2">
        <f>geracao_mwh!H240*1000</f>
        <v>5626199577.9999657</v>
      </c>
      <c r="I240" s="2">
        <f>geracao_mwh!I240*1000</f>
        <v>31038582207.000317</v>
      </c>
      <c r="J240" s="2">
        <f>geracao_mwh!J240*1000</f>
        <v>0</v>
      </c>
      <c r="K240" s="2">
        <f>geracao_mwh!K240*1000</f>
        <v>1445624732</v>
      </c>
      <c r="L240" s="2">
        <f>geracao_mwh!L240*1000</f>
        <v>34898953.99999997</v>
      </c>
      <c r="M240" s="2">
        <f>geracao_mwh!M240*1000</f>
        <v>17092767.000000011</v>
      </c>
      <c r="N240" s="2">
        <f>geracao_mwh!N240*1000</f>
        <v>0</v>
      </c>
      <c r="O240" s="2">
        <f>geracao_mwh!O240*1000</f>
        <v>794001004.00000358</v>
      </c>
    </row>
    <row r="241" spans="1:15" x14ac:dyDescent="0.3">
      <c r="A241" s="6">
        <v>240</v>
      </c>
      <c r="B241" s="6">
        <v>2019</v>
      </c>
      <c r="C241" s="6">
        <v>12</v>
      </c>
      <c r="D241" s="2">
        <f>geracao_mwh!D241*1000</f>
        <v>505005063.9999848</v>
      </c>
      <c r="E241" s="2">
        <f>geracao_mwh!E241*1000</f>
        <v>1691031979.0000043</v>
      </c>
      <c r="F241" s="2">
        <f>geracao_mwh!F241*1000</f>
        <v>4980091896.9999857</v>
      </c>
      <c r="G241" s="2">
        <f>geracao_mwh!G241*1000</f>
        <v>436811143.0000003</v>
      </c>
      <c r="H241" s="2">
        <f>geracao_mwh!H241*1000</f>
        <v>4542306511.9999952</v>
      </c>
      <c r="I241" s="2">
        <f>geracao_mwh!I241*1000</f>
        <v>33890903941.000454</v>
      </c>
      <c r="J241" s="2">
        <f>geracao_mwh!J241*1000</f>
        <v>0</v>
      </c>
      <c r="K241" s="2">
        <f>geracao_mwh!K241*1000</f>
        <v>1479544464.0000017</v>
      </c>
      <c r="L241" s="2">
        <f>geracao_mwh!L241*1000</f>
        <v>42962338.99999994</v>
      </c>
      <c r="M241" s="2">
        <f>geracao_mwh!M241*1000</f>
        <v>18781619.999999985</v>
      </c>
      <c r="N241" s="2">
        <f>geracao_mwh!N241*1000</f>
        <v>0</v>
      </c>
      <c r="O241" s="2">
        <f>geracao_mwh!O241*1000</f>
        <v>843502381.00001156</v>
      </c>
    </row>
    <row r="242" spans="1:15" x14ac:dyDescent="0.3">
      <c r="A242" s="6">
        <v>241</v>
      </c>
      <c r="B242" s="6">
        <v>2020</v>
      </c>
      <c r="C242" s="6">
        <v>1</v>
      </c>
      <c r="D242" s="2">
        <f>geracao_mwh!D242*1000</f>
        <v>349381012.99999231</v>
      </c>
      <c r="E242" s="2">
        <f>geracao_mwh!E242*1000</f>
        <v>1767726092.0000081</v>
      </c>
      <c r="F242" s="2">
        <f>geracao_mwh!F242*1000</f>
        <v>2685623673.0000401</v>
      </c>
      <c r="G242" s="2">
        <f>geracao_mwh!G242*1000</f>
        <v>379341352.0000006</v>
      </c>
      <c r="H242" s="2">
        <f>geracao_mwh!H242*1000</f>
        <v>5656003778.500021</v>
      </c>
      <c r="I242" s="2">
        <f>geracao_mwh!I242*1000</f>
        <v>38002834142.000031</v>
      </c>
      <c r="J242" s="2">
        <f>geracao_mwh!J242*1000</f>
        <v>0</v>
      </c>
      <c r="K242" s="2">
        <f>geracao_mwh!K242*1000</f>
        <v>1158648020.9999998</v>
      </c>
      <c r="L242" s="2">
        <f>geracao_mwh!L242*1000</f>
        <v>43330387.999999963</v>
      </c>
      <c r="M242" s="2">
        <f>geracao_mwh!M242*1000</f>
        <v>17590283.000000007</v>
      </c>
      <c r="N242" s="2">
        <f>geracao_mwh!N242*1000</f>
        <v>0</v>
      </c>
      <c r="O242" s="2">
        <f>geracao_mwh!O242*1000</f>
        <v>910619957.00001252</v>
      </c>
    </row>
    <row r="243" spans="1:15" x14ac:dyDescent="0.3">
      <c r="A243" s="6">
        <v>242</v>
      </c>
      <c r="B243" s="6">
        <v>2020</v>
      </c>
      <c r="C243" s="6">
        <v>2</v>
      </c>
      <c r="D243" s="2">
        <f>geracao_mwh!D243*1000</f>
        <v>318593780.99999762</v>
      </c>
      <c r="E243" s="2">
        <f>geracao_mwh!E243*1000</f>
        <v>1000854527.0000005</v>
      </c>
      <c r="F243" s="2">
        <f>geracao_mwh!F243*1000</f>
        <v>2710305127.0000219</v>
      </c>
      <c r="G243" s="2">
        <f>geracao_mwh!G243*1000</f>
        <v>357365283.99999976</v>
      </c>
      <c r="H243" s="2">
        <f>geracao_mwh!H243*1000</f>
        <v>3349399159.9999762</v>
      </c>
      <c r="I243" s="2">
        <f>geracao_mwh!I243*1000</f>
        <v>38257641984.000206</v>
      </c>
      <c r="J243" s="2">
        <f>geracao_mwh!J243*1000</f>
        <v>0</v>
      </c>
      <c r="K243" s="2">
        <f>geracao_mwh!K243*1000</f>
        <v>948638264.00000095</v>
      </c>
      <c r="L243" s="2">
        <f>geracao_mwh!L243*1000</f>
        <v>30314234.999999888</v>
      </c>
      <c r="M243" s="2">
        <f>geracao_mwh!M243*1000</f>
        <v>16218864.000000006</v>
      </c>
      <c r="N243" s="2">
        <f>geracao_mwh!N243*1000</f>
        <v>0</v>
      </c>
      <c r="O243" s="2">
        <f>geracao_mwh!O243*1000</f>
        <v>893150025.99999857</v>
      </c>
    </row>
    <row r="244" spans="1:15" x14ac:dyDescent="0.3">
      <c r="A244" s="6">
        <v>243</v>
      </c>
      <c r="B244" s="6">
        <v>2020</v>
      </c>
      <c r="C244" s="6">
        <v>3</v>
      </c>
      <c r="D244" s="2">
        <f>geracao_mwh!D244*1000</f>
        <v>475987982.99999523</v>
      </c>
      <c r="E244" s="2">
        <f>geracao_mwh!E244*1000</f>
        <v>643318200.00000012</v>
      </c>
      <c r="F244" s="2">
        <f>geracao_mwh!F244*1000</f>
        <v>2215236919</v>
      </c>
      <c r="G244" s="2">
        <f>geracao_mwh!G244*1000</f>
        <v>419482936.99999875</v>
      </c>
      <c r="H244" s="2">
        <f>geracao_mwh!H244*1000</f>
        <v>2616896527.9999809</v>
      </c>
      <c r="I244" s="2">
        <f>geracao_mwh!I244*1000</f>
        <v>40523657359.00029</v>
      </c>
      <c r="J244" s="2">
        <f>geracao_mwh!J244*1000</f>
        <v>0</v>
      </c>
      <c r="K244" s="2">
        <f>geracao_mwh!K244*1000</f>
        <v>1282120890.9999998</v>
      </c>
      <c r="L244" s="2">
        <f>geracao_mwh!L244*1000</f>
        <v>4176844.9999999986</v>
      </c>
      <c r="M244" s="2">
        <f>geracao_mwh!M244*1000</f>
        <v>80045746.99999997</v>
      </c>
      <c r="N244" s="2">
        <f>geracao_mwh!N244*1000</f>
        <v>0</v>
      </c>
      <c r="O244" s="2">
        <f>geracao_mwh!O244*1000</f>
        <v>926059618.00000024</v>
      </c>
    </row>
    <row r="245" spans="1:15" x14ac:dyDescent="0.3">
      <c r="A245" s="6">
        <v>244</v>
      </c>
      <c r="B245" s="6">
        <v>2020</v>
      </c>
      <c r="C245" s="6">
        <v>4</v>
      </c>
      <c r="D245" s="2">
        <f>geracao_mwh!D245*1000</f>
        <v>833919213.00000691</v>
      </c>
      <c r="E245" s="2">
        <f>geracao_mwh!E245*1000</f>
        <v>202915358.99999943</v>
      </c>
      <c r="F245" s="2">
        <f>geracao_mwh!F245*1000</f>
        <v>3039063066.0000324</v>
      </c>
      <c r="G245" s="2">
        <f>geracao_mwh!G245*1000</f>
        <v>438444341.99999869</v>
      </c>
      <c r="H245" s="2">
        <f>geracao_mwh!H245*1000</f>
        <v>2068551799.0000017</v>
      </c>
      <c r="I245" s="2">
        <f>geracao_mwh!I245*1000</f>
        <v>32258891119.998985</v>
      </c>
      <c r="J245" s="2">
        <f>geracao_mwh!J245*1000</f>
        <v>0</v>
      </c>
      <c r="K245" s="2">
        <f>geracao_mwh!K245*1000</f>
        <v>1358751636.0000007</v>
      </c>
      <c r="L245" s="2">
        <f>geracao_mwh!L245*1000</f>
        <v>7607138.0000000168</v>
      </c>
      <c r="M245" s="2">
        <f>geracao_mwh!M245*1000</f>
        <v>117382133.00000013</v>
      </c>
      <c r="N245" s="2">
        <f>geracao_mwh!N245*1000</f>
        <v>0</v>
      </c>
      <c r="O245" s="2">
        <f>geracao_mwh!O245*1000</f>
        <v>857438219.00000095</v>
      </c>
    </row>
    <row r="246" spans="1:15" x14ac:dyDescent="0.3">
      <c r="A246" s="6">
        <v>245</v>
      </c>
      <c r="B246" s="6">
        <v>2020</v>
      </c>
      <c r="C246" s="6">
        <v>5</v>
      </c>
      <c r="D246" s="2">
        <f>geracao_mwh!D246*1000</f>
        <v>1079309911.0000095</v>
      </c>
      <c r="E246" s="2">
        <f>geracao_mwh!E246*1000</f>
        <v>478775068.00000024</v>
      </c>
      <c r="F246" s="2">
        <f>geracao_mwh!F246*1000</f>
        <v>3764506827.0000033</v>
      </c>
      <c r="G246" s="2">
        <f>geracao_mwh!G246*1000</f>
        <v>442067472.99999899</v>
      </c>
      <c r="H246" s="2">
        <f>geracao_mwh!H246*1000</f>
        <v>1965848872.0000086</v>
      </c>
      <c r="I246" s="2">
        <f>geracao_mwh!I246*1000</f>
        <v>31473563433.999454</v>
      </c>
      <c r="J246" s="2">
        <f>geracao_mwh!J246*1000</f>
        <v>0</v>
      </c>
      <c r="K246" s="2">
        <f>geracao_mwh!K246*1000</f>
        <v>1481693360.0000005</v>
      </c>
      <c r="L246" s="2">
        <f>geracao_mwh!L246*1000</f>
        <v>7707959.0000000065</v>
      </c>
      <c r="M246" s="2">
        <f>geracao_mwh!M246*1000</f>
        <v>72531988.00000003</v>
      </c>
      <c r="N246" s="2">
        <f>geracao_mwh!N246*1000</f>
        <v>0</v>
      </c>
      <c r="O246" s="2">
        <f>geracao_mwh!O246*1000</f>
        <v>876638442.0000174</v>
      </c>
    </row>
    <row r="247" spans="1:15" x14ac:dyDescent="0.3">
      <c r="A247" s="6">
        <v>246</v>
      </c>
      <c r="B247" s="6">
        <v>2020</v>
      </c>
      <c r="C247" s="6">
        <v>6</v>
      </c>
      <c r="D247" s="2">
        <f>geracao_mwh!D247*1000</f>
        <v>1109099068.0000005</v>
      </c>
      <c r="E247" s="2">
        <f>geracao_mwh!E247*1000</f>
        <v>610747007.00000036</v>
      </c>
      <c r="F247" s="2">
        <f>geracao_mwh!F247*1000</f>
        <v>4842815980.0000029</v>
      </c>
      <c r="G247" s="2">
        <f>geracao_mwh!G247*1000</f>
        <v>442659853.9999994</v>
      </c>
      <c r="H247" s="2">
        <f>geracao_mwh!H247*1000</f>
        <v>2399894554.9999895</v>
      </c>
      <c r="I247" s="2">
        <f>geracao_mwh!I247*1000</f>
        <v>30118870358.999973</v>
      </c>
      <c r="J247" s="2">
        <f>geracao_mwh!J247*1000</f>
        <v>0</v>
      </c>
      <c r="K247" s="2">
        <f>geracao_mwh!K247*1000</f>
        <v>1036979601.9999998</v>
      </c>
      <c r="L247" s="2">
        <f>geracao_mwh!L247*1000</f>
        <v>3902036.0000000019</v>
      </c>
      <c r="M247" s="2">
        <f>geracao_mwh!M247*1000</f>
        <v>36406172.999999993</v>
      </c>
      <c r="N247" s="2">
        <f>geracao_mwh!N247*1000</f>
        <v>0</v>
      </c>
      <c r="O247" s="2">
        <f>geracao_mwh!O247*1000</f>
        <v>839866199.99999619</v>
      </c>
    </row>
    <row r="248" spans="1:15" x14ac:dyDescent="0.3">
      <c r="A248" s="6">
        <v>247</v>
      </c>
      <c r="B248" s="6">
        <v>2020</v>
      </c>
      <c r="C248" s="6">
        <v>7</v>
      </c>
      <c r="D248" s="2">
        <f>geracao_mwh!D248*1000</f>
        <v>1181655644.0000012</v>
      </c>
      <c r="E248" s="2">
        <f>geracao_mwh!E248*1000</f>
        <v>507278991.9999994</v>
      </c>
      <c r="F248" s="2">
        <f>geracao_mwh!F248*1000</f>
        <v>5710243925.0000057</v>
      </c>
      <c r="G248" s="2">
        <f>geracao_mwh!G248*1000</f>
        <v>476360399.99999958</v>
      </c>
      <c r="H248" s="2">
        <f>geracao_mwh!H248*1000</f>
        <v>2227369608.0000024</v>
      </c>
      <c r="I248" s="2">
        <f>geracao_mwh!I248*1000</f>
        <v>32694052882.000217</v>
      </c>
      <c r="J248" s="2">
        <f>geracao_mwh!J248*1000</f>
        <v>0</v>
      </c>
      <c r="K248" s="2">
        <f>geracao_mwh!K248*1000</f>
        <v>469185751.9999997</v>
      </c>
      <c r="L248" s="2">
        <f>geracao_mwh!L248*1000</f>
        <v>1290259.9999999998</v>
      </c>
      <c r="M248" s="2">
        <f>geracao_mwh!M248*1000</f>
        <v>45082396.00000006</v>
      </c>
      <c r="N248" s="2">
        <f>geracao_mwh!N248*1000</f>
        <v>0</v>
      </c>
      <c r="O248" s="2">
        <f>geracao_mwh!O248*1000</f>
        <v>871865821.00001252</v>
      </c>
    </row>
    <row r="249" spans="1:15" x14ac:dyDescent="0.3">
      <c r="A249" s="6">
        <v>248</v>
      </c>
      <c r="B249" s="6">
        <v>2020</v>
      </c>
      <c r="C249" s="6">
        <v>8</v>
      </c>
      <c r="D249" s="2">
        <f>geracao_mwh!D249*1000</f>
        <v>1086053277.9999845</v>
      </c>
      <c r="E249" s="2">
        <f>geracao_mwh!E249*1000</f>
        <v>513325499.00000024</v>
      </c>
      <c r="F249" s="2">
        <f>geracao_mwh!F249*1000</f>
        <v>6607650650.999979</v>
      </c>
      <c r="G249" s="2">
        <f>geracao_mwh!G249*1000</f>
        <v>505790458.00000137</v>
      </c>
      <c r="H249" s="2">
        <f>geracao_mwh!H249*1000</f>
        <v>2338104355.0000138</v>
      </c>
      <c r="I249" s="2">
        <f>geracao_mwh!I249*1000</f>
        <v>32195047103.000195</v>
      </c>
      <c r="J249" s="2">
        <f>geracao_mwh!J249*1000</f>
        <v>0</v>
      </c>
      <c r="K249" s="2">
        <f>geracao_mwh!K249*1000</f>
        <v>872388715.00000131</v>
      </c>
      <c r="L249" s="2">
        <f>geracao_mwh!L249*1000</f>
        <v>2492537.0000000005</v>
      </c>
      <c r="M249" s="2">
        <f>geracao_mwh!M249*1000</f>
        <v>42551923.00000003</v>
      </c>
      <c r="N249" s="2">
        <f>geracao_mwh!N249*1000</f>
        <v>0</v>
      </c>
      <c r="O249" s="2">
        <f>geracao_mwh!O249*1000</f>
        <v>958482551.99999452</v>
      </c>
    </row>
    <row r="250" spans="1:15" x14ac:dyDescent="0.3">
      <c r="A250" s="6">
        <v>249</v>
      </c>
      <c r="B250" s="6">
        <v>2020</v>
      </c>
      <c r="C250" s="6">
        <v>9</v>
      </c>
      <c r="D250" s="2">
        <f>geracao_mwh!D250*1000</f>
        <v>1097080848.0000033</v>
      </c>
      <c r="E250" s="2">
        <f>geracao_mwh!E250*1000</f>
        <v>411815608.99999923</v>
      </c>
      <c r="F250" s="2">
        <f>geracao_mwh!F250*1000</f>
        <v>6420482002.9999294</v>
      </c>
      <c r="G250" s="2">
        <f>geracao_mwh!G250*1000</f>
        <v>542795274.00000107</v>
      </c>
      <c r="H250" s="2">
        <f>geracao_mwh!H250*1000</f>
        <v>2143234490.0000052</v>
      </c>
      <c r="I250" s="2">
        <f>geracao_mwh!I250*1000</f>
        <v>34076338096.999527</v>
      </c>
      <c r="J250" s="2">
        <f>geracao_mwh!J250*1000</f>
        <v>0</v>
      </c>
      <c r="K250" s="2">
        <f>geracao_mwh!K250*1000</f>
        <v>1341182799.9999979</v>
      </c>
      <c r="L250" s="2">
        <f>geracao_mwh!L250*1000</f>
        <v>1806300.0000000005</v>
      </c>
      <c r="M250" s="2">
        <f>geracao_mwh!M250*1000</f>
        <v>55302048.000000037</v>
      </c>
      <c r="N250" s="2">
        <f>geracao_mwh!N250*1000</f>
        <v>0</v>
      </c>
      <c r="O250" s="2">
        <f>geracao_mwh!O250*1000</f>
        <v>921977092.00001168</v>
      </c>
    </row>
    <row r="251" spans="1:15" x14ac:dyDescent="0.3">
      <c r="A251" s="6">
        <v>250</v>
      </c>
      <c r="B251" s="6">
        <v>2020</v>
      </c>
      <c r="C251" s="6">
        <v>10</v>
      </c>
      <c r="D251" s="2">
        <f>geracao_mwh!D251*1000</f>
        <v>1067783828.999994</v>
      </c>
      <c r="E251" s="2">
        <f>geracao_mwh!E251*1000</f>
        <v>1489177641.9999967</v>
      </c>
      <c r="F251" s="2">
        <f>geracao_mwh!F251*1000</f>
        <v>5541280422.0000076</v>
      </c>
      <c r="G251" s="2">
        <f>geracao_mwh!G251*1000</f>
        <v>506317303.00000107</v>
      </c>
      <c r="H251" s="2">
        <f>geracao_mwh!H251*1000</f>
        <v>5179543401.9999762</v>
      </c>
      <c r="I251" s="2">
        <f>geracao_mwh!I251*1000</f>
        <v>33198606394.999714</v>
      </c>
      <c r="J251" s="2">
        <f>geracao_mwh!J251*1000</f>
        <v>0</v>
      </c>
      <c r="K251" s="2">
        <f>geracao_mwh!K251*1000</f>
        <v>1381018364.9999993</v>
      </c>
      <c r="L251" s="2">
        <f>geracao_mwh!L251*1000</f>
        <v>328753204.99999958</v>
      </c>
      <c r="M251" s="2">
        <f>geracao_mwh!M251*1000</f>
        <v>176764872.99999988</v>
      </c>
      <c r="N251" s="2">
        <f>geracao_mwh!N251*1000</f>
        <v>0</v>
      </c>
      <c r="O251" s="2">
        <f>geracao_mwh!O251*1000</f>
        <v>899536311.00001228</v>
      </c>
    </row>
    <row r="252" spans="1:15" x14ac:dyDescent="0.3">
      <c r="A252" s="6">
        <v>251</v>
      </c>
      <c r="B252" s="6">
        <v>2020</v>
      </c>
      <c r="C252" s="6">
        <v>11</v>
      </c>
      <c r="D252" s="2">
        <f>geracao_mwh!D252*1000</f>
        <v>901729817.00000024</v>
      </c>
      <c r="E252" s="2">
        <f>geracao_mwh!E252*1000</f>
        <v>1480389708.9999998</v>
      </c>
      <c r="F252" s="2">
        <f>geracao_mwh!F252*1000</f>
        <v>4959528017.000021</v>
      </c>
      <c r="G252" s="2">
        <f>geracao_mwh!G252*1000</f>
        <v>445437181</v>
      </c>
      <c r="H252" s="2">
        <f>geracao_mwh!H252*1000</f>
        <v>6022585320.000001</v>
      </c>
      <c r="I252" s="2">
        <f>geracao_mwh!I252*1000</f>
        <v>29327855676.00008</v>
      </c>
      <c r="J252" s="2">
        <f>geracao_mwh!J252*1000</f>
        <v>0</v>
      </c>
      <c r="K252" s="2">
        <f>geracao_mwh!K252*1000</f>
        <v>1340054740.0000002</v>
      </c>
      <c r="L252" s="2">
        <f>geracao_mwh!L252*1000</f>
        <v>516825978.99999756</v>
      </c>
      <c r="M252" s="2">
        <f>geracao_mwh!M252*1000</f>
        <v>327336888.00000036</v>
      </c>
      <c r="N252" s="2">
        <f>geracao_mwh!N252*1000</f>
        <v>0</v>
      </c>
      <c r="O252" s="2">
        <f>geracao_mwh!O252*1000</f>
        <v>918788366.00000668</v>
      </c>
    </row>
    <row r="253" spans="1:15" x14ac:dyDescent="0.3">
      <c r="A253" s="6">
        <v>252</v>
      </c>
      <c r="B253" s="6">
        <v>2020</v>
      </c>
      <c r="C253" s="6">
        <v>12</v>
      </c>
      <c r="D253" s="2">
        <f>geracao_mwh!D253*1000</f>
        <v>512917292.00000238</v>
      </c>
      <c r="E253" s="2">
        <f>geracao_mwh!E253*1000</f>
        <v>1779262506.0000107</v>
      </c>
      <c r="F253" s="2">
        <f>geracao_mwh!F253*1000</f>
        <v>5414912705.9999714</v>
      </c>
      <c r="G253" s="2">
        <f>geracao_mwh!G253*1000</f>
        <v>457104207.99999893</v>
      </c>
      <c r="H253" s="2">
        <f>geracao_mwh!H253*1000</f>
        <v>6030856577.0000181</v>
      </c>
      <c r="I253" s="2">
        <f>geracao_mwh!I253*1000</f>
        <v>32543576041.999706</v>
      </c>
      <c r="J253" s="2">
        <f>geracao_mwh!J253*1000</f>
        <v>0</v>
      </c>
      <c r="K253" s="2">
        <f>geracao_mwh!K253*1000</f>
        <v>1378191464.0000002</v>
      </c>
      <c r="L253" s="2">
        <f>geracao_mwh!L253*1000</f>
        <v>413256605.00000006</v>
      </c>
      <c r="M253" s="2">
        <f>geracao_mwh!M253*1000</f>
        <v>250930179.99999946</v>
      </c>
      <c r="N253" s="2">
        <f>geracao_mwh!N253*1000</f>
        <v>0</v>
      </c>
      <c r="O253" s="2">
        <f>geracao_mwh!O253*1000</f>
        <v>797861701.00000787</v>
      </c>
    </row>
    <row r="254" spans="1:15" x14ac:dyDescent="0.3">
      <c r="A254" s="6">
        <v>253</v>
      </c>
      <c r="B254" s="6">
        <v>2021</v>
      </c>
      <c r="C254" s="6">
        <v>1</v>
      </c>
      <c r="D254" s="2">
        <f>geracao_mwh!D254*1000</f>
        <v>291538102.00000876</v>
      </c>
      <c r="E254" s="2">
        <f>geracao_mwh!E254*1000</f>
        <v>1601137258.0000067</v>
      </c>
      <c r="F254" s="2">
        <f>geracao_mwh!F254*1000</f>
        <v>5356499290.9999981</v>
      </c>
      <c r="G254" s="2">
        <f>geracao_mwh!G254*1000</f>
        <v>507612563.00000066</v>
      </c>
      <c r="H254" s="2">
        <f>geracao_mwh!H254*1000</f>
        <v>5869750575.9999971</v>
      </c>
      <c r="I254" s="2">
        <f>geracao_mwh!I254*1000</f>
        <v>34376214609.000404</v>
      </c>
      <c r="J254" s="2">
        <f>geracao_mwh!J254*1000</f>
        <v>0</v>
      </c>
      <c r="K254" s="2">
        <f>geracao_mwh!K254*1000</f>
        <v>1375287623.9999974</v>
      </c>
      <c r="L254" s="2">
        <f>geracao_mwh!L254*1000</f>
        <v>718760826.99999857</v>
      </c>
      <c r="M254" s="2">
        <f>geracao_mwh!M254*1000</f>
        <v>291784874.99999928</v>
      </c>
      <c r="N254" s="2">
        <f>geracao_mwh!N254*1000</f>
        <v>0</v>
      </c>
      <c r="O254" s="2">
        <f>geracao_mwh!O254*1000</f>
        <v>955751579.00001264</v>
      </c>
    </row>
    <row r="255" spans="1:15" x14ac:dyDescent="0.3">
      <c r="A255" s="6">
        <v>254</v>
      </c>
      <c r="B255" s="6">
        <v>2021</v>
      </c>
      <c r="C255" s="6">
        <v>2</v>
      </c>
      <c r="D255" s="2">
        <f>geracao_mwh!D255*1000</f>
        <v>236097262.00000864</v>
      </c>
      <c r="E255" s="2">
        <f>geracao_mwh!E255*1000</f>
        <v>1261537145.0000024</v>
      </c>
      <c r="F255" s="2">
        <f>geracao_mwh!F255*1000</f>
        <v>3463660982.0000629</v>
      </c>
      <c r="G255" s="2">
        <f>geracao_mwh!G255*1000</f>
        <v>405105460.99999958</v>
      </c>
      <c r="H255" s="2">
        <f>geracao_mwh!H255*1000</f>
        <v>3837334332.0000181</v>
      </c>
      <c r="I255" s="2">
        <f>geracao_mwh!I255*1000</f>
        <v>34966420591.000061</v>
      </c>
      <c r="J255" s="2">
        <f>geracao_mwh!J255*1000</f>
        <v>0</v>
      </c>
      <c r="K255" s="2">
        <f>geracao_mwh!K255*1000</f>
        <v>1238813369</v>
      </c>
      <c r="L255" s="2">
        <f>geracao_mwh!L255*1000</f>
        <v>241722618.0000003</v>
      </c>
      <c r="M255" s="2">
        <f>geracao_mwh!M255*1000</f>
        <v>98527951.000000119</v>
      </c>
      <c r="N255" s="2">
        <f>geracao_mwh!N255*1000</f>
        <v>0</v>
      </c>
      <c r="O255" s="2">
        <f>geracao_mwh!O255*1000</f>
        <v>906212911.00001585</v>
      </c>
    </row>
    <row r="256" spans="1:15" x14ac:dyDescent="0.3">
      <c r="A256" s="6">
        <v>255</v>
      </c>
      <c r="B256" s="6">
        <v>2021</v>
      </c>
      <c r="C256" s="6">
        <v>3</v>
      </c>
      <c r="D256" s="2">
        <f>geracao_mwh!D256*1000</f>
        <v>240030203.99999881</v>
      </c>
      <c r="E256" s="2">
        <f>geracao_mwh!E256*1000</f>
        <v>779020918.99999988</v>
      </c>
      <c r="F256" s="2">
        <f>geracao_mwh!F256*1000</f>
        <v>4032722018.000001</v>
      </c>
      <c r="G256" s="2">
        <f>geracao_mwh!G256*1000</f>
        <v>634787686.99999797</v>
      </c>
      <c r="H256" s="2">
        <f>geracao_mwh!H256*1000</f>
        <v>4312033887.9999733</v>
      </c>
      <c r="I256" s="2">
        <f>geracao_mwh!I256*1000</f>
        <v>40894459390.999451</v>
      </c>
      <c r="J256" s="2">
        <f>geracao_mwh!J256*1000</f>
        <v>0</v>
      </c>
      <c r="K256" s="2">
        <f>geracao_mwh!K256*1000</f>
        <v>1373720136.0000012</v>
      </c>
      <c r="L256" s="2">
        <f>geracao_mwh!L256*1000</f>
        <v>202762096.00000003</v>
      </c>
      <c r="M256" s="2">
        <f>geracao_mwh!M256*1000</f>
        <v>17098709</v>
      </c>
      <c r="N256" s="2">
        <f>geracao_mwh!N256*1000</f>
        <v>422583176.9999997</v>
      </c>
      <c r="O256" s="2">
        <f>geracao_mwh!O256*1000</f>
        <v>823862170.00000298</v>
      </c>
    </row>
    <row r="257" spans="1:15" x14ac:dyDescent="0.3">
      <c r="A257" s="6">
        <v>256</v>
      </c>
      <c r="B257" s="6">
        <v>2021</v>
      </c>
      <c r="C257" s="6">
        <v>4</v>
      </c>
      <c r="D257" s="2">
        <f>geracao_mwh!D257*1000</f>
        <v>669043333.00000119</v>
      </c>
      <c r="E257" s="2">
        <f>geracao_mwh!E257*1000</f>
        <v>740975609</v>
      </c>
      <c r="F257" s="2">
        <f>geracao_mwh!F257*1000</f>
        <v>4513712215.0000105</v>
      </c>
      <c r="G257" s="2">
        <f>geracao_mwh!G257*1000</f>
        <v>641438998.00000107</v>
      </c>
      <c r="H257" s="2">
        <f>geracao_mwh!H257*1000</f>
        <v>4193699124.0000453</v>
      </c>
      <c r="I257" s="2">
        <f>geracao_mwh!I257*1000</f>
        <v>35332834339.999939</v>
      </c>
      <c r="J257" s="2">
        <f>geracao_mwh!J257*1000</f>
        <v>0</v>
      </c>
      <c r="K257" s="2">
        <f>geracao_mwh!K257*1000</f>
        <v>1110495889.0000005</v>
      </c>
      <c r="L257" s="2">
        <f>geracao_mwh!L257*1000</f>
        <v>162653904.0000003</v>
      </c>
      <c r="M257" s="2">
        <f>geracao_mwh!M257*1000</f>
        <v>136148399.99999991</v>
      </c>
      <c r="N257" s="2">
        <f>geracao_mwh!N257*1000</f>
        <v>710413397.99999988</v>
      </c>
      <c r="O257" s="2">
        <f>geracao_mwh!O257*1000</f>
        <v>769778828.00001085</v>
      </c>
    </row>
    <row r="258" spans="1:15" x14ac:dyDescent="0.3">
      <c r="A258" s="6">
        <v>257</v>
      </c>
      <c r="B258" s="6">
        <v>2021</v>
      </c>
      <c r="C258" s="6">
        <v>5</v>
      </c>
      <c r="D258" s="2">
        <f>geracao_mwh!D258*1000</f>
        <v>954270469.99999559</v>
      </c>
      <c r="E258" s="2">
        <f>geracao_mwh!E258*1000</f>
        <v>1059848267.999999</v>
      </c>
      <c r="F258" s="2">
        <f>geracao_mwh!F258*1000</f>
        <v>5293499685.00002</v>
      </c>
      <c r="G258" s="2">
        <f>geracao_mwh!G258*1000</f>
        <v>700597110.00000143</v>
      </c>
      <c r="H258" s="2">
        <f>geracao_mwh!H258*1000</f>
        <v>4333720242.0000277</v>
      </c>
      <c r="I258" s="2">
        <f>geracao_mwh!I258*1000</f>
        <v>33616530629.999489</v>
      </c>
      <c r="J258" s="2">
        <f>geracao_mwh!J258*1000</f>
        <v>0</v>
      </c>
      <c r="K258" s="2">
        <f>geracao_mwh!K258*1000</f>
        <v>1078741129.999999</v>
      </c>
      <c r="L258" s="2">
        <f>geracao_mwh!L258*1000</f>
        <v>216812173.00000039</v>
      </c>
      <c r="M258" s="2">
        <f>geracao_mwh!M258*1000</f>
        <v>97662392.000000045</v>
      </c>
      <c r="N258" s="2">
        <f>geracao_mwh!N258*1000</f>
        <v>1504832453.999999</v>
      </c>
      <c r="O258" s="2">
        <f>geracao_mwh!O258*1000</f>
        <v>738487286.00000668</v>
      </c>
    </row>
    <row r="259" spans="1:15" x14ac:dyDescent="0.3">
      <c r="A259" s="6">
        <v>258</v>
      </c>
      <c r="B259" s="6">
        <v>2021</v>
      </c>
      <c r="C259" s="6">
        <v>6</v>
      </c>
      <c r="D259" s="2">
        <f>geracao_mwh!D259*1000</f>
        <v>1041493378.9999998</v>
      </c>
      <c r="E259" s="2">
        <f>geracao_mwh!E259*1000</f>
        <v>1583648400.9999981</v>
      </c>
      <c r="F259" s="2">
        <f>geracao_mwh!F259*1000</f>
        <v>5833402723.0000277</v>
      </c>
      <c r="G259" s="2">
        <f>geracao_mwh!G259*1000</f>
        <v>726632596</v>
      </c>
      <c r="H259" s="2">
        <f>geracao_mwh!H259*1000</f>
        <v>5718815510.9999628</v>
      </c>
      <c r="I259" s="2">
        <f>geracao_mwh!I259*1000</f>
        <v>27810533470.999981</v>
      </c>
      <c r="J259" s="2">
        <f>geracao_mwh!J259*1000</f>
        <v>0</v>
      </c>
      <c r="K259" s="2">
        <f>geracao_mwh!K259*1000</f>
        <v>578932389</v>
      </c>
      <c r="L259" s="2">
        <f>geracao_mwh!L259*1000</f>
        <v>1146626982.9999969</v>
      </c>
      <c r="M259" s="2">
        <f>geracao_mwh!M259*1000</f>
        <v>348371495.00000024</v>
      </c>
      <c r="N259" s="2">
        <f>geracao_mwh!N259*1000</f>
        <v>1629685623.9999998</v>
      </c>
      <c r="O259" s="2">
        <f>geracao_mwh!O259*1000</f>
        <v>766286280.99999952</v>
      </c>
    </row>
    <row r="260" spans="1:15" x14ac:dyDescent="0.3">
      <c r="A260" s="6">
        <v>259</v>
      </c>
      <c r="B260" s="6">
        <v>2021</v>
      </c>
      <c r="C260" s="6">
        <v>7</v>
      </c>
      <c r="D260" s="2">
        <f>geracao_mwh!D260*1000</f>
        <v>1203885837.0000024</v>
      </c>
      <c r="E260" s="2">
        <f>geracao_mwh!E260*1000</f>
        <v>1552713177.9999959</v>
      </c>
      <c r="F260" s="2">
        <f>geracao_mwh!F260*1000</f>
        <v>7224245392.0000496</v>
      </c>
      <c r="G260" s="2">
        <f>geracao_mwh!G260*1000</f>
        <v>767360734.00000334</v>
      </c>
      <c r="H260" s="2">
        <f>geracao_mwh!H260*1000</f>
        <v>6788424162.9999075</v>
      </c>
      <c r="I260" s="2">
        <f>geracao_mwh!I260*1000</f>
        <v>25666549925.000122</v>
      </c>
      <c r="J260" s="2">
        <f>geracao_mwh!J260*1000</f>
        <v>0</v>
      </c>
      <c r="K260" s="2">
        <f>geracao_mwh!K260*1000</f>
        <v>788646277.00000012</v>
      </c>
      <c r="L260" s="2">
        <f>geracao_mwh!L260*1000</f>
        <v>1058264808.9999964</v>
      </c>
      <c r="M260" s="2">
        <f>geracao_mwh!M260*1000</f>
        <v>301982410.99999982</v>
      </c>
      <c r="N260" s="2">
        <f>geracao_mwh!N260*1000</f>
        <v>1905426889.999999</v>
      </c>
      <c r="O260" s="2">
        <f>geracao_mwh!O260*1000</f>
        <v>797836991.99999392</v>
      </c>
    </row>
    <row r="261" spans="1:15" x14ac:dyDescent="0.3">
      <c r="A261" s="6">
        <v>260</v>
      </c>
      <c r="B261" s="6">
        <v>2021</v>
      </c>
      <c r="C261" s="6">
        <v>8</v>
      </c>
      <c r="D261" s="2">
        <f>geracao_mwh!D261*1000</f>
        <v>1180637439.9999971</v>
      </c>
      <c r="E261" s="2">
        <f>geracao_mwh!E261*1000</f>
        <v>1810363068</v>
      </c>
      <c r="F261" s="2">
        <f>geracao_mwh!F261*1000</f>
        <v>8203455939.0000553</v>
      </c>
      <c r="G261" s="2">
        <f>geracao_mwh!G261*1000</f>
        <v>814567604</v>
      </c>
      <c r="H261" s="2">
        <f>geracao_mwh!H261*1000</f>
        <v>6872449469.9999809</v>
      </c>
      <c r="I261" s="2">
        <f>geracao_mwh!I261*1000</f>
        <v>24427658680.000031</v>
      </c>
      <c r="J261" s="2">
        <f>geracao_mwh!J261*1000</f>
        <v>0</v>
      </c>
      <c r="K261" s="2">
        <f>geracao_mwh!K261*1000</f>
        <v>1488641624.9999995</v>
      </c>
      <c r="L261" s="2">
        <f>geracao_mwh!L261*1000</f>
        <v>1396732305.9999998</v>
      </c>
      <c r="M261" s="2">
        <f>geracao_mwh!M261*1000</f>
        <v>317936102.99999952</v>
      </c>
      <c r="N261" s="2">
        <f>geracao_mwh!N261*1000</f>
        <v>1906367280.9999986</v>
      </c>
      <c r="O261" s="2">
        <f>geracao_mwh!O261*1000</f>
        <v>767560053.00000024</v>
      </c>
    </row>
    <row r="262" spans="1:15" x14ac:dyDescent="0.3">
      <c r="A262" s="6">
        <v>261</v>
      </c>
      <c r="B262" s="6">
        <v>2021</v>
      </c>
      <c r="C262" s="6">
        <v>9</v>
      </c>
      <c r="D262" s="2">
        <f>geracao_mwh!D262*1000</f>
        <v>1115629492.0000064</v>
      </c>
      <c r="E262" s="2">
        <f>geracao_mwh!E262*1000</f>
        <v>1680310360.9999964</v>
      </c>
      <c r="F262" s="2">
        <f>geracao_mwh!F262*1000</f>
        <v>7918059310.0000172</v>
      </c>
      <c r="G262" s="2">
        <f>geracao_mwh!G262*1000</f>
        <v>961286447.00000167</v>
      </c>
      <c r="H262" s="2">
        <f>geracao_mwh!H262*1000</f>
        <v>6542493671.9999714</v>
      </c>
      <c r="I262" s="2">
        <f>geracao_mwh!I262*1000</f>
        <v>25410031183.999397</v>
      </c>
      <c r="J262" s="2">
        <f>geracao_mwh!J262*1000</f>
        <v>0</v>
      </c>
      <c r="K262" s="2">
        <f>geracao_mwh!K262*1000</f>
        <v>1445740024.999999</v>
      </c>
      <c r="L262" s="2">
        <f>geracao_mwh!L262*1000</f>
        <v>1390315222.0000036</v>
      </c>
      <c r="M262" s="2">
        <f>geracao_mwh!M262*1000</f>
        <v>394673592.99999928</v>
      </c>
      <c r="N262" s="2">
        <f>geracao_mwh!N262*1000</f>
        <v>1775676476.0000014</v>
      </c>
      <c r="O262" s="2">
        <f>geracao_mwh!O262*1000</f>
        <v>685670689.99999619</v>
      </c>
    </row>
    <row r="263" spans="1:15" x14ac:dyDescent="0.3">
      <c r="A263" s="6">
        <v>262</v>
      </c>
      <c r="B263" s="6">
        <v>2021</v>
      </c>
      <c r="C263" s="6">
        <v>10</v>
      </c>
      <c r="D263" s="2">
        <f>geracao_mwh!D263*1000</f>
        <v>365620468.99999988</v>
      </c>
      <c r="E263" s="2">
        <f>geracao_mwh!E263*1000</f>
        <v>1727801704.9999959</v>
      </c>
      <c r="F263" s="2">
        <f>geracao_mwh!F263*1000</f>
        <v>7291714072.9998856</v>
      </c>
      <c r="G263" s="2">
        <f>geracao_mwh!G263*1000</f>
        <v>941361727.09143639</v>
      </c>
      <c r="H263" s="2">
        <f>geracao_mwh!H263*1000</f>
        <v>7643189390.9999733</v>
      </c>
      <c r="I263" s="2">
        <f>geracao_mwh!I263*1000</f>
        <v>25948882364.998848</v>
      </c>
      <c r="J263" s="2">
        <f>geracao_mwh!J263*1000</f>
        <v>0</v>
      </c>
      <c r="K263" s="2">
        <f>geracao_mwh!K263*1000</f>
        <v>1410450877.9999979</v>
      </c>
      <c r="L263" s="2">
        <f>geracao_mwh!L263*1000</f>
        <v>1366504030.0000043</v>
      </c>
      <c r="M263" s="2">
        <f>geracao_mwh!M263*1000</f>
        <v>478244494.0000003</v>
      </c>
      <c r="N263" s="2">
        <f>geracao_mwh!N263*1000</f>
        <v>1597089591.0000002</v>
      </c>
      <c r="O263" s="2">
        <f>geracao_mwh!O263*1000</f>
        <v>544306068.0000006</v>
      </c>
    </row>
    <row r="264" spans="1:15" x14ac:dyDescent="0.3">
      <c r="A264" s="6">
        <v>263</v>
      </c>
      <c r="B264" s="6">
        <v>2021</v>
      </c>
      <c r="C264" s="6">
        <v>11</v>
      </c>
      <c r="D264" s="2">
        <f>geracao_mwh!D264*1000</f>
        <v>608176264.9999975</v>
      </c>
      <c r="E264" s="2">
        <f>geracao_mwh!E264*1000</f>
        <v>1530662331.0000029</v>
      </c>
      <c r="F264" s="2">
        <f>geracao_mwh!F264*1000</f>
        <v>5920985176.0000277</v>
      </c>
      <c r="G264" s="2">
        <f>geracao_mwh!G264*1000</f>
        <v>873503829.00000155</v>
      </c>
      <c r="H264" s="2">
        <f>geracao_mwh!H264*1000</f>
        <v>6928392403.9999981</v>
      </c>
      <c r="I264" s="2">
        <f>geracao_mwh!I264*1000</f>
        <v>29691320421.998741</v>
      </c>
      <c r="J264" s="2">
        <f>geracao_mwh!J264*1000</f>
        <v>0</v>
      </c>
      <c r="K264" s="2">
        <f>geracao_mwh!K264*1000</f>
        <v>1318674630.0000002</v>
      </c>
      <c r="L264" s="2">
        <f>geracao_mwh!L264*1000</f>
        <v>1011303777.0000027</v>
      </c>
      <c r="M264" s="2">
        <f>geracao_mwh!M264*1000</f>
        <v>396850913.00000066</v>
      </c>
      <c r="N264" s="2">
        <f>geracao_mwh!N264*1000</f>
        <v>1071436349.9999982</v>
      </c>
      <c r="O264" s="2">
        <f>geracao_mwh!O264*1000</f>
        <v>699237045.99999702</v>
      </c>
    </row>
    <row r="265" spans="1:15" x14ac:dyDescent="0.3">
      <c r="A265" s="6">
        <v>264</v>
      </c>
      <c r="B265" s="6">
        <v>2021</v>
      </c>
      <c r="C265" s="6">
        <v>12</v>
      </c>
      <c r="D265" s="2">
        <f>geracao_mwh!D265*1000</f>
        <v>262575154.99999449</v>
      </c>
      <c r="E265" s="2">
        <f>geracao_mwh!E265*1000</f>
        <v>1161469629.9999995</v>
      </c>
      <c r="F265" s="2">
        <f>geracao_mwh!F265*1000</f>
        <v>6041040822.499999</v>
      </c>
      <c r="G265" s="2">
        <f>geracao_mwh!G265*1000</f>
        <v>851341630.99999821</v>
      </c>
      <c r="H265" s="2">
        <f>geracao_mwh!H265*1000</f>
        <v>5858974974.9999676</v>
      </c>
      <c r="I265" s="2">
        <f>geracao_mwh!I265*1000</f>
        <v>34653466945.000801</v>
      </c>
      <c r="J265" s="2">
        <f>geracao_mwh!J265*1000</f>
        <v>0</v>
      </c>
      <c r="K265" s="2">
        <f>geracao_mwh!K265*1000</f>
        <v>1487202320.0000024</v>
      </c>
      <c r="L265" s="2">
        <f>geracao_mwh!L265*1000</f>
        <v>325140288.99999905</v>
      </c>
      <c r="M265" s="2">
        <f>geracao_mwh!M265*1000</f>
        <v>280928437.99999976</v>
      </c>
      <c r="N265" s="2">
        <f>geracao_mwh!N265*1000</f>
        <v>569548236.00000095</v>
      </c>
      <c r="O265" s="2">
        <f>geracao_mwh!O265*1000</f>
        <v>685475711.00000119</v>
      </c>
    </row>
    <row r="266" spans="1:15" x14ac:dyDescent="0.3">
      <c r="A266" s="6">
        <v>265</v>
      </c>
      <c r="B266" s="6">
        <v>2022</v>
      </c>
      <c r="C266" s="6">
        <v>1</v>
      </c>
      <c r="D266" s="2">
        <f>geracao_mwh!D266*1000</f>
        <v>192909638.99999946</v>
      </c>
      <c r="E266" s="2">
        <f>geracao_mwh!E266*1000</f>
        <v>696701964.9999994</v>
      </c>
      <c r="F266" s="2">
        <f>geracao_mwh!F266*1000</f>
        <v>4642784924.0000134</v>
      </c>
      <c r="G266" s="2">
        <f>geracao_mwh!G266*1000</f>
        <v>914669769.99999893</v>
      </c>
      <c r="H266" s="2">
        <f>geracao_mwh!H266*1000</f>
        <v>4828564598.9999886</v>
      </c>
      <c r="I266" s="2">
        <f>geracao_mwh!I266*1000</f>
        <v>39192611080.000252</v>
      </c>
      <c r="J266" s="2">
        <f>geracao_mwh!J266*1000</f>
        <v>0</v>
      </c>
      <c r="K266" s="2">
        <f>geracao_mwh!K266*1000</f>
        <v>1484694667.0000007</v>
      </c>
      <c r="L266" s="2">
        <f>geracao_mwh!L266*1000</f>
        <v>129028848.00000003</v>
      </c>
      <c r="M266" s="2">
        <f>geracao_mwh!M266*1000</f>
        <v>340457830.99999964</v>
      </c>
      <c r="N266" s="2">
        <f>geracao_mwh!N266*1000</f>
        <v>422293192</v>
      </c>
      <c r="O266" s="2">
        <f>geracao_mwh!O266*1000</f>
        <v>692734654.99999821</v>
      </c>
    </row>
    <row r="267" spans="1:15" x14ac:dyDescent="0.3">
      <c r="A267" s="6">
        <v>266</v>
      </c>
      <c r="B267" s="6">
        <v>2022</v>
      </c>
      <c r="C267" s="6">
        <v>2</v>
      </c>
      <c r="D267" s="2">
        <f>geracao_mwh!D267*1000</f>
        <v>175717118.99999827</v>
      </c>
      <c r="E267" s="2">
        <f>geracao_mwh!E267*1000</f>
        <v>523149360.00000101</v>
      </c>
      <c r="F267" s="2">
        <f>geracao_mwh!F267*1000</f>
        <v>4525591254.0000219</v>
      </c>
      <c r="G267" s="2">
        <f>geracao_mwh!G267*1000</f>
        <v>887525678.00000238</v>
      </c>
      <c r="H267" s="2">
        <f>geracao_mwh!H267*1000</f>
        <v>2905553310.9999981</v>
      </c>
      <c r="I267" s="2">
        <f>geracao_mwh!I267*1000</f>
        <v>38157459723.999702</v>
      </c>
      <c r="J267" s="2">
        <f>geracao_mwh!J267*1000</f>
        <v>0</v>
      </c>
      <c r="K267" s="2">
        <f>geracao_mwh!K267*1000</f>
        <v>1267475597.0000007</v>
      </c>
      <c r="L267" s="2">
        <f>geracao_mwh!L267*1000</f>
        <v>92739673.000000015</v>
      </c>
      <c r="M267" s="2">
        <f>geracao_mwh!M267*1000</f>
        <v>240658582.00000003</v>
      </c>
      <c r="N267" s="2">
        <f>geracao_mwh!N267*1000</f>
        <v>339087691</v>
      </c>
      <c r="O267" s="2">
        <f>geracao_mwh!O267*1000</f>
        <v>554200602.00000131</v>
      </c>
    </row>
    <row r="268" spans="1:15" x14ac:dyDescent="0.3">
      <c r="A268" s="6">
        <v>267</v>
      </c>
      <c r="B268" s="6">
        <v>2022</v>
      </c>
      <c r="C268" s="6">
        <v>3</v>
      </c>
      <c r="D268" s="2">
        <f>geracao_mwh!D268*1000</f>
        <v>211206840.99999824</v>
      </c>
      <c r="E268" s="2">
        <f>geracao_mwh!E268*1000</f>
        <v>587858737.99999964</v>
      </c>
      <c r="F268" s="2">
        <f>geracao_mwh!F268*1000</f>
        <v>5325963202.0001135</v>
      </c>
      <c r="G268" s="2">
        <f>geracao_mwh!G268*1000</f>
        <v>1033617970.0000036</v>
      </c>
      <c r="H268" s="2">
        <f>geracao_mwh!H268*1000</f>
        <v>2246132460.9999881</v>
      </c>
      <c r="I268" s="2">
        <f>geracao_mwh!I268*1000</f>
        <v>43129554834.001404</v>
      </c>
      <c r="J268" s="2">
        <f>geracao_mwh!J268*1000</f>
        <v>0</v>
      </c>
      <c r="K268" s="2">
        <f>geracao_mwh!K268*1000</f>
        <v>1476862378.0000029</v>
      </c>
      <c r="L268" s="2">
        <f>geracao_mwh!L268*1000</f>
        <v>82137090.999999851</v>
      </c>
      <c r="M268" s="2">
        <f>geracao_mwh!M268*1000</f>
        <v>246993900.99999997</v>
      </c>
      <c r="N268" s="2">
        <f>geracao_mwh!N268*1000</f>
        <v>437007900.99999934</v>
      </c>
      <c r="O268" s="2">
        <f>geracao_mwh!O268*1000</f>
        <v>583922177.99999785</v>
      </c>
    </row>
    <row r="269" spans="1:15" x14ac:dyDescent="0.3">
      <c r="A269" s="6">
        <v>268</v>
      </c>
      <c r="B269" s="6">
        <v>2022</v>
      </c>
      <c r="C269" s="6">
        <v>4</v>
      </c>
      <c r="D269" s="2">
        <f>geracao_mwh!D269*1000</f>
        <v>502784276.00000155</v>
      </c>
      <c r="E269" s="2">
        <f>geracao_mwh!E269*1000</f>
        <v>252316333.00000018</v>
      </c>
      <c r="F269" s="2">
        <f>geracao_mwh!F269*1000</f>
        <v>4965047096.0001659</v>
      </c>
      <c r="G269" s="2">
        <f>geracao_mwh!G269*1000</f>
        <v>1005253060.0000023</v>
      </c>
      <c r="H269" s="2">
        <f>geracao_mwh!H269*1000</f>
        <v>1164275482.9999917</v>
      </c>
      <c r="I269" s="2">
        <f>geracao_mwh!I269*1000</f>
        <v>39309946333.999535</v>
      </c>
      <c r="J269" s="2">
        <f>geracao_mwh!J269*1000</f>
        <v>0</v>
      </c>
      <c r="K269" s="2">
        <f>geracao_mwh!K269*1000</f>
        <v>1437665818.9999979</v>
      </c>
      <c r="L269" s="2">
        <f>geracao_mwh!L269*1000</f>
        <v>78829254.99999997</v>
      </c>
      <c r="M269" s="2">
        <f>geracao_mwh!M269*1000</f>
        <v>145613</v>
      </c>
      <c r="N269" s="2">
        <f>geracao_mwh!N269*1000</f>
        <v>556985475.99999857</v>
      </c>
      <c r="O269" s="2">
        <f>geracao_mwh!O269*1000</f>
        <v>671399876.00000238</v>
      </c>
    </row>
    <row r="270" spans="1:15" x14ac:dyDescent="0.3">
      <c r="A270" s="6">
        <v>269</v>
      </c>
      <c r="B270" s="6">
        <v>2022</v>
      </c>
      <c r="C270" s="6">
        <v>5</v>
      </c>
      <c r="D270" s="2">
        <f>geracao_mwh!D270*1000</f>
        <v>944697218.99999857</v>
      </c>
      <c r="E270" s="2">
        <f>geracao_mwh!E270*1000</f>
        <v>500023706.00000006</v>
      </c>
      <c r="F270" s="2">
        <f>geracao_mwh!F270*1000</f>
        <v>5818921028.4999065</v>
      </c>
      <c r="G270" s="2">
        <f>geracao_mwh!G270*1000</f>
        <v>1004282432.999997</v>
      </c>
      <c r="H270" s="2">
        <f>geracao_mwh!H270*1000</f>
        <v>1138835664.999985</v>
      </c>
      <c r="I270" s="2">
        <f>geracao_mwh!I270*1000</f>
        <v>37250508859.000427</v>
      </c>
      <c r="J270" s="2">
        <f>geracao_mwh!J270*1000</f>
        <v>0</v>
      </c>
      <c r="K270" s="2">
        <f>geracao_mwh!K270*1000</f>
        <v>1441556001.0000002</v>
      </c>
      <c r="L270" s="2">
        <f>geracao_mwh!L270*1000</f>
        <v>44045765.00000003</v>
      </c>
      <c r="M270" s="2">
        <f>geracao_mwh!M270*1000</f>
        <v>10453</v>
      </c>
      <c r="N270" s="2">
        <f>geracao_mwh!N270*1000</f>
        <v>1481114892</v>
      </c>
      <c r="O270" s="2">
        <f>geracao_mwh!O270*1000</f>
        <v>684678469.00000072</v>
      </c>
    </row>
    <row r="271" spans="1:15" x14ac:dyDescent="0.3">
      <c r="A271" s="6">
        <v>270</v>
      </c>
      <c r="B271" s="6">
        <v>2022</v>
      </c>
      <c r="C271" s="6">
        <v>6</v>
      </c>
      <c r="D271" s="2">
        <f>geracao_mwh!D271*1000</f>
        <v>984369574.0000056</v>
      </c>
      <c r="E271" s="2">
        <f>geracao_mwh!E271*1000</f>
        <v>682151996.0000006</v>
      </c>
      <c r="F271" s="2">
        <f>geracao_mwh!F271*1000</f>
        <v>5774772175.0000648</v>
      </c>
      <c r="G271" s="2">
        <f>geracao_mwh!G271*1000</f>
        <v>977980519.99999881</v>
      </c>
      <c r="H271" s="2">
        <f>geracao_mwh!H271*1000</f>
        <v>1761810482.0000057</v>
      </c>
      <c r="I271" s="2">
        <f>geracao_mwh!I271*1000</f>
        <v>34532204953.999474</v>
      </c>
      <c r="J271" s="2">
        <f>geracao_mwh!J271*1000</f>
        <v>0</v>
      </c>
      <c r="K271" s="2">
        <f>geracao_mwh!K271*1000</f>
        <v>741752048.9999994</v>
      </c>
      <c r="L271" s="2">
        <f>geracao_mwh!L271*1000</f>
        <v>34119692.999999955</v>
      </c>
      <c r="M271" s="2">
        <f>geracao_mwh!M271*1000</f>
        <v>0</v>
      </c>
      <c r="N271" s="2">
        <f>geracao_mwh!N271*1000</f>
        <v>1775278447.000001</v>
      </c>
      <c r="O271" s="2">
        <f>geracao_mwh!O271*1000</f>
        <v>719951935.99999952</v>
      </c>
    </row>
    <row r="272" spans="1:15" x14ac:dyDescent="0.3">
      <c r="A272" s="6">
        <v>271</v>
      </c>
      <c r="B272" s="6">
        <v>2022</v>
      </c>
      <c r="C272" s="6">
        <v>7</v>
      </c>
      <c r="D272" s="2">
        <f>geracao_mwh!D272*1000</f>
        <v>1148399888.9999785</v>
      </c>
      <c r="E272" s="2">
        <f>geracao_mwh!E272*1000</f>
        <v>716738338.99999964</v>
      </c>
      <c r="F272" s="2">
        <f>geracao_mwh!F272*1000</f>
        <v>8161031192.000268</v>
      </c>
      <c r="G272" s="2">
        <f>geracao_mwh!G272*1000</f>
        <v>1142322221.0000098</v>
      </c>
      <c r="H272" s="2">
        <f>geracao_mwh!H272*1000</f>
        <v>1519528085.0000076</v>
      </c>
      <c r="I272" s="2">
        <f>geracao_mwh!I272*1000</f>
        <v>33937509350.999035</v>
      </c>
      <c r="J272" s="2">
        <f>geracao_mwh!J272*1000</f>
        <v>0</v>
      </c>
      <c r="K272" s="2">
        <f>geracao_mwh!K272*1000</f>
        <v>635785128.99999928</v>
      </c>
      <c r="L272" s="2">
        <f>geracao_mwh!L272*1000</f>
        <v>42631309.999999903</v>
      </c>
      <c r="M272" s="2">
        <f>geracao_mwh!M272*1000</f>
        <v>0</v>
      </c>
      <c r="N272" s="2">
        <f>geracao_mwh!N272*1000</f>
        <v>1895248883.0000012</v>
      </c>
      <c r="O272" s="2">
        <f>geracao_mwh!O272*1000</f>
        <v>688330462.00000083</v>
      </c>
    </row>
    <row r="273" spans="1:15" x14ac:dyDescent="0.3">
      <c r="A273" s="6">
        <v>272</v>
      </c>
      <c r="B273" s="6">
        <v>2022</v>
      </c>
      <c r="C273" s="6">
        <v>8</v>
      </c>
      <c r="D273" s="2">
        <f>geracao_mwh!D273*1000</f>
        <v>1048038044.9999802</v>
      </c>
      <c r="E273" s="2">
        <f>geracao_mwh!E273*1000</f>
        <v>747688015.99999857</v>
      </c>
      <c r="F273" s="2">
        <f>geracao_mwh!F273*1000</f>
        <v>9153487422.9999142</v>
      </c>
      <c r="G273" s="2">
        <f>geracao_mwh!G273*1000</f>
        <v>1282265160.0000024</v>
      </c>
      <c r="H273" s="2">
        <f>geracao_mwh!H273*1000</f>
        <v>1646443889.9999888</v>
      </c>
      <c r="I273" s="2">
        <f>geracao_mwh!I273*1000</f>
        <v>32596805715.000652</v>
      </c>
      <c r="J273" s="2">
        <f>geracao_mwh!J273*1000</f>
        <v>0</v>
      </c>
      <c r="K273" s="2">
        <f>geracao_mwh!K273*1000</f>
        <v>1182331804.9999993</v>
      </c>
      <c r="L273" s="2">
        <f>geracao_mwh!L273*1000</f>
        <v>48943988.999999993</v>
      </c>
      <c r="M273" s="2">
        <f>geracao_mwh!M273*1000</f>
        <v>0</v>
      </c>
      <c r="N273" s="2">
        <f>geracao_mwh!N273*1000</f>
        <v>1844535489.9999998</v>
      </c>
      <c r="O273" s="2">
        <f>geracao_mwh!O273*1000</f>
        <v>684612127.00000119</v>
      </c>
    </row>
    <row r="274" spans="1:15" x14ac:dyDescent="0.3">
      <c r="A274" s="6">
        <v>273</v>
      </c>
      <c r="B274" s="6">
        <v>2022</v>
      </c>
      <c r="C274" s="6">
        <v>9</v>
      </c>
      <c r="D274" s="2">
        <f>geracao_mwh!D274*1000</f>
        <v>964316371.99998391</v>
      </c>
      <c r="E274" s="2">
        <f>geracao_mwh!E274*1000</f>
        <v>705393356.00000024</v>
      </c>
      <c r="F274" s="2">
        <f>geracao_mwh!F274*1000</f>
        <v>9073832772.0001183</v>
      </c>
      <c r="G274" s="2">
        <f>geracao_mwh!G274*1000</f>
        <v>1374053168.9999869</v>
      </c>
      <c r="H274" s="2">
        <f>geracao_mwh!H274*1000</f>
        <v>1666511682.0000141</v>
      </c>
      <c r="I274" s="2">
        <f>geracao_mwh!I274*1000</f>
        <v>31762733837.99992</v>
      </c>
      <c r="J274" s="2">
        <f>geracao_mwh!J274*1000</f>
        <v>0</v>
      </c>
      <c r="K274" s="2">
        <f>geracao_mwh!K274*1000</f>
        <v>1103195027.0000007</v>
      </c>
      <c r="L274" s="2">
        <f>geracao_mwh!L274*1000</f>
        <v>67056514.999999925</v>
      </c>
      <c r="M274" s="2">
        <f>geracao_mwh!M274*1000</f>
        <v>0</v>
      </c>
      <c r="N274" s="2">
        <f>geracao_mwh!N274*1000</f>
        <v>1800759037.0000002</v>
      </c>
      <c r="O274" s="2">
        <f>geracao_mwh!O274*1000</f>
        <v>669117051.99999642</v>
      </c>
    </row>
    <row r="275" spans="1:15" x14ac:dyDescent="0.3">
      <c r="A275" s="6">
        <v>274</v>
      </c>
      <c r="B275" s="6">
        <v>2022</v>
      </c>
      <c r="C275" s="6">
        <v>10</v>
      </c>
      <c r="D275" s="2">
        <f>geracao_mwh!D275*1000</f>
        <v>822476554.99999452</v>
      </c>
      <c r="E275" s="2">
        <f>geracao_mwh!E275*1000</f>
        <v>675967029.00000072</v>
      </c>
      <c r="F275" s="2">
        <f>geracao_mwh!F275*1000</f>
        <v>9549743300.0001507</v>
      </c>
      <c r="G275" s="2">
        <f>geracao_mwh!G275*1000</f>
        <v>1493053644.9999776</v>
      </c>
      <c r="H275" s="2">
        <f>geracao_mwh!H275*1000</f>
        <v>1779017163.9999957</v>
      </c>
      <c r="I275" s="2">
        <f>geracao_mwh!I275*1000</f>
        <v>33169743143.999733</v>
      </c>
      <c r="J275" s="2">
        <f>geracao_mwh!J275*1000</f>
        <v>0</v>
      </c>
      <c r="K275" s="2">
        <f>geracao_mwh!K275*1000</f>
        <v>1493123887.9999995</v>
      </c>
      <c r="L275" s="2">
        <f>geracao_mwh!L275*1000</f>
        <v>57649365.999999978</v>
      </c>
      <c r="M275" s="2">
        <f>geracao_mwh!M275*1000</f>
        <v>0</v>
      </c>
      <c r="N275" s="2">
        <f>geracao_mwh!N275*1000</f>
        <v>1591779298.000001</v>
      </c>
      <c r="O275" s="2">
        <f>geracao_mwh!O275*1000</f>
        <v>675210893.00000012</v>
      </c>
    </row>
    <row r="276" spans="1:15" x14ac:dyDescent="0.3">
      <c r="A276" s="6">
        <v>275</v>
      </c>
      <c r="B276" s="6">
        <v>2022</v>
      </c>
      <c r="C276" s="6">
        <v>11</v>
      </c>
      <c r="D276" s="2">
        <f>geracao_mwh!D276*1000</f>
        <v>672106051.99999547</v>
      </c>
      <c r="E276" s="2">
        <f>geracao_mwh!E276*1000</f>
        <v>597657031.00000012</v>
      </c>
      <c r="F276" s="2">
        <f>geracao_mwh!F276*1000</f>
        <v>6117196763.0000782</v>
      </c>
      <c r="G276" s="2">
        <f>geracao_mwh!G276*1000</f>
        <v>1249786513.0000107</v>
      </c>
      <c r="H276" s="2">
        <f>geracao_mwh!H276*1000</f>
        <v>1717699080.9999952</v>
      </c>
      <c r="I276" s="2">
        <f>geracao_mwh!I276*1000</f>
        <v>36296658195.999207</v>
      </c>
      <c r="J276" s="2">
        <f>geracao_mwh!J276*1000</f>
        <v>1004201.9999999998</v>
      </c>
      <c r="K276" s="2">
        <f>geracao_mwh!K276*1000</f>
        <v>816124595.99999988</v>
      </c>
      <c r="L276" s="2">
        <f>geracao_mwh!L276*1000</f>
        <v>41591034.999999948</v>
      </c>
      <c r="M276" s="2">
        <f>geracao_mwh!M276*1000</f>
        <v>0</v>
      </c>
      <c r="N276" s="2">
        <f>geracao_mwh!N276*1000</f>
        <v>1465239119.0000005</v>
      </c>
      <c r="O276" s="2">
        <f>geracao_mwh!O276*1000</f>
        <v>585068747.00000226</v>
      </c>
    </row>
    <row r="277" spans="1:15" x14ac:dyDescent="0.3">
      <c r="A277" s="6">
        <v>276</v>
      </c>
      <c r="B277" s="6">
        <v>2022</v>
      </c>
      <c r="C277" s="6">
        <v>12</v>
      </c>
      <c r="D277" s="2">
        <f>geracao_mwh!D277*1000</f>
        <v>306650580.00000191</v>
      </c>
      <c r="E277" s="2">
        <f>geracao_mwh!E277*1000</f>
        <v>209905475.99999961</v>
      </c>
      <c r="F277" s="2">
        <f>geracao_mwh!F277*1000</f>
        <v>6462597271.0000496</v>
      </c>
      <c r="G277" s="2">
        <f>geracao_mwh!G277*1000</f>
        <v>1348495929.9999967</v>
      </c>
      <c r="H277" s="2">
        <f>geracao_mwh!H277*1000</f>
        <v>1978251158.9999933</v>
      </c>
      <c r="I277" s="2">
        <f>geracao_mwh!I277*1000</f>
        <v>38617606288.998222</v>
      </c>
      <c r="J277" s="2">
        <f>geracao_mwh!J277*1000</f>
        <v>7848508.0000000019</v>
      </c>
      <c r="K277" s="2">
        <f>geracao_mwh!K277*1000</f>
        <v>1470297518.0000033</v>
      </c>
      <c r="L277" s="2">
        <f>geracao_mwh!L277*1000</f>
        <v>33471523.999999981</v>
      </c>
      <c r="M277" s="2">
        <f>geracao_mwh!M277*1000</f>
        <v>2870676</v>
      </c>
      <c r="N277" s="2">
        <f>geracao_mwh!N277*1000</f>
        <v>853375814.99999726</v>
      </c>
      <c r="O277" s="2">
        <f>geracao_mwh!O277*1000</f>
        <v>675388764.99999774</v>
      </c>
    </row>
    <row r="278" spans="1:15" x14ac:dyDescent="0.3">
      <c r="A278" s="6">
        <v>277</v>
      </c>
      <c r="B278" s="6">
        <v>2023</v>
      </c>
      <c r="C278" s="6">
        <v>1</v>
      </c>
      <c r="D278" s="2">
        <f>geracao_mwh!D278*1000</f>
        <v>225045191.00000393</v>
      </c>
      <c r="E278" s="2">
        <f>geracao_mwh!E278*1000</f>
        <v>393204990.99999994</v>
      </c>
      <c r="F278" s="2">
        <f>geracao_mwh!F278*1000</f>
        <v>6387675145.0000343</v>
      </c>
      <c r="G278" s="2">
        <f>geracao_mwh!G278*1000</f>
        <v>1462580686.9999979</v>
      </c>
      <c r="H278" s="2">
        <f>geracao_mwh!H278*1000</f>
        <v>1723932132.0000038</v>
      </c>
      <c r="I278" s="2">
        <f>geracao_mwh!I278*1000</f>
        <v>40838463999.000458</v>
      </c>
      <c r="J278" s="2">
        <f>geracao_mwh!J278*1000</f>
        <v>5001209.0000000028</v>
      </c>
      <c r="K278" s="2">
        <f>geracao_mwh!K278*1000</f>
        <v>1492829625.0000014</v>
      </c>
      <c r="L278" s="2">
        <f>geracao_mwh!L278*1000</f>
        <v>20090790.999999985</v>
      </c>
      <c r="M278" s="2">
        <f>geracao_mwh!M278*1000</f>
        <v>7103571.0000000009</v>
      </c>
      <c r="N278" s="2">
        <f>geracao_mwh!N278*1000</f>
        <v>380076445.00000119</v>
      </c>
      <c r="O278" s="2">
        <f>geracao_mwh!O278*1000</f>
        <v>676617426.99999356</v>
      </c>
    </row>
    <row r="279" spans="1:15" x14ac:dyDescent="0.3">
      <c r="A279" s="6">
        <v>278</v>
      </c>
      <c r="B279" s="6">
        <v>2023</v>
      </c>
      <c r="C279" s="6">
        <v>2</v>
      </c>
      <c r="D279" s="2">
        <f>geracao_mwh!D279*1000</f>
        <v>178527070.00000423</v>
      </c>
      <c r="E279" s="2">
        <f>geracao_mwh!E279*1000</f>
        <v>352507651.99999964</v>
      </c>
      <c r="F279" s="2">
        <f>geracao_mwh!F279*1000</f>
        <v>6562083139.0000257</v>
      </c>
      <c r="G279" s="2">
        <f>geracao_mwh!G279*1000</f>
        <v>1477968965.9999943</v>
      </c>
      <c r="H279" s="2">
        <f>geracao_mwh!H279*1000</f>
        <v>1167370729.9999976</v>
      </c>
      <c r="I279" s="2">
        <f>geracao_mwh!I279*1000</f>
        <v>38794731486.000351</v>
      </c>
      <c r="J279" s="2">
        <f>geracao_mwh!J279*1000</f>
        <v>4383864.0000000009</v>
      </c>
      <c r="K279" s="2">
        <f>geracao_mwh!K279*1000</f>
        <v>1163653519.9999979</v>
      </c>
      <c r="L279" s="2">
        <f>geracao_mwh!L279*1000</f>
        <v>18243702.000000019</v>
      </c>
      <c r="M279" s="2">
        <f>geracao_mwh!M279*1000</f>
        <v>6056273.0000000009</v>
      </c>
      <c r="N279" s="2">
        <f>geracao_mwh!N279*1000</f>
        <v>351750732.99999958</v>
      </c>
      <c r="O279" s="2">
        <f>geracao_mwh!O279*1000</f>
        <v>603969542.99999726</v>
      </c>
    </row>
    <row r="280" spans="1:15" x14ac:dyDescent="0.3">
      <c r="A280" s="6">
        <v>279</v>
      </c>
      <c r="B280" s="6">
        <v>2023</v>
      </c>
      <c r="C280" s="6">
        <v>3</v>
      </c>
      <c r="D280" s="2">
        <f>geracao_mwh!D280*1000</f>
        <v>253532228.00000584</v>
      </c>
      <c r="E280" s="2">
        <f>geracao_mwh!E280*1000</f>
        <v>668828271.00000024</v>
      </c>
      <c r="F280" s="2">
        <f>geracao_mwh!F280*1000</f>
        <v>6120941169.9999352</v>
      </c>
      <c r="G280" s="2">
        <f>geracao_mwh!G280*1000</f>
        <v>1533041124.9999905</v>
      </c>
      <c r="H280" s="2">
        <f>geracao_mwh!H280*1000</f>
        <v>1213065339.9999983</v>
      </c>
      <c r="I280" s="2">
        <f>geracao_mwh!I280*1000</f>
        <v>44976523823.001007</v>
      </c>
      <c r="J280" s="2">
        <f>geracao_mwh!J280*1000</f>
        <v>5981690.9999999935</v>
      </c>
      <c r="K280" s="2">
        <f>geracao_mwh!K280*1000</f>
        <v>1279239167.9999983</v>
      </c>
      <c r="L280" s="2">
        <f>geracao_mwh!L280*1000</f>
        <v>21553153.999999993</v>
      </c>
      <c r="M280" s="2">
        <f>geracao_mwh!M280*1000</f>
        <v>11235890</v>
      </c>
      <c r="N280" s="2">
        <f>geracao_mwh!N280*1000</f>
        <v>476819064.99999934</v>
      </c>
      <c r="O280" s="2">
        <f>geracao_mwh!O280*1000</f>
        <v>562154916.00000155</v>
      </c>
    </row>
    <row r="281" spans="1:15" x14ac:dyDescent="0.3">
      <c r="A281" s="6">
        <v>280</v>
      </c>
      <c r="B281" s="6">
        <v>2023</v>
      </c>
      <c r="C281" s="6">
        <v>4</v>
      </c>
      <c r="D281" s="2">
        <f>geracao_mwh!D281*1000</f>
        <v>561175533.99999928</v>
      </c>
      <c r="E281" s="2">
        <f>geracao_mwh!E281*1000</f>
        <v>575352929.00000119</v>
      </c>
      <c r="F281" s="2">
        <f>geracao_mwh!F281*1000</f>
        <v>4853266234.0000401</v>
      </c>
      <c r="G281" s="2">
        <f>geracao_mwh!G281*1000</f>
        <v>1613629724.999984</v>
      </c>
      <c r="H281" s="2">
        <f>geracao_mwh!H281*1000</f>
        <v>1575248199.0000031</v>
      </c>
      <c r="I281" s="2">
        <f>geracao_mwh!I281*1000</f>
        <v>39063389416.000412</v>
      </c>
      <c r="J281" s="2">
        <f>geracao_mwh!J281*1000</f>
        <v>5801060.9999999981</v>
      </c>
      <c r="K281" s="2">
        <f>geracao_mwh!K281*1000</f>
        <v>1387234963.9999983</v>
      </c>
      <c r="L281" s="2">
        <f>geracao_mwh!L281*1000</f>
        <v>22113550.999999996</v>
      </c>
      <c r="M281" s="2">
        <f>geracao_mwh!M281*1000</f>
        <v>11144984.999999996</v>
      </c>
      <c r="N281" s="2">
        <f>geracao_mwh!N281*1000</f>
        <v>783555269.00000107</v>
      </c>
      <c r="O281" s="2">
        <f>geracao_mwh!O281*1000</f>
        <v>594489741.99999964</v>
      </c>
    </row>
    <row r="282" spans="1:15" x14ac:dyDescent="0.3">
      <c r="A282" s="6">
        <v>281</v>
      </c>
      <c r="B282" s="6">
        <v>2023</v>
      </c>
      <c r="C282" s="6">
        <v>5</v>
      </c>
      <c r="D282" s="2">
        <f>geracao_mwh!D282*1000</f>
        <v>959032868.99998224</v>
      </c>
      <c r="E282" s="2">
        <f>geracao_mwh!E282*1000</f>
        <v>502854990.00000048</v>
      </c>
      <c r="F282" s="2">
        <f>geracao_mwh!F282*1000</f>
        <v>6878180915.9999437</v>
      </c>
      <c r="G282" s="2">
        <f>geracao_mwh!G282*1000</f>
        <v>3758816515</v>
      </c>
      <c r="H282" s="2">
        <f>geracao_mwh!H282*1000</f>
        <v>1193043824.999999</v>
      </c>
      <c r="I282" s="2">
        <f>geracao_mwh!I282*1000</f>
        <v>36745486924.998779</v>
      </c>
      <c r="J282" s="2">
        <f>geracao_mwh!J282*1000</f>
        <v>5343246.0000000028</v>
      </c>
      <c r="K282" s="2">
        <f>geracao_mwh!K282*1000</f>
        <v>1492574818.000001</v>
      </c>
      <c r="L282" s="2">
        <f>geracao_mwh!L282*1000</f>
        <v>20593127.000000022</v>
      </c>
      <c r="M282" s="2">
        <f>geracao_mwh!M282*1000</f>
        <v>7437752</v>
      </c>
      <c r="N282" s="2">
        <f>geracao_mwh!N282*1000</f>
        <v>1515568258.000001</v>
      </c>
      <c r="O282" s="2">
        <f>geracao_mwh!O282*1000</f>
        <v>661790139.9999969</v>
      </c>
    </row>
    <row r="283" spans="1:15" x14ac:dyDescent="0.3">
      <c r="A283" s="6">
        <v>282</v>
      </c>
      <c r="B283" s="6">
        <v>2023</v>
      </c>
      <c r="C283" s="6">
        <v>6</v>
      </c>
      <c r="D283" s="2">
        <f>geracao_mwh!D283*1000</f>
        <v>979992376.99998319</v>
      </c>
      <c r="E283" s="2">
        <f>geracao_mwh!E283*1000</f>
        <v>715132205.00000167</v>
      </c>
      <c r="F283" s="2">
        <f>geracao_mwh!F283*1000</f>
        <v>8576419315.0000725</v>
      </c>
      <c r="G283" s="2">
        <f>geracao_mwh!G283*1000</f>
        <v>3590290103.0000176</v>
      </c>
      <c r="H283" s="2">
        <f>geracao_mwh!H283*1000</f>
        <v>2196556495.9999881</v>
      </c>
      <c r="I283" s="2">
        <f>geracao_mwh!I283*1000</f>
        <v>31332275543.000004</v>
      </c>
      <c r="J283" s="2">
        <f>geracao_mwh!J283*1000</f>
        <v>4176238.0000000014</v>
      </c>
      <c r="K283" s="2">
        <f>geracao_mwh!K283*1000</f>
        <v>1447130995.000001</v>
      </c>
      <c r="L283" s="2">
        <f>geracao_mwh!L283*1000</f>
        <v>21532997.000000007</v>
      </c>
      <c r="M283" s="2">
        <f>geracao_mwh!M283*1000</f>
        <v>2802152.0000000019</v>
      </c>
      <c r="N283" s="2">
        <f>geracao_mwh!N283*1000</f>
        <v>1493136988.0000007</v>
      </c>
      <c r="O283" s="2">
        <f>geracao_mwh!O283*1000</f>
        <v>556725924.00000155</v>
      </c>
    </row>
    <row r="284" spans="1:15" x14ac:dyDescent="0.3">
      <c r="A284" s="6">
        <v>283</v>
      </c>
      <c r="B284" s="6">
        <v>2023</v>
      </c>
      <c r="C284" s="6">
        <v>7</v>
      </c>
      <c r="D284" s="2">
        <f>geracao_mwh!D284*1000</f>
        <v>1073113848.9999874</v>
      </c>
      <c r="E284" s="2">
        <f>geracao_mwh!E284*1000</f>
        <v>833343516.99999809</v>
      </c>
      <c r="F284" s="2">
        <f>geracao_mwh!F284*1000</f>
        <v>9945467988.9998951</v>
      </c>
      <c r="G284" s="2">
        <f>geracao_mwh!G284*1000</f>
        <v>4133202793.0000105</v>
      </c>
      <c r="H284" s="2">
        <f>geracao_mwh!H284*1000</f>
        <v>1588242104.9999962</v>
      </c>
      <c r="I284" s="2">
        <f>geracao_mwh!I284*1000</f>
        <v>30999151377.999756</v>
      </c>
      <c r="J284" s="2">
        <f>geracao_mwh!J284*1000</f>
        <v>3724957.0000000023</v>
      </c>
      <c r="K284" s="2">
        <f>geracao_mwh!K284*1000</f>
        <v>1469504085.9999983</v>
      </c>
      <c r="L284" s="2">
        <f>geracao_mwh!L284*1000</f>
        <v>22014539.999999996</v>
      </c>
      <c r="M284" s="2">
        <f>geracao_mwh!M284*1000</f>
        <v>3349241.0000000014</v>
      </c>
      <c r="N284" s="2">
        <f>geracao_mwh!N284*1000</f>
        <v>1714436751.0000005</v>
      </c>
      <c r="O284" s="2">
        <f>geracao_mwh!O284*1000</f>
        <v>502492315.00000352</v>
      </c>
    </row>
    <row r="285" spans="1:15" x14ac:dyDescent="0.3">
      <c r="A285" s="6">
        <v>284</v>
      </c>
      <c r="B285" s="6">
        <v>2023</v>
      </c>
      <c r="C285" s="6">
        <v>8</v>
      </c>
      <c r="D285" s="2">
        <f>geracao_mwh!D285*1000</f>
        <v>1110545735.9999733</v>
      </c>
      <c r="E285" s="2">
        <f>geracao_mwh!E285*1000</f>
        <v>768811069.99999964</v>
      </c>
      <c r="F285" s="2">
        <f>geracao_mwh!F285*1000</f>
        <v>9125533636.0000706</v>
      </c>
      <c r="G285" s="2">
        <f>geracao_mwh!G285*1000</f>
        <v>4653854574.0000143</v>
      </c>
      <c r="H285" s="2">
        <f>geracao_mwh!H285*1000</f>
        <v>1496650781.0000074</v>
      </c>
      <c r="I285" s="2">
        <f>geracao_mwh!I285*1000</f>
        <v>33186529985.999306</v>
      </c>
      <c r="J285" s="2">
        <f>geracao_mwh!J285*1000</f>
        <v>5288652.0000000009</v>
      </c>
      <c r="K285" s="2">
        <f>geracao_mwh!K285*1000</f>
        <v>1494983339.9999967</v>
      </c>
      <c r="L285" s="2">
        <f>geracao_mwh!L285*1000</f>
        <v>31890881.000000034</v>
      </c>
      <c r="M285" s="2">
        <f>geracao_mwh!M285*1000</f>
        <v>1222509</v>
      </c>
      <c r="N285" s="2">
        <f>geracao_mwh!N285*1000</f>
        <v>1847191372.000001</v>
      </c>
      <c r="O285" s="2">
        <f>geracao_mwh!O285*1000</f>
        <v>538284030.00000036</v>
      </c>
    </row>
    <row r="286" spans="1:15" x14ac:dyDescent="0.3">
      <c r="A286" s="6">
        <v>285</v>
      </c>
      <c r="B286" s="6">
        <v>2023</v>
      </c>
      <c r="C286" s="6">
        <v>9</v>
      </c>
      <c r="D286" s="2">
        <f>geracao_mwh!D286*1000</f>
        <v>1051577667.0000011</v>
      </c>
      <c r="E286" s="2">
        <f>geracao_mwh!E286*1000</f>
        <v>574350980.9999994</v>
      </c>
      <c r="F286" s="2">
        <f>geracao_mwh!F286*1000</f>
        <v>9179084568.0001392</v>
      </c>
      <c r="G286" s="2">
        <f>geracao_mwh!G286*1000</f>
        <v>5079336746.000021</v>
      </c>
      <c r="H286" s="2">
        <f>geracao_mwh!H286*1000</f>
        <v>1395149053.000005</v>
      </c>
      <c r="I286" s="2">
        <f>geracao_mwh!I286*1000</f>
        <v>33855687211.999752</v>
      </c>
      <c r="J286" s="2">
        <f>geracao_mwh!J286*1000</f>
        <v>5712643.9999999972</v>
      </c>
      <c r="K286" s="2">
        <f>geracao_mwh!K286*1000</f>
        <v>1226199798.9999998</v>
      </c>
      <c r="L286" s="2">
        <f>geracao_mwh!L286*1000</f>
        <v>45184522.000000037</v>
      </c>
      <c r="M286" s="2">
        <f>geracao_mwh!M286*1000</f>
        <v>1099291</v>
      </c>
      <c r="N286" s="2">
        <f>geracao_mwh!N286*1000</f>
        <v>1734265941.0000007</v>
      </c>
      <c r="O286" s="2">
        <f>geracao_mwh!O286*1000</f>
        <v>602780558.9999994</v>
      </c>
    </row>
    <row r="287" spans="1:15" x14ac:dyDescent="0.3">
      <c r="A287" s="6">
        <v>286</v>
      </c>
      <c r="B287" s="6">
        <v>2023</v>
      </c>
      <c r="C287" s="6">
        <v>10</v>
      </c>
      <c r="D287" s="2">
        <f>geracao_mwh!D287*1000</f>
        <v>1030873064.9999657</v>
      </c>
      <c r="E287" s="2">
        <f>geracao_mwh!E287*1000</f>
        <v>736396427.99999857</v>
      </c>
      <c r="F287" s="2">
        <f>geracao_mwh!F287*1000</f>
        <v>9699445608.0000172</v>
      </c>
      <c r="G287" s="2">
        <f>geracao_mwh!G287*1000</f>
        <v>5393291458.0000896</v>
      </c>
      <c r="H287" s="2">
        <f>geracao_mwh!H287*1000</f>
        <v>1441071654.0000033</v>
      </c>
      <c r="I287" s="2">
        <f>geracao_mwh!I287*1000</f>
        <v>36581654398.000237</v>
      </c>
      <c r="J287" s="2">
        <f>geracao_mwh!J287*1000</f>
        <v>5530934.0000000047</v>
      </c>
      <c r="K287" s="2">
        <f>geracao_mwh!K287*1000</f>
        <v>360595119.99999964</v>
      </c>
      <c r="L287" s="2">
        <f>geracao_mwh!L287*1000</f>
        <v>65463025.999999911</v>
      </c>
      <c r="M287" s="2">
        <f>geracao_mwh!M287*1000</f>
        <v>982279.00000000023</v>
      </c>
      <c r="N287" s="2">
        <f>geracao_mwh!N287*1000</f>
        <v>1728461749.0000005</v>
      </c>
      <c r="O287" s="2">
        <f>geracao_mwh!O287*1000</f>
        <v>545440501.99999964</v>
      </c>
    </row>
    <row r="288" spans="1:15" x14ac:dyDescent="0.3">
      <c r="A288" s="6">
        <v>287</v>
      </c>
      <c r="B288" s="6">
        <v>2023</v>
      </c>
      <c r="C288" s="6">
        <v>11</v>
      </c>
      <c r="D288" s="2">
        <f>geracao_mwh!D288*1000</f>
        <v>894115791.9999907</v>
      </c>
      <c r="E288" s="2">
        <f>geracao_mwh!E288*1000</f>
        <v>866468703.99999952</v>
      </c>
      <c r="F288" s="2">
        <f>geracao_mwh!F288*1000</f>
        <v>8073219567.0001059</v>
      </c>
      <c r="G288" s="2">
        <f>geracao_mwh!G288*1000</f>
        <v>5948958232.0000601</v>
      </c>
      <c r="H288" s="2">
        <f>geracao_mwh!H288*1000</f>
        <v>2567127179.0000129</v>
      </c>
      <c r="I288" s="2">
        <f>geracao_mwh!I288*1000</f>
        <v>37136737160.999939</v>
      </c>
      <c r="J288" s="2">
        <f>geracao_mwh!J288*1000</f>
        <v>6664359.0000000056</v>
      </c>
      <c r="K288" s="2">
        <f>geracao_mwh!K288*1000</f>
        <v>447023577.99999928</v>
      </c>
      <c r="L288" s="2">
        <f>geracao_mwh!L288*1000</f>
        <v>129577150.00000013</v>
      </c>
      <c r="M288" s="2">
        <f>geracao_mwh!M288*1000</f>
        <v>3307754.9999999991</v>
      </c>
      <c r="N288" s="2">
        <f>geracao_mwh!N288*1000</f>
        <v>1572355959</v>
      </c>
      <c r="O288" s="2">
        <f>geracao_mwh!O288*1000</f>
        <v>565931478.99999952</v>
      </c>
    </row>
    <row r="289" spans="1:15" x14ac:dyDescent="0.3">
      <c r="A289" s="6">
        <v>288</v>
      </c>
      <c r="B289" s="6">
        <v>2023</v>
      </c>
      <c r="C289" s="6">
        <v>12</v>
      </c>
      <c r="D289" s="2">
        <f>geracao_mwh!D289*1000</f>
        <v>603911865.99999499</v>
      </c>
      <c r="E289" s="2">
        <f>geracao_mwh!E289*1000</f>
        <v>645368617.00000119</v>
      </c>
      <c r="F289" s="2">
        <f>geracao_mwh!F289*1000</f>
        <v>8274145510.000124</v>
      </c>
      <c r="G289" s="2">
        <f>geracao_mwh!G289*1000</f>
        <v>6066471400.9999638</v>
      </c>
      <c r="H289" s="2">
        <f>geracao_mwh!H289*1000</f>
        <v>2858574073.00002</v>
      </c>
      <c r="I289" s="2">
        <f>geracao_mwh!I289*1000</f>
        <v>38608568189.399643</v>
      </c>
      <c r="J289" s="2">
        <f>geracao_mwh!J289*1000</f>
        <v>5693633.0000000037</v>
      </c>
      <c r="K289" s="2">
        <f>geracao_mwh!K289*1000</f>
        <v>1242753878.000001</v>
      </c>
      <c r="L289" s="2">
        <f>geracao_mwh!L289*1000</f>
        <v>107433078.99999973</v>
      </c>
      <c r="M289" s="2">
        <f>geracao_mwh!M289*1000</f>
        <v>4894996.0000000019</v>
      </c>
      <c r="N289" s="2">
        <f>geracao_mwh!N289*1000</f>
        <v>1182584789.9999964</v>
      </c>
      <c r="O289" s="2">
        <f>geracao_mwh!O289*1000</f>
        <v>523819381.00000417</v>
      </c>
    </row>
    <row r="290" spans="1:15" x14ac:dyDescent="0.3">
      <c r="A290" s="6">
        <v>289</v>
      </c>
      <c r="B290" s="6">
        <v>2024</v>
      </c>
      <c r="C290" s="6">
        <v>1</v>
      </c>
      <c r="D290" s="2">
        <f>geracao_mwh!D290*1000</f>
        <v>299603558.00001836</v>
      </c>
      <c r="E290" s="2">
        <f>geracao_mwh!E290*1000</f>
        <v>613767480.0000006</v>
      </c>
      <c r="F290" s="2">
        <f>geracao_mwh!F290*1000</f>
        <v>5496652730.0000248</v>
      </c>
      <c r="G290" s="2">
        <f>geracao_mwh!G290*1000</f>
        <v>5779142464.0000401</v>
      </c>
      <c r="H290" s="2">
        <f>geracao_mwh!H290*1000</f>
        <v>2620028479.9999838</v>
      </c>
      <c r="I290" s="2">
        <f>geracao_mwh!I290*1000</f>
        <v>41807075997.000938</v>
      </c>
      <c r="J290" s="2">
        <f>geracao_mwh!J290*1000</f>
        <v>5338730.9999999963</v>
      </c>
      <c r="K290" s="2">
        <f>geracao_mwh!K290*1000</f>
        <v>1447149588.9999995</v>
      </c>
      <c r="L290" s="2">
        <f>geracao_mwh!L290*1000</f>
        <v>47003550.000000052</v>
      </c>
      <c r="M290" s="2">
        <f>geracao_mwh!M290*1000</f>
        <v>6261148.9999999981</v>
      </c>
      <c r="N290" s="2">
        <f>geracao_mwh!N290*1000</f>
        <v>434713591.00000012</v>
      </c>
      <c r="O290" s="2">
        <f>geracao_mwh!O290*1000</f>
        <v>571490577.99999726</v>
      </c>
    </row>
    <row r="291" spans="1:15" x14ac:dyDescent="0.3">
      <c r="A291" s="6">
        <v>290</v>
      </c>
      <c r="B291" s="6">
        <v>2024</v>
      </c>
      <c r="C291" s="6">
        <v>2</v>
      </c>
      <c r="D291" s="2">
        <f>geracao_mwh!D291*1000</f>
        <v>313451109.00000596</v>
      </c>
      <c r="E291" s="2">
        <f>geracao_mwh!E291*1000</f>
        <v>810019165.00000083</v>
      </c>
      <c r="F291" s="2">
        <f>geracao_mwh!F291*1000</f>
        <v>6248023964.0000315</v>
      </c>
      <c r="G291" s="2">
        <f>geracao_mwh!G291*1000</f>
        <v>5549854054.0000257</v>
      </c>
      <c r="H291" s="2">
        <f>geracao_mwh!H291*1000</f>
        <v>1543730283.000005</v>
      </c>
      <c r="I291" s="2">
        <f>geracao_mwh!I291*1000</f>
        <v>41158039608.000748</v>
      </c>
      <c r="J291" s="2">
        <f>geracao_mwh!J291*1000</f>
        <v>5545546.0000000037</v>
      </c>
      <c r="K291" s="2">
        <f>geracao_mwh!K291*1000</f>
        <v>1383340885.9999976</v>
      </c>
      <c r="L291" s="2">
        <f>geracao_mwh!L291*1000</f>
        <v>29231974.00000003</v>
      </c>
      <c r="M291" s="2">
        <f>geracao_mwh!M291*1000</f>
        <v>9415607.0000000075</v>
      </c>
      <c r="N291" s="2">
        <f>geracao_mwh!N291*1000</f>
        <v>310837075</v>
      </c>
      <c r="O291" s="2">
        <f>geracao_mwh!O291*1000</f>
        <v>596205177.00000739</v>
      </c>
    </row>
    <row r="292" spans="1:15" x14ac:dyDescent="0.3">
      <c r="A292" s="6">
        <v>291</v>
      </c>
      <c r="B292" s="6">
        <v>2024</v>
      </c>
      <c r="C292" s="6">
        <v>3</v>
      </c>
      <c r="D292" s="2">
        <f>geracao_mwh!D292*1000</f>
        <v>464671687.00001693</v>
      </c>
      <c r="E292" s="2">
        <f>geracao_mwh!E292*1000</f>
        <v>556531593.00000024</v>
      </c>
      <c r="F292" s="2">
        <f>geracao_mwh!F292*1000</f>
        <v>5210013503.9999504</v>
      </c>
      <c r="G292" s="2">
        <f>geracao_mwh!G292*1000</f>
        <v>5942193805.0000648</v>
      </c>
      <c r="H292" s="2">
        <f>geracao_mwh!H292*1000</f>
        <v>1531374837.9999952</v>
      </c>
      <c r="I292" s="2">
        <f>geracao_mwh!I292*1000</f>
        <v>45319554445.000694</v>
      </c>
      <c r="J292" s="2">
        <f>geracao_mwh!J292*1000</f>
        <v>6799970.9999999963</v>
      </c>
      <c r="K292" s="2">
        <f>geracao_mwh!K292*1000</f>
        <v>1400648977.0000005</v>
      </c>
      <c r="L292" s="2">
        <f>geracao_mwh!L292*1000</f>
        <v>72297462</v>
      </c>
      <c r="M292" s="2">
        <f>geracao_mwh!M292*1000</f>
        <v>4565042.9999999972</v>
      </c>
      <c r="N292" s="2">
        <f>geracao_mwh!N292*1000</f>
        <v>383096138.99999952</v>
      </c>
      <c r="O292" s="2">
        <f>geracao_mwh!O292*1000</f>
        <v>578053812.00000584</v>
      </c>
    </row>
    <row r="293" spans="1:15" x14ac:dyDescent="0.3">
      <c r="A293" s="6">
        <v>292</v>
      </c>
      <c r="B293" s="6">
        <v>2024</v>
      </c>
      <c r="C293" s="6">
        <v>4</v>
      </c>
      <c r="D293" s="2">
        <f>geracao_mwh!D293*1000</f>
        <v>712086447.00001776</v>
      </c>
      <c r="E293" s="2">
        <f>geracao_mwh!E293*1000</f>
        <v>207504803.00000006</v>
      </c>
      <c r="F293" s="2">
        <f>geracao_mwh!F293*1000</f>
        <v>5894657680.9999027</v>
      </c>
      <c r="G293" s="2">
        <f>geracao_mwh!G293*1000</f>
        <v>5630334417.0000048</v>
      </c>
      <c r="H293" s="2">
        <f>geracao_mwh!H293*1000</f>
        <v>1404223283.0000029</v>
      </c>
      <c r="I293" s="2">
        <f>geracao_mwh!I293*1000</f>
        <v>40914898064.000633</v>
      </c>
      <c r="J293" s="2">
        <f>geracao_mwh!J293*1000</f>
        <v>6158530.0000000009</v>
      </c>
      <c r="K293" s="2">
        <f>geracao_mwh!K293*1000</f>
        <v>1434791699.9999998</v>
      </c>
      <c r="L293" s="2">
        <f>geracao_mwh!L293*1000</f>
        <v>49413661.999999367</v>
      </c>
      <c r="M293" s="2">
        <f>geracao_mwh!M293*1000</f>
        <v>4304701.9999999963</v>
      </c>
      <c r="N293" s="2">
        <f>geracao_mwh!N293*1000</f>
        <v>772690744.00000024</v>
      </c>
      <c r="O293" s="2">
        <f>geracao_mwh!O293*1000</f>
        <v>486777297.00000453</v>
      </c>
    </row>
    <row r="294" spans="1:15" x14ac:dyDescent="0.3">
      <c r="A294" s="6">
        <v>293</v>
      </c>
      <c r="B294" s="6">
        <v>2024</v>
      </c>
      <c r="C294" s="6">
        <v>5</v>
      </c>
      <c r="D294" s="2">
        <f>geracao_mwh!D294*1000</f>
        <v>1036787485.000021</v>
      </c>
      <c r="E294" s="2">
        <f>geracao_mwh!E294*1000</f>
        <v>415646680</v>
      </c>
      <c r="F294" s="2">
        <f>geracao_mwh!F294*1000</f>
        <v>8751061928.999836</v>
      </c>
      <c r="G294" s="2">
        <f>geracao_mwh!G294*1000</f>
        <v>5508900021.9999809</v>
      </c>
      <c r="H294" s="2">
        <f>geracao_mwh!H294*1000</f>
        <v>1192595201.9999959</v>
      </c>
      <c r="I294" s="2">
        <f>geracao_mwh!I294*1000</f>
        <v>37427924024.001053</v>
      </c>
      <c r="J294" s="2">
        <f>geracao_mwh!J294*1000</f>
        <v>5903645.0000000047</v>
      </c>
      <c r="K294" s="2">
        <f>geracao_mwh!K294*1000</f>
        <v>1265158722.9999995</v>
      </c>
      <c r="L294" s="2">
        <f>geracao_mwh!L294*1000</f>
        <v>20622043.999999933</v>
      </c>
      <c r="M294" s="2">
        <f>geracao_mwh!M294*1000</f>
        <v>40061114</v>
      </c>
      <c r="N294" s="2">
        <f>geracao_mwh!N294*1000</f>
        <v>1559411247.0000019</v>
      </c>
      <c r="O294" s="2">
        <f>geracao_mwh!O294*1000</f>
        <v>555697897.00000238</v>
      </c>
    </row>
    <row r="295" spans="1:15" x14ac:dyDescent="0.3">
      <c r="A295" s="6">
        <v>294</v>
      </c>
      <c r="B295" s="6">
        <v>2024</v>
      </c>
      <c r="C295" s="6">
        <v>6</v>
      </c>
      <c r="D295" s="2">
        <f>geracao_mwh!D295*1000</f>
        <v>1077344060.9999692</v>
      </c>
      <c r="E295" s="2">
        <f>geracao_mwh!E295*1000</f>
        <v>541868910.00000012</v>
      </c>
      <c r="F295" s="2">
        <f>geracao_mwh!F295*1000</f>
        <v>9592099361.9999847</v>
      </c>
      <c r="G295" s="2">
        <f>geracao_mwh!G295*1000</f>
        <v>5123569113.0000715</v>
      </c>
      <c r="H295" s="2">
        <f>geracao_mwh!H295*1000</f>
        <v>1414397647.9999914</v>
      </c>
      <c r="I295" s="2">
        <f>geracao_mwh!I295*1000</f>
        <v>32353430267.999413</v>
      </c>
      <c r="J295" s="2">
        <f>geracao_mwh!J295*1000</f>
        <v>1723989.9999999998</v>
      </c>
      <c r="K295" s="2">
        <f>geracao_mwh!K295*1000</f>
        <v>1440311191.9999979</v>
      </c>
      <c r="L295" s="2">
        <f>geracao_mwh!L295*1000</f>
        <v>21323373.000000041</v>
      </c>
      <c r="M295" s="2">
        <f>geracao_mwh!M295*1000</f>
        <v>1352300</v>
      </c>
      <c r="N295" s="2">
        <f>geracao_mwh!N295*1000</f>
        <v>1594319830</v>
      </c>
      <c r="O295" s="2">
        <f>geracao_mwh!O295*1000</f>
        <v>578346652.00000143</v>
      </c>
    </row>
    <row r="296" spans="1:15" x14ac:dyDescent="0.3">
      <c r="A296" s="6">
        <v>295</v>
      </c>
      <c r="B296" s="6">
        <v>2024</v>
      </c>
      <c r="C296" s="6">
        <v>7</v>
      </c>
      <c r="D296" s="2">
        <f>geracao_mwh!D296*1000</f>
        <v>1078012931.9999964</v>
      </c>
      <c r="E296" s="2">
        <f>geracao_mwh!E296*1000</f>
        <v>666165846.00000107</v>
      </c>
      <c r="F296" s="2">
        <f>geracao_mwh!F296*1000</f>
        <v>10917113658.000132</v>
      </c>
      <c r="G296" s="2">
        <f>geracao_mwh!G296*1000</f>
        <v>5563417765.9999914</v>
      </c>
      <c r="H296" s="2">
        <f>geracao_mwh!H296*1000</f>
        <v>2504161555.0000014</v>
      </c>
      <c r="I296" s="2">
        <f>geracao_mwh!I296*1000</f>
        <v>31610175176.999065</v>
      </c>
      <c r="J296" s="2">
        <f>geracao_mwh!J296*1000</f>
        <v>3468613.0000000009</v>
      </c>
      <c r="K296" s="2">
        <f>geracao_mwh!K296*1000</f>
        <v>1491835253.0000005</v>
      </c>
      <c r="L296" s="2">
        <f>geracao_mwh!L296*1000</f>
        <v>48556996.00000006</v>
      </c>
      <c r="M296" s="2">
        <f>geracao_mwh!M296*1000</f>
        <v>6509268.9999999972</v>
      </c>
      <c r="N296" s="2">
        <f>geracao_mwh!N296*1000</f>
        <v>1654263319.9999998</v>
      </c>
      <c r="O296" s="2">
        <f>geracao_mwh!O296*1000</f>
        <v>577405359.99999964</v>
      </c>
    </row>
    <row r="297" spans="1:15" x14ac:dyDescent="0.3">
      <c r="A297" s="6">
        <v>296</v>
      </c>
      <c r="B297" s="6">
        <v>2024</v>
      </c>
      <c r="C297" s="6">
        <v>8</v>
      </c>
      <c r="D297" s="2">
        <f>geracao_mwh!D297*1000</f>
        <v>1084835369.9999862</v>
      </c>
      <c r="E297" s="2">
        <f>geracao_mwh!E297*1000</f>
        <v>889848025.00000083</v>
      </c>
      <c r="F297" s="2">
        <f>geracao_mwh!F297*1000</f>
        <v>11884514446.999832</v>
      </c>
      <c r="G297" s="2">
        <f>geracao_mwh!G297*1000</f>
        <v>6393456719.0000525</v>
      </c>
      <c r="H297" s="2">
        <f>geracao_mwh!H297*1000</f>
        <v>3229597567.9999819</v>
      </c>
      <c r="I297" s="2">
        <f>geracao_mwh!I297*1000</f>
        <v>30137297081.999611</v>
      </c>
      <c r="J297" s="2">
        <f>geracao_mwh!J297*1000</f>
        <v>4666927.9999999981</v>
      </c>
      <c r="K297" s="2">
        <f>geracao_mwh!K297*1000</f>
        <v>1492515256.0000007</v>
      </c>
      <c r="L297" s="2">
        <f>geracao_mwh!L297*1000</f>
        <v>88635546.999999851</v>
      </c>
      <c r="M297" s="2">
        <f>geracao_mwh!M297*1000</f>
        <v>9457262</v>
      </c>
      <c r="N297" s="2">
        <f>geracao_mwh!N297*1000</f>
        <v>1617492764.0000021</v>
      </c>
      <c r="O297" s="2">
        <f>geracao_mwh!O297*1000</f>
        <v>517232453.00000441</v>
      </c>
    </row>
    <row r="298" spans="1:15" x14ac:dyDescent="0.3">
      <c r="A298" s="6">
        <v>297</v>
      </c>
      <c r="B298" s="6">
        <v>2024</v>
      </c>
      <c r="C298" s="6">
        <v>9</v>
      </c>
      <c r="D298" s="2">
        <f>geracao_mwh!D298*1000</f>
        <v>1195675645</v>
      </c>
      <c r="E298" s="2">
        <f>geracao_mwh!E298*1000</f>
        <v>983201757.99999833</v>
      </c>
      <c r="F298" s="2">
        <f>geracao_mwh!F298*1000</f>
        <v>11830532459.999983</v>
      </c>
      <c r="G298" s="2">
        <f>geracao_mwh!G298*1000</f>
        <v>6759343928.0000181</v>
      </c>
      <c r="H298" s="2">
        <f>geracao_mwh!H298*1000</f>
        <v>4794739463.0000563</v>
      </c>
      <c r="I298" s="2">
        <f>geracao_mwh!I298*1000</f>
        <v>28711235538.999783</v>
      </c>
      <c r="J298" s="2">
        <f>geracao_mwh!J298*1000</f>
        <v>5143933.9999999953</v>
      </c>
      <c r="K298" s="2">
        <f>geracao_mwh!K298*1000</f>
        <v>1426853777.999999</v>
      </c>
      <c r="L298" s="2">
        <f>geracao_mwh!L298*1000</f>
        <v>123644638.99999997</v>
      </c>
      <c r="M298" s="2">
        <f>geracao_mwh!M298*1000</f>
        <v>34806950.000000022</v>
      </c>
      <c r="N298" s="2">
        <f>geracao_mwh!N298*1000</f>
        <v>1572227483</v>
      </c>
      <c r="O298" s="2">
        <f>geracao_mwh!O298*1000</f>
        <v>564481442.00000417</v>
      </c>
    </row>
    <row r="299" spans="1:15" x14ac:dyDescent="0.3">
      <c r="A299" s="6">
        <v>298</v>
      </c>
      <c r="B299" s="6">
        <v>2024</v>
      </c>
      <c r="C299" s="6">
        <v>10</v>
      </c>
      <c r="D299" s="2">
        <f>geracao_mwh!D299*1000</f>
        <v>980584714.00000358</v>
      </c>
      <c r="E299" s="2">
        <f>geracao_mwh!E299*1000</f>
        <v>1726091553.9999993</v>
      </c>
      <c r="F299" s="2">
        <f>geracao_mwh!F299*1000</f>
        <v>10750731018.000118</v>
      </c>
      <c r="G299" s="2">
        <f>geracao_mwh!G299*1000</f>
        <v>7619338902.00002</v>
      </c>
      <c r="H299" s="2">
        <f>geracao_mwh!H299*1000</f>
        <v>5179389102.9999914</v>
      </c>
      <c r="I299" s="2">
        <f>geracao_mwh!I299*1000</f>
        <v>29937512051.999294</v>
      </c>
      <c r="J299" s="2">
        <f>geracao_mwh!J299*1000</f>
        <v>2228171.0000000028</v>
      </c>
      <c r="K299" s="2">
        <f>geracao_mwh!K299*1000</f>
        <v>1485279798.0000012</v>
      </c>
      <c r="L299" s="2">
        <f>geracao_mwh!L299*1000</f>
        <v>86953126.999999985</v>
      </c>
      <c r="M299" s="2">
        <f>geracao_mwh!M299*1000</f>
        <v>20687596.000000007</v>
      </c>
      <c r="N299" s="2">
        <f>geracao_mwh!N299*1000</f>
        <v>1679142434.9999993</v>
      </c>
      <c r="O299" s="2">
        <f>geracao_mwh!O299*1000</f>
        <v>613117155.99999523</v>
      </c>
    </row>
    <row r="300" spans="1:15" x14ac:dyDescent="0.3">
      <c r="A300" s="6">
        <v>299</v>
      </c>
      <c r="B300" s="6">
        <v>2024</v>
      </c>
      <c r="C300" s="6">
        <v>11</v>
      </c>
      <c r="D300" s="2">
        <f>geracao_mwh!D300*1000</f>
        <v>810514141.99999154</v>
      </c>
      <c r="E300" s="2">
        <f>geracao_mwh!E300*1000</f>
        <v>945107151.00000441</v>
      </c>
      <c r="F300" s="2">
        <f>geracao_mwh!F300*1000</f>
        <v>10004584201.000025</v>
      </c>
      <c r="G300" s="2">
        <f>geracao_mwh!G300*1000</f>
        <v>7327936114.0000019</v>
      </c>
      <c r="H300" s="2">
        <f>geracao_mwh!H300*1000</f>
        <v>3317990423.0000281</v>
      </c>
      <c r="I300" s="2">
        <f>geracao_mwh!I300*1000</f>
        <v>33189606540.998512</v>
      </c>
      <c r="J300" s="2">
        <f>geracao_mwh!J300*1000</f>
        <v>1766108</v>
      </c>
      <c r="K300" s="2">
        <f>geracao_mwh!K300*1000</f>
        <v>691834504.99999928</v>
      </c>
      <c r="L300" s="2">
        <f>geracao_mwh!L300*1000</f>
        <v>92238703.000000104</v>
      </c>
      <c r="M300" s="2">
        <f>geracao_mwh!M300*1000</f>
        <v>5466095.9999999991</v>
      </c>
      <c r="N300" s="2">
        <f>geracao_mwh!N300*1000</f>
        <v>1230299088.0000002</v>
      </c>
      <c r="O300" s="2">
        <f>geracao_mwh!O300*1000</f>
        <v>581981439.00000763</v>
      </c>
    </row>
    <row r="301" spans="1:15" x14ac:dyDescent="0.3">
      <c r="A301" s="6">
        <v>300</v>
      </c>
      <c r="B301" s="6">
        <v>2024</v>
      </c>
      <c r="C301" s="6">
        <v>12</v>
      </c>
      <c r="D301" s="2">
        <f>geracao_mwh!D301*1000</f>
        <v>445790135.00001347</v>
      </c>
      <c r="E301" s="2">
        <f>geracao_mwh!E301*1000</f>
        <v>753159878.9999994</v>
      </c>
      <c r="F301" s="2">
        <f>geracao_mwh!F301*1000</f>
        <v>9409209744.0002041</v>
      </c>
      <c r="G301" s="2">
        <f>geracao_mwh!G301*1000</f>
        <v>7743110823.9999723</v>
      </c>
      <c r="H301" s="2">
        <f>geracao_mwh!H301*1000</f>
        <v>2875883438.9999857</v>
      </c>
      <c r="I301" s="2">
        <f>geracao_mwh!I301*1000</f>
        <v>35745017252.99836</v>
      </c>
      <c r="J301" s="2">
        <f>geracao_mwh!J301*1000</f>
        <v>2719903.9999999986</v>
      </c>
      <c r="K301" s="2">
        <f>geracao_mwh!K301*1000</f>
        <v>769563564.99999952</v>
      </c>
      <c r="L301" s="2">
        <f>geracao_mwh!L301*1000</f>
        <v>24726655.999999985</v>
      </c>
      <c r="M301" s="2">
        <f>geracao_mwh!M301*1000</f>
        <v>14129996.999999989</v>
      </c>
      <c r="N301" s="2">
        <f>geracao_mwh!N301*1000</f>
        <v>948463905.9999975</v>
      </c>
      <c r="O301" s="2">
        <f>geracao_mwh!O301*1000</f>
        <v>577595195.00000179</v>
      </c>
    </row>
    <row r="302" spans="1:15" x14ac:dyDescent="0.3">
      <c r="A302" s="6">
        <v>301</v>
      </c>
      <c r="B302" s="6">
        <v>2024</v>
      </c>
      <c r="C302" s="6">
        <v>1</v>
      </c>
      <c r="D302" s="2">
        <f>geracao_mwh!D302*1000</f>
        <v>231900185.00000101</v>
      </c>
      <c r="E302" s="2">
        <f>geracao_mwh!E302*1000</f>
        <v>306080331.99999994</v>
      </c>
      <c r="F302" s="2">
        <f>geracao_mwh!F302*1000</f>
        <v>5812282649.9999123</v>
      </c>
      <c r="G302" s="2">
        <f>geracao_mwh!G302*1000</f>
        <v>7737088311.9999332</v>
      </c>
      <c r="H302" s="2">
        <f>geracao_mwh!H302*1000</f>
        <v>2260029305.9999933</v>
      </c>
      <c r="I302" s="2">
        <f>geracao_mwh!I302*1000</f>
        <v>43624918003.00071</v>
      </c>
      <c r="J302" s="2">
        <f>geracao_mwh!J302*1000</f>
        <v>2971487.9999999967</v>
      </c>
      <c r="K302" s="2">
        <f>geracao_mwh!K302*1000</f>
        <v>1357484038.0000012</v>
      </c>
      <c r="L302" s="2">
        <f>geracao_mwh!L302*1000</f>
        <v>22435645.999999989</v>
      </c>
      <c r="M302" s="2">
        <f>geracao_mwh!M302*1000</f>
        <v>4882495</v>
      </c>
      <c r="N302" s="2">
        <f>geracao_mwh!N302*1000</f>
        <v>329395482.00000066</v>
      </c>
      <c r="O302" s="2">
        <f>geracao_mwh!O302*1000</f>
        <v>549594592.00000513</v>
      </c>
    </row>
    <row r="303" spans="1:15" x14ac:dyDescent="0.3">
      <c r="A303" s="6">
        <v>302</v>
      </c>
      <c r="B303" s="6">
        <v>2024</v>
      </c>
      <c r="C303" s="6">
        <v>2</v>
      </c>
      <c r="D303" s="2">
        <f>geracao_mwh!D303*1000</f>
        <v>287585606.00001055</v>
      </c>
      <c r="E303" s="2">
        <f>geracao_mwh!E303*1000</f>
        <v>630697558.99999952</v>
      </c>
      <c r="F303" s="2">
        <f>geracao_mwh!F303*1000</f>
        <v>7324084749.9999809</v>
      </c>
      <c r="G303" s="2">
        <f>geracao_mwh!G303*1000</f>
        <v>7356471361.0000229</v>
      </c>
      <c r="H303" s="2">
        <f>geracao_mwh!H303*1000</f>
        <v>1521269933</v>
      </c>
      <c r="I303" s="2">
        <f>geracao_mwh!I303*1000</f>
        <v>41338288583.999496</v>
      </c>
      <c r="J303" s="2">
        <f>geracao_mwh!J303*1000</f>
        <v>2028318.0000000019</v>
      </c>
      <c r="K303" s="2">
        <f>geracao_mwh!K303*1000</f>
        <v>1330426208.9999971</v>
      </c>
      <c r="L303" s="2">
        <f>geracao_mwh!L303*1000</f>
        <v>15828762.000000002</v>
      </c>
      <c r="M303" s="2">
        <f>geracao_mwh!M303*1000</f>
        <v>10344662.999999996</v>
      </c>
      <c r="N303" s="2">
        <f>geracao_mwh!N303*1000</f>
        <v>246977096.99999967</v>
      </c>
      <c r="O303" s="2">
        <f>geracao_mwh!O303*1000</f>
        <v>535795991.9999994</v>
      </c>
    </row>
    <row r="304" spans="1:15" x14ac:dyDescent="0.3">
      <c r="A304" s="6">
        <v>303</v>
      </c>
      <c r="B304" s="6">
        <v>2024</v>
      </c>
      <c r="C304" s="6">
        <v>3</v>
      </c>
      <c r="D304" s="2">
        <f>geracao_mwh!D304*1000</f>
        <v>361263589.00001508</v>
      </c>
      <c r="E304" s="2">
        <f>geracao_mwh!E304*1000</f>
        <v>487989220.0000006</v>
      </c>
      <c r="F304" s="2">
        <f>geracao_mwh!F304*1000</f>
        <v>8322738527.0001917</v>
      </c>
      <c r="G304" s="2">
        <f>geracao_mwh!G304*1000</f>
        <v>8532550418.9999666</v>
      </c>
      <c r="H304" s="2">
        <f>geracao_mwh!H304*1000</f>
        <v>1572228823.000006</v>
      </c>
      <c r="I304" s="2">
        <f>geracao_mwh!I304*1000</f>
        <v>42507682365.000282</v>
      </c>
      <c r="J304" s="2">
        <f>geracao_mwh!J304*1000</f>
        <v>1479025.9999999991</v>
      </c>
      <c r="K304" s="2">
        <f>geracao_mwh!K304*1000</f>
        <v>1443183839</v>
      </c>
      <c r="L304" s="2">
        <f>geracao_mwh!L304*1000</f>
        <v>12207677.000000011</v>
      </c>
      <c r="M304" s="2">
        <f>geracao_mwh!M304*1000</f>
        <v>12126574</v>
      </c>
      <c r="N304" s="2">
        <f>geracao_mwh!N304*1000</f>
        <v>360452282.99999934</v>
      </c>
      <c r="O304" s="2">
        <f>geracao_mwh!O304*1000</f>
        <v>571552033.00000262</v>
      </c>
    </row>
    <row r="305" spans="1:15" x14ac:dyDescent="0.3">
      <c r="A305" s="6">
        <v>304</v>
      </c>
      <c r="B305" s="6">
        <v>2024</v>
      </c>
      <c r="C305" s="6">
        <v>4</v>
      </c>
      <c r="D305" s="2">
        <f>geracao_mwh!D305*1000</f>
        <v>554322019.00000095</v>
      </c>
      <c r="E305" s="2">
        <f>geracao_mwh!E305*1000</f>
        <v>624979966</v>
      </c>
      <c r="F305" s="2">
        <f>geracao_mwh!F305*1000</f>
        <v>7461279327.9999638</v>
      </c>
      <c r="G305" s="2">
        <f>geracao_mwh!G305*1000</f>
        <v>7191480055.99998</v>
      </c>
      <c r="H305" s="2">
        <f>geracao_mwh!H305*1000</f>
        <v>1829392904.0000024</v>
      </c>
      <c r="I305" s="2">
        <f>geracao_mwh!I305*1000</f>
        <v>37362075818.000175</v>
      </c>
      <c r="J305" s="2">
        <f>geracao_mwh!J305*1000</f>
        <v>1613687</v>
      </c>
      <c r="K305" s="2">
        <f>geracao_mwh!K305*1000</f>
        <v>1026404512</v>
      </c>
      <c r="L305" s="2">
        <f>geracao_mwh!L305*1000</f>
        <v>9446744.9999999963</v>
      </c>
      <c r="M305" s="2">
        <f>geracao_mwh!M305*1000</f>
        <v>9290074.0000000037</v>
      </c>
      <c r="N305" s="2">
        <f>geracao_mwh!N305*1000</f>
        <v>704086583.99999952</v>
      </c>
      <c r="O305" s="2">
        <f>geracao_mwh!O305*1000</f>
        <v>569007189.00000048</v>
      </c>
    </row>
    <row r="306" spans="1:15" x14ac:dyDescent="0.3">
      <c r="A306" s="6">
        <v>305</v>
      </c>
      <c r="B306" s="6">
        <v>2024</v>
      </c>
      <c r="C306" s="6">
        <v>5</v>
      </c>
      <c r="D306" s="2">
        <f>geracao_mwh!D306*1000</f>
        <v>873939711.99999535</v>
      </c>
      <c r="E306" s="2">
        <f>geracao_mwh!E306*1000</f>
        <v>590826722.00000083</v>
      </c>
      <c r="F306" s="2">
        <f>geracao_mwh!F306*1000</f>
        <v>10546522789.000116</v>
      </c>
      <c r="G306" s="2">
        <f>geracao_mwh!G306*1000</f>
        <v>6752909221.9999905</v>
      </c>
      <c r="H306" s="2">
        <f>geracao_mwh!H306*1000</f>
        <v>1941517467.9999907</v>
      </c>
      <c r="I306" s="2">
        <f>geracao_mwh!I306*1000</f>
        <v>33354187387.000393</v>
      </c>
      <c r="J306" s="2">
        <f>geracao_mwh!J306*1000</f>
        <v>1092886.0000000007</v>
      </c>
      <c r="K306" s="2">
        <f>geracao_mwh!K306*1000</f>
        <v>1009487376.9999995</v>
      </c>
      <c r="L306" s="2">
        <f>geracao_mwh!L306*1000</f>
        <v>9261145</v>
      </c>
      <c r="M306" s="2">
        <f>geracao_mwh!M306*1000</f>
        <v>2895298.9999999972</v>
      </c>
      <c r="N306" s="2">
        <f>geracao_mwh!N306*1000</f>
        <v>1263759280.0000007</v>
      </c>
      <c r="O306" s="2">
        <f>geracao_mwh!O306*1000</f>
        <v>501285786.9999994</v>
      </c>
    </row>
    <row r="307" spans="1:15" x14ac:dyDescent="0.3">
      <c r="A307" s="6">
        <v>306</v>
      </c>
      <c r="B307" s="6">
        <v>2024</v>
      </c>
      <c r="C307" s="6">
        <v>6</v>
      </c>
      <c r="D307" s="2">
        <f>geracao_mwh!D307*1000</f>
        <v>932014100.00000656</v>
      </c>
      <c r="E307" s="2">
        <f>geracao_mwh!E307*1000</f>
        <v>901841154.00000012</v>
      </c>
      <c r="F307" s="2">
        <f>geracao_mwh!F307*1000</f>
        <v>10692393773.999973</v>
      </c>
      <c r="G307" s="2">
        <f>geracao_mwh!G307*1000</f>
        <v>6186793388.0000095</v>
      </c>
      <c r="H307" s="2">
        <f>geracao_mwh!H307*1000</f>
        <v>2427381674.9999962</v>
      </c>
      <c r="I307" s="2">
        <f>geracao_mwh!I307*1000</f>
        <v>30292421856.000908</v>
      </c>
      <c r="J307" s="2">
        <f>geracao_mwh!J307*1000</f>
        <v>1300437.0000000005</v>
      </c>
      <c r="K307" s="2">
        <f>geracao_mwh!K307*1000</f>
        <v>980523785.00000143</v>
      </c>
      <c r="L307" s="2">
        <f>geracao_mwh!L307*1000</f>
        <v>6076900.0000000019</v>
      </c>
      <c r="M307" s="2">
        <f>geracao_mwh!M307*1000</f>
        <v>9120620.9999999981</v>
      </c>
      <c r="N307" s="2">
        <f>geracao_mwh!N307*1000</f>
        <v>1473639228.9999998</v>
      </c>
      <c r="O307" s="2">
        <f>geracao_mwh!O307*1000</f>
        <v>531732036.00000471</v>
      </c>
    </row>
    <row r="308" spans="1:15" x14ac:dyDescent="0.3">
      <c r="A308" s="6">
        <v>307</v>
      </c>
      <c r="B308" s="6">
        <v>2024</v>
      </c>
      <c r="C308" s="6">
        <v>7</v>
      </c>
      <c r="D308" s="2">
        <f>geracao_mwh!D308*1000</f>
        <v>882448195.99999738</v>
      </c>
      <c r="E308" s="2">
        <f>geracao_mwh!E308*1000</f>
        <v>910971996.99999976</v>
      </c>
      <c r="F308" s="2">
        <f>geracao_mwh!F308*1000</f>
        <v>11245328122.000118</v>
      </c>
      <c r="G308" s="2">
        <f>geracao_mwh!G308*1000</f>
        <v>6852675782.0000296</v>
      </c>
      <c r="H308" s="2">
        <f>geracao_mwh!H308*1000</f>
        <v>4342050143.0000019</v>
      </c>
      <c r="I308" s="2">
        <f>geracao_mwh!I308*1000</f>
        <v>28640181475.000347</v>
      </c>
      <c r="J308" s="2">
        <f>geracao_mwh!J308*1000</f>
        <v>1887303.9999999986</v>
      </c>
      <c r="K308" s="2">
        <f>geracao_mwh!K308*1000</f>
        <v>1295792742.0000017</v>
      </c>
      <c r="L308" s="2">
        <f>geracao_mwh!L308*1000</f>
        <v>10944041.000000052</v>
      </c>
      <c r="M308" s="2">
        <f>geracao_mwh!M308*1000</f>
        <v>7932507</v>
      </c>
      <c r="N308" s="2">
        <f>geracao_mwh!N308*1000</f>
        <v>1623039095.9999995</v>
      </c>
      <c r="O308" s="2">
        <f>geracao_mwh!O308*1000</f>
        <v>515902566.00000048</v>
      </c>
    </row>
    <row r="309" spans="1:15" x14ac:dyDescent="0.3">
      <c r="A309" s="6">
        <v>308</v>
      </c>
      <c r="B309" s="6">
        <v>2024</v>
      </c>
      <c r="C309" s="6">
        <v>8</v>
      </c>
      <c r="D309" s="2">
        <f>geracao_mwh!D309*1000</f>
        <v>934529200.99999869</v>
      </c>
      <c r="E309" s="2">
        <f>geracao_mwh!E309*1000</f>
        <v>1154944913.0000002</v>
      </c>
      <c r="F309" s="2">
        <f>geracao_mwh!F309*1000</f>
        <v>11687992222.999977</v>
      </c>
      <c r="G309" s="2">
        <f>geracao_mwh!G309*1000</f>
        <v>7297560803.0000162</v>
      </c>
      <c r="H309" s="2">
        <f>geracao_mwh!H309*1000</f>
        <v>4578354287.9999876</v>
      </c>
      <c r="I309" s="2">
        <f>geracao_mwh!I309*1000</f>
        <v>26626255602.000137</v>
      </c>
      <c r="J309" s="2">
        <f>geracao_mwh!J309*1000</f>
        <v>2005521.9999999991</v>
      </c>
      <c r="K309" s="2">
        <f>geracao_mwh!K309*1000</f>
        <v>1497307345.9999976</v>
      </c>
      <c r="L309" s="2">
        <f>geracao_mwh!L309*1000</f>
        <v>15462787.000000019</v>
      </c>
      <c r="M309" s="2">
        <f>geracao_mwh!M309*1000</f>
        <v>9265686.0000000037</v>
      </c>
      <c r="N309" s="2">
        <f>geracao_mwh!N309*1000</f>
        <v>1616855576.9999998</v>
      </c>
      <c r="O309" s="2">
        <f>geracao_mwh!O309*1000</f>
        <v>550824596.00000334</v>
      </c>
    </row>
    <row r="310" spans="1:15" x14ac:dyDescent="0.3">
      <c r="A310" s="6">
        <v>309</v>
      </c>
      <c r="B310" s="6">
        <v>2024</v>
      </c>
      <c r="C310" s="6">
        <v>9</v>
      </c>
      <c r="D310" s="2">
        <f>geracao_mwh!D310*1000</f>
        <v>582893335.99999654</v>
      </c>
      <c r="E310" s="2">
        <f>geracao_mwh!E310*1000</f>
        <v>1085700340.0000021</v>
      </c>
      <c r="F310" s="2">
        <f>geracao_mwh!F310*1000</f>
        <v>12378193982.000036</v>
      </c>
      <c r="G310" s="2">
        <f>geracao_mwh!G310*1000</f>
        <v>7682711102.9999771</v>
      </c>
      <c r="H310" s="2">
        <f>geracao_mwh!H310*1000</f>
        <v>3542002589.9999905</v>
      </c>
      <c r="I310" s="2">
        <f>geracao_mwh!I310*1000</f>
        <v>26849110160.000355</v>
      </c>
      <c r="J310" s="2">
        <f>geracao_mwh!J310*1000</f>
        <v>1732147.0000000005</v>
      </c>
      <c r="K310" s="2">
        <f>geracao_mwh!K310*1000</f>
        <v>1449266702.0000012</v>
      </c>
      <c r="L310" s="2">
        <f>geracao_mwh!L310*1000</f>
        <v>6006243.4999999991</v>
      </c>
      <c r="M310" s="2">
        <f>geracao_mwh!M310*1000</f>
        <v>7886890.9999999916</v>
      </c>
      <c r="N310" s="2">
        <f>geracao_mwh!N310*1000</f>
        <v>1633603300.9999983</v>
      </c>
      <c r="O310" s="2">
        <f>geracao_mwh!O310*1000</f>
        <v>568967227.99999893</v>
      </c>
    </row>
    <row r="311" spans="1:15" x14ac:dyDescent="0.3">
      <c r="A311" s="6">
        <v>310</v>
      </c>
      <c r="B311" s="6">
        <v>2024</v>
      </c>
      <c r="C311" s="6">
        <v>10</v>
      </c>
      <c r="D311" s="2">
        <f>geracao_mwh!D311*1000</f>
        <v>246321949.00000286</v>
      </c>
      <c r="E311" s="2">
        <f>geracao_mwh!E311*1000</f>
        <v>1128889010.9999964</v>
      </c>
      <c r="F311" s="2">
        <f>geracao_mwh!F311*1000</f>
        <v>11842420467.000233</v>
      </c>
      <c r="G311" s="2">
        <f>geracao_mwh!G311*1000</f>
        <v>8464726574.9999638</v>
      </c>
      <c r="H311" s="2">
        <f>geracao_mwh!H311*1000</f>
        <v>5153963902.0000181</v>
      </c>
      <c r="I311" s="2">
        <f>geracao_mwh!I311*1000</f>
        <v>28082307090.001114</v>
      </c>
      <c r="J311" s="2">
        <f>geracao_mwh!J311*1000</f>
        <v>2421925.9999999991</v>
      </c>
      <c r="K311" s="2">
        <f>geracao_mwh!K311*1000</f>
        <v>1493915854.9999981</v>
      </c>
      <c r="L311" s="2">
        <f>geracao_mwh!L311*1000</f>
        <v>332056.99999999994</v>
      </c>
      <c r="M311" s="2">
        <f>geracao_mwh!M311*1000</f>
        <v>3795352.9999999991</v>
      </c>
      <c r="N311" s="2">
        <f>geracao_mwh!N311*1000</f>
        <v>1632849576</v>
      </c>
      <c r="O311" s="2">
        <f>geracao_mwh!O311*1000</f>
        <v>483558277.9999997</v>
      </c>
    </row>
    <row r="398" spans="8:8" x14ac:dyDescent="0.3">
      <c r="H398" s="4"/>
    </row>
    <row r="399" spans="8:8" x14ac:dyDescent="0.3">
      <c r="H399" s="4"/>
    </row>
    <row r="400" spans="8:8" x14ac:dyDescent="0.3">
      <c r="H400" s="4"/>
    </row>
    <row r="401" spans="8:8" x14ac:dyDescent="0.3">
      <c r="H401" s="4"/>
    </row>
    <row r="402" spans="8:8" x14ac:dyDescent="0.3">
      <c r="H402" s="4"/>
    </row>
    <row r="403" spans="8:8" x14ac:dyDescent="0.3">
      <c r="H403" s="4"/>
    </row>
    <row r="404" spans="8:8" x14ac:dyDescent="0.3">
      <c r="H404" s="4"/>
    </row>
    <row r="405" spans="8:8" x14ac:dyDescent="0.3">
      <c r="H405" s="4"/>
    </row>
    <row r="406" spans="8:8" x14ac:dyDescent="0.3">
      <c r="H406" s="4"/>
    </row>
    <row r="407" spans="8:8" x14ac:dyDescent="0.3">
      <c r="H407" s="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4220-FE18-4BFF-8DDE-34120CBB953C}">
  <dimension ref="A1:O311"/>
  <sheetViews>
    <sheetView workbookViewId="0">
      <selection activeCell="F315" sqref="F315"/>
    </sheetView>
  </sheetViews>
  <sheetFormatPr defaultRowHeight="14.4" x14ac:dyDescent="0.3"/>
  <cols>
    <col min="2" max="2" width="11.44140625" bestFit="1" customWidth="1"/>
    <col min="3" max="3" width="4.5546875" customWidth="1"/>
    <col min="4" max="4" width="14.6640625" bestFit="1" customWidth="1"/>
    <col min="5" max="5" width="18.6640625" customWidth="1"/>
    <col min="6" max="7" width="15.6640625" bestFit="1" customWidth="1"/>
    <col min="8" max="8" width="19.33203125" customWidth="1"/>
    <col min="9" max="9" width="16.6640625" bestFit="1" customWidth="1"/>
    <col min="10" max="10" width="16.6640625" customWidth="1"/>
    <col min="11" max="11" width="17.109375" customWidth="1"/>
    <col min="12" max="12" width="17.21875" customWidth="1"/>
    <col min="13" max="13" width="19" customWidth="1"/>
    <col min="14" max="15" width="14.6640625" bestFit="1" customWidth="1"/>
  </cols>
  <sheetData>
    <row r="1" spans="1:15" ht="28.8" x14ac:dyDescent="0.3">
      <c r="A1" s="5" t="s">
        <v>14</v>
      </c>
      <c r="B1" s="5" t="s">
        <v>0</v>
      </c>
      <c r="C1" s="5" t="s">
        <v>13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12</v>
      </c>
      <c r="K1" s="5" t="s">
        <v>7</v>
      </c>
      <c r="L1" s="5" t="s">
        <v>8</v>
      </c>
      <c r="M1" s="5" t="s">
        <v>9</v>
      </c>
      <c r="N1" s="8" t="s">
        <v>10</v>
      </c>
      <c r="O1" s="8" t="s">
        <v>11</v>
      </c>
    </row>
    <row r="2" spans="1:15" x14ac:dyDescent="0.3">
      <c r="A2" s="6">
        <v>1</v>
      </c>
      <c r="B2" s="6">
        <v>2000</v>
      </c>
      <c r="C2" s="6">
        <v>1</v>
      </c>
      <c r="D2" s="2">
        <f>geracao_kwh!D2*lcae!$D$2</f>
        <v>2639291199.999999</v>
      </c>
      <c r="E2" s="2">
        <f>geracao_kwh!E2*lcae!$E$2</f>
        <v>771736665700</v>
      </c>
      <c r="F2" s="2">
        <f>geracao_kwh!F2*lcae!$F$2</f>
        <v>0</v>
      </c>
      <c r="G2" s="2">
        <f>geracao_kwh!G2*lcae!$G$2</f>
        <v>0</v>
      </c>
      <c r="H2" s="2">
        <f>geracao_kwh!H2*lcae!$H$2</f>
        <v>247981305600.00006</v>
      </c>
      <c r="I2" s="2">
        <f>geracao_kwh!I2*lcae!$I$2</f>
        <v>581936561849.99365</v>
      </c>
      <c r="J2" s="2">
        <f>geracao_kwh!J2*lcae!$J$2</f>
        <v>0</v>
      </c>
      <c r="K2" s="2">
        <f>geracao_kwh!K2*lcae!$K$2</f>
        <v>5435015299.999999</v>
      </c>
      <c r="L2" s="2">
        <f>geracao_kwh!L2*lcae!$L$2</f>
        <v>94005324000.000107</v>
      </c>
      <c r="M2" s="2">
        <f>geracao_kwh!M2*lcae!$M$2</f>
        <v>0</v>
      </c>
      <c r="N2" s="2">
        <f>geracao_kwh!N2*lcae!$N$2</f>
        <v>0</v>
      </c>
      <c r="O2" s="2">
        <f>geracao_kwh!O2*lcae!$O$2</f>
        <v>0</v>
      </c>
    </row>
    <row r="3" spans="1:15" x14ac:dyDescent="0.3">
      <c r="A3" s="6">
        <v>2</v>
      </c>
      <c r="B3" s="6">
        <v>2000</v>
      </c>
      <c r="C3" s="6">
        <v>2</v>
      </c>
      <c r="D3" s="2">
        <f>geracao_kwh!D3*lcae!$D$2</f>
        <v>594828000.00000012</v>
      </c>
      <c r="E3" s="2">
        <f>geracao_kwh!E3*lcae!$E$2</f>
        <v>726165640200.00037</v>
      </c>
      <c r="F3" s="2">
        <f>geracao_kwh!F3*lcae!$F$2</f>
        <v>0</v>
      </c>
      <c r="G3" s="2">
        <f>geracao_kwh!G3*lcae!$G$2</f>
        <v>0</v>
      </c>
      <c r="H3" s="2">
        <f>geracao_kwh!H3*lcae!$H$2</f>
        <v>281884471199.99988</v>
      </c>
      <c r="I3" s="2">
        <f>geracao_kwh!I3*lcae!$I$2</f>
        <v>563848488000.00989</v>
      </c>
      <c r="J3" s="2">
        <f>geracao_kwh!J3*lcae!$J$2</f>
        <v>0</v>
      </c>
      <c r="K3" s="2">
        <f>geracao_kwh!K3*lcae!$K$2</f>
        <v>5200560300</v>
      </c>
      <c r="L3" s="2">
        <f>geracao_kwh!L3*lcae!$L$2</f>
        <v>58057103999.999977</v>
      </c>
      <c r="M3" s="2">
        <f>geracao_kwh!M3*lcae!$M$2</f>
        <v>0</v>
      </c>
      <c r="N3" s="2">
        <f>geracao_kwh!N3*lcae!$N$2</f>
        <v>0</v>
      </c>
      <c r="O3" s="2">
        <f>geracao_kwh!O3*lcae!$O$2</f>
        <v>0</v>
      </c>
    </row>
    <row r="4" spans="1:15" x14ac:dyDescent="0.3">
      <c r="A4" s="6">
        <v>3</v>
      </c>
      <c r="B4" s="6">
        <v>2000</v>
      </c>
      <c r="C4" s="6">
        <v>3</v>
      </c>
      <c r="D4" s="2">
        <f>geracao_kwh!D4*lcae!$D$2</f>
        <v>199960800</v>
      </c>
      <c r="E4" s="2">
        <f>geracao_kwh!E4*lcae!$E$2</f>
        <v>686484248449.99915</v>
      </c>
      <c r="F4" s="2">
        <f>geracao_kwh!F4*lcae!$F$2</f>
        <v>0</v>
      </c>
      <c r="G4" s="2">
        <f>geracao_kwh!G4*lcae!$G$2</f>
        <v>0</v>
      </c>
      <c r="H4" s="2">
        <f>geracao_kwh!H4*lcae!$H$2</f>
        <v>249349677480.00003</v>
      </c>
      <c r="I4" s="2">
        <f>geracao_kwh!I4*lcae!$I$2</f>
        <v>604577061760.14038</v>
      </c>
      <c r="J4" s="2">
        <f>geracao_kwh!J4*lcae!$J$2</f>
        <v>0</v>
      </c>
      <c r="K4" s="2">
        <f>geracao_kwh!K4*lcae!$K$2</f>
        <v>5202432300.000001</v>
      </c>
      <c r="L4" s="2">
        <f>geracao_kwh!L4*lcae!$L$2</f>
        <v>65685774084.000183</v>
      </c>
      <c r="M4" s="2">
        <f>geracao_kwh!M4*lcae!$M$2</f>
        <v>0</v>
      </c>
      <c r="N4" s="2">
        <f>geracao_kwh!N4*lcae!$N$2</f>
        <v>0</v>
      </c>
      <c r="O4" s="2">
        <f>geracao_kwh!O4*lcae!$O$2</f>
        <v>0</v>
      </c>
    </row>
    <row r="5" spans="1:15" x14ac:dyDescent="0.3">
      <c r="A5" s="6">
        <v>4</v>
      </c>
      <c r="B5" s="6">
        <v>2000</v>
      </c>
      <c r="C5" s="6">
        <v>4</v>
      </c>
      <c r="D5" s="2">
        <f>geracao_kwh!D5*lcae!$D$2</f>
        <v>187200000</v>
      </c>
      <c r="E5" s="2">
        <f>geracao_kwh!E5*lcae!$E$2</f>
        <v>676277301700.00012</v>
      </c>
      <c r="F5" s="2">
        <f>geracao_kwh!F5*lcae!$F$2</f>
        <v>0</v>
      </c>
      <c r="G5" s="2">
        <f>geracao_kwh!G5*lcae!$G$2</f>
        <v>0</v>
      </c>
      <c r="H5" s="2">
        <f>geracao_kwh!H5*lcae!$H$2</f>
        <v>163977955199.99994</v>
      </c>
      <c r="I5" s="2">
        <f>geracao_kwh!I5*lcae!$I$2</f>
        <v>584022576899.99829</v>
      </c>
      <c r="J5" s="2">
        <f>geracao_kwh!J5*lcae!$J$2</f>
        <v>0</v>
      </c>
      <c r="K5" s="2">
        <f>geracao_kwh!K5*lcae!$K$2</f>
        <v>4665512800.000001</v>
      </c>
      <c r="L5" s="2">
        <f>geracao_kwh!L5*lcae!$L$2</f>
        <v>33001164000.000011</v>
      </c>
      <c r="M5" s="2">
        <f>geracao_kwh!M5*lcae!$M$2</f>
        <v>0</v>
      </c>
      <c r="N5" s="2">
        <f>geracao_kwh!N5*lcae!$N$2</f>
        <v>0</v>
      </c>
      <c r="O5" s="2">
        <f>geracao_kwh!O5*lcae!$O$2</f>
        <v>0</v>
      </c>
    </row>
    <row r="6" spans="1:15" x14ac:dyDescent="0.3">
      <c r="A6" s="6">
        <v>5</v>
      </c>
      <c r="B6" s="6">
        <v>2000</v>
      </c>
      <c r="C6" s="6">
        <v>5</v>
      </c>
      <c r="D6" s="2">
        <f>geracao_kwh!D6*lcae!$D$2</f>
        <v>228961200</v>
      </c>
      <c r="E6" s="2">
        <f>geracao_kwh!E6*lcae!$E$2</f>
        <v>726600574699.99805</v>
      </c>
      <c r="F6" s="2">
        <f>geracao_kwh!F6*lcae!$F$2</f>
        <v>0</v>
      </c>
      <c r="G6" s="2">
        <f>geracao_kwh!G6*lcae!$G$2</f>
        <v>0</v>
      </c>
      <c r="H6" s="2">
        <f>geracao_kwh!H6*lcae!$H$2</f>
        <v>244567592999.99973</v>
      </c>
      <c r="I6" s="2">
        <f>geracao_kwh!I6*lcae!$I$2</f>
        <v>605081231999.99731</v>
      </c>
      <c r="J6" s="2">
        <f>geracao_kwh!J6*lcae!$J$2</f>
        <v>0</v>
      </c>
      <c r="K6" s="2">
        <f>geracao_kwh!K6*lcae!$K$2</f>
        <v>0</v>
      </c>
      <c r="L6" s="2">
        <f>geracao_kwh!L6*lcae!$L$2</f>
        <v>85222620000</v>
      </c>
      <c r="M6" s="2">
        <f>geracao_kwh!M6*lcae!$M$2</f>
        <v>0</v>
      </c>
      <c r="N6" s="2">
        <f>geracao_kwh!N6*lcae!$N$2</f>
        <v>0</v>
      </c>
      <c r="O6" s="2">
        <f>geracao_kwh!O6*lcae!$O$2</f>
        <v>0</v>
      </c>
    </row>
    <row r="7" spans="1:15" x14ac:dyDescent="0.3">
      <c r="A7" s="6">
        <v>6</v>
      </c>
      <c r="B7" s="6">
        <v>2000</v>
      </c>
      <c r="C7" s="6">
        <v>6</v>
      </c>
      <c r="D7" s="2">
        <f>geracao_kwh!D7*lcae!$D$2</f>
        <v>391918800</v>
      </c>
      <c r="E7" s="2">
        <f>geracao_kwh!E7*lcae!$E$2</f>
        <v>725726501500.00049</v>
      </c>
      <c r="F7" s="2">
        <f>geracao_kwh!F7*lcae!$F$2</f>
        <v>0</v>
      </c>
      <c r="G7" s="2">
        <f>geracao_kwh!G7*lcae!$G$2</f>
        <v>0</v>
      </c>
      <c r="H7" s="2">
        <f>geracao_kwh!H7*lcae!$H$2</f>
        <v>279125157600</v>
      </c>
      <c r="I7" s="2">
        <f>geracao_kwh!I7*lcae!$I$2</f>
        <v>574904658299.99963</v>
      </c>
      <c r="J7" s="2">
        <f>geracao_kwh!J7*lcae!$J$2</f>
        <v>0</v>
      </c>
      <c r="K7" s="2">
        <f>geracao_kwh!K7*lcae!$K$2</f>
        <v>144300</v>
      </c>
      <c r="L7" s="2">
        <f>geracao_kwh!L7*lcae!$L$2</f>
        <v>89038656000.000046</v>
      </c>
      <c r="M7" s="2">
        <f>geracao_kwh!M7*lcae!$M$2</f>
        <v>0</v>
      </c>
      <c r="N7" s="2">
        <f>geracao_kwh!N7*lcae!$N$2</f>
        <v>0</v>
      </c>
      <c r="O7" s="2">
        <f>geracao_kwh!O7*lcae!$O$2</f>
        <v>0</v>
      </c>
    </row>
    <row r="8" spans="1:15" x14ac:dyDescent="0.3">
      <c r="A8" s="6">
        <v>7</v>
      </c>
      <c r="B8" s="6">
        <v>2000</v>
      </c>
      <c r="C8" s="6">
        <v>7</v>
      </c>
      <c r="D8" s="2">
        <f>geracao_kwh!D8*lcae!$D$2</f>
        <v>267670000</v>
      </c>
      <c r="E8" s="2">
        <f>geracao_kwh!E8*lcae!$E$2</f>
        <v>608105798300.00073</v>
      </c>
      <c r="F8" s="2">
        <f>geracao_kwh!F8*lcae!$F$2</f>
        <v>0</v>
      </c>
      <c r="G8" s="2">
        <f>geracao_kwh!G8*lcae!$G$2</f>
        <v>0</v>
      </c>
      <c r="H8" s="2">
        <f>geracao_kwh!H8*lcae!$H$2</f>
        <v>262484955000.00027</v>
      </c>
      <c r="I8" s="2">
        <f>geracao_kwh!I8*lcae!$I$2</f>
        <v>581264250629.99683</v>
      </c>
      <c r="J8" s="2">
        <f>geracao_kwh!J8*lcae!$J$2</f>
        <v>0</v>
      </c>
      <c r="K8" s="2">
        <f>geracao_kwh!K8*lcae!$K$2</f>
        <v>882452999.99999964</v>
      </c>
      <c r="L8" s="2">
        <f>geracao_kwh!L8*lcae!$L$2</f>
        <v>109373880000.00003</v>
      </c>
      <c r="M8" s="2">
        <f>geracao_kwh!M8*lcae!$M$2</f>
        <v>0</v>
      </c>
      <c r="N8" s="2">
        <f>geracao_kwh!N8*lcae!$N$2</f>
        <v>0</v>
      </c>
      <c r="O8" s="2">
        <f>geracao_kwh!O8*lcae!$O$2</f>
        <v>0</v>
      </c>
    </row>
    <row r="9" spans="1:15" x14ac:dyDescent="0.3">
      <c r="A9" s="6">
        <v>8</v>
      </c>
      <c r="B9" s="6">
        <v>2000</v>
      </c>
      <c r="C9" s="6">
        <v>8</v>
      </c>
      <c r="D9" s="2">
        <f>geracao_kwh!D9*lcae!$D$2</f>
        <v>425838400.00000006</v>
      </c>
      <c r="E9" s="2">
        <f>geracao_kwh!E9*lcae!$E$2</f>
        <v>628125197699.99915</v>
      </c>
      <c r="F9" s="2">
        <f>geracao_kwh!F9*lcae!$F$2</f>
        <v>0</v>
      </c>
      <c r="G9" s="2">
        <f>geracao_kwh!G9*lcae!$G$2</f>
        <v>0</v>
      </c>
      <c r="H9" s="2">
        <f>geracao_kwh!H9*lcae!$H$2</f>
        <v>265899445200.00024</v>
      </c>
      <c r="I9" s="2">
        <f>geracao_kwh!I9*lcae!$I$2</f>
        <v>584057638499.99341</v>
      </c>
      <c r="J9" s="2">
        <f>geracao_kwh!J9*lcae!$J$2</f>
        <v>0</v>
      </c>
      <c r="K9" s="2">
        <f>geracao_kwh!K9*lcae!$K$2</f>
        <v>8741080400.0000038</v>
      </c>
      <c r="L9" s="2">
        <f>geracao_kwh!L9*lcae!$L$2</f>
        <v>107218188000.00023</v>
      </c>
      <c r="M9" s="2">
        <f>geracao_kwh!M9*lcae!$M$2</f>
        <v>0</v>
      </c>
      <c r="N9" s="2">
        <f>geracao_kwh!N9*lcae!$N$2</f>
        <v>0</v>
      </c>
      <c r="O9" s="2">
        <f>geracao_kwh!O9*lcae!$O$2</f>
        <v>0</v>
      </c>
    </row>
    <row r="10" spans="1:15" x14ac:dyDescent="0.3">
      <c r="A10" s="6">
        <v>9</v>
      </c>
      <c r="B10" s="6">
        <v>2000</v>
      </c>
      <c r="C10" s="6">
        <v>9</v>
      </c>
      <c r="D10" s="2">
        <f>geracao_kwh!D10*lcae!$D$2</f>
        <v>977990000</v>
      </c>
      <c r="E10" s="2">
        <f>geracao_kwh!E10*lcae!$E$2</f>
        <v>397757560200</v>
      </c>
      <c r="F10" s="2">
        <f>geracao_kwh!F10*lcae!$F$2</f>
        <v>0</v>
      </c>
      <c r="G10" s="2">
        <f>geracao_kwh!G10*lcae!$G$2</f>
        <v>0</v>
      </c>
      <c r="H10" s="2">
        <f>geracao_kwh!H10*lcae!$H$2</f>
        <v>243138412799.99951</v>
      </c>
      <c r="I10" s="2">
        <f>geracao_kwh!I10*lcae!$I$2</f>
        <v>577142566980.00232</v>
      </c>
      <c r="J10" s="2">
        <f>geracao_kwh!J10*lcae!$J$2</f>
        <v>0</v>
      </c>
      <c r="K10" s="2">
        <f>geracao_kwh!K10*lcae!$K$2</f>
        <v>10155550599.999994</v>
      </c>
      <c r="L10" s="2">
        <f>geracao_kwh!L10*lcae!$L$2</f>
        <v>67530313200.000053</v>
      </c>
      <c r="M10" s="2">
        <f>geracao_kwh!M10*lcae!$M$2</f>
        <v>0</v>
      </c>
      <c r="N10" s="2">
        <f>geracao_kwh!N10*lcae!$N$2</f>
        <v>0</v>
      </c>
      <c r="O10" s="2">
        <f>geracao_kwh!O10*lcae!$O$2</f>
        <v>0</v>
      </c>
    </row>
    <row r="11" spans="1:15" x14ac:dyDescent="0.3">
      <c r="A11" s="6">
        <v>10</v>
      </c>
      <c r="B11" s="6">
        <v>2000</v>
      </c>
      <c r="C11" s="6">
        <v>10</v>
      </c>
      <c r="D11" s="2">
        <f>geracao_kwh!D11*lcae!$D$2</f>
        <v>183908399.99999997</v>
      </c>
      <c r="E11" s="2">
        <f>geracao_kwh!E11*lcae!$E$2</f>
        <v>337680943600.00012</v>
      </c>
      <c r="F11" s="2">
        <f>geracao_kwh!F11*lcae!$F$2</f>
        <v>0</v>
      </c>
      <c r="G11" s="2">
        <f>geracao_kwh!G11*lcae!$G$2</f>
        <v>0</v>
      </c>
      <c r="H11" s="2">
        <f>geracao_kwh!H11*lcae!$H$2</f>
        <v>267923780999.99954</v>
      </c>
      <c r="I11" s="2">
        <f>geracao_kwh!I11*lcae!$I$2</f>
        <v>630729107610.00366</v>
      </c>
      <c r="J11" s="2">
        <f>geracao_kwh!J11*lcae!$J$2</f>
        <v>0</v>
      </c>
      <c r="K11" s="2">
        <f>geracao_kwh!K11*lcae!$K$2</f>
        <v>7083909814.7999945</v>
      </c>
      <c r="L11" s="2">
        <f>geracao_kwh!L11*lcae!$L$2</f>
        <v>59195388000.000015</v>
      </c>
      <c r="M11" s="2">
        <f>geracao_kwh!M11*lcae!$M$2</f>
        <v>0</v>
      </c>
      <c r="N11" s="2">
        <f>geracao_kwh!N11*lcae!$N$2</f>
        <v>0</v>
      </c>
      <c r="O11" s="2">
        <f>geracao_kwh!O11*lcae!$O$2</f>
        <v>0</v>
      </c>
    </row>
    <row r="12" spans="1:15" x14ac:dyDescent="0.3">
      <c r="A12" s="6">
        <v>11</v>
      </c>
      <c r="B12" s="6">
        <v>2000</v>
      </c>
      <c r="C12" s="6">
        <v>11</v>
      </c>
      <c r="D12" s="2">
        <f>geracao_kwh!D12*lcae!$D$2</f>
        <v>185842799.99999997</v>
      </c>
      <c r="E12" s="2">
        <f>geracao_kwh!E12*lcae!$E$2</f>
        <v>490478488499.99976</v>
      </c>
      <c r="F12" s="2">
        <f>geracao_kwh!F12*lcae!$F$2</f>
        <v>0</v>
      </c>
      <c r="G12" s="2">
        <f>geracao_kwh!G12*lcae!$G$2</f>
        <v>0</v>
      </c>
      <c r="H12" s="2">
        <f>geracao_kwh!H12*lcae!$H$2</f>
        <v>266556419999.99994</v>
      </c>
      <c r="I12" s="2">
        <f>geracao_kwh!I12*lcae!$I$2</f>
        <v>579892584390.00281</v>
      </c>
      <c r="J12" s="2">
        <f>geracao_kwh!J12*lcae!$J$2</f>
        <v>0</v>
      </c>
      <c r="K12" s="2">
        <f>geracao_kwh!K12*lcae!$K$2</f>
        <v>14661986697.800014</v>
      </c>
      <c r="L12" s="2">
        <f>geracao_kwh!L12*lcae!$L$2</f>
        <v>84331800000.000092</v>
      </c>
      <c r="M12" s="2">
        <f>geracao_kwh!M12*lcae!$M$2</f>
        <v>0</v>
      </c>
      <c r="N12" s="2">
        <f>geracao_kwh!N12*lcae!$N$2</f>
        <v>0</v>
      </c>
      <c r="O12" s="2">
        <f>geracao_kwh!O12*lcae!$O$2</f>
        <v>0</v>
      </c>
    </row>
    <row r="13" spans="1:15" x14ac:dyDescent="0.3">
      <c r="A13" s="6">
        <v>12</v>
      </c>
      <c r="B13" s="6">
        <v>2000</v>
      </c>
      <c r="C13" s="6">
        <v>12</v>
      </c>
      <c r="D13" s="2">
        <f>geracao_kwh!D13*lcae!$D$2</f>
        <v>479897600</v>
      </c>
      <c r="E13" s="2">
        <f>geracao_kwh!E13*lcae!$E$2</f>
        <v>640789949799.99976</v>
      </c>
      <c r="F13" s="2">
        <f>geracao_kwh!F13*lcae!$F$2</f>
        <v>0</v>
      </c>
      <c r="G13" s="2">
        <f>geracao_kwh!G13*lcae!$G$2</f>
        <v>0</v>
      </c>
      <c r="H13" s="2">
        <f>geracao_kwh!H13*lcae!$H$2</f>
        <v>327293492399.99969</v>
      </c>
      <c r="I13" s="2">
        <f>geracao_kwh!I13*lcae!$I$2</f>
        <v>579971680260.00146</v>
      </c>
      <c r="J13" s="2">
        <f>geracao_kwh!J13*lcae!$J$2</f>
        <v>0</v>
      </c>
      <c r="K13" s="2">
        <f>geracao_kwh!K13*lcae!$K$2</f>
        <v>15923144680.299992</v>
      </c>
      <c r="L13" s="2">
        <f>geracao_kwh!L13*lcae!$L$2</f>
        <v>79146059999.999939</v>
      </c>
      <c r="M13" s="2">
        <f>geracao_kwh!M13*lcae!$M$2</f>
        <v>0</v>
      </c>
      <c r="N13" s="2">
        <f>geracao_kwh!N13*lcae!$N$2</f>
        <v>0</v>
      </c>
      <c r="O13" s="2">
        <f>geracao_kwh!O13*lcae!$O$2</f>
        <v>0</v>
      </c>
    </row>
    <row r="14" spans="1:15" x14ac:dyDescent="0.3">
      <c r="A14" s="6">
        <v>13</v>
      </c>
      <c r="B14" s="6">
        <v>2001</v>
      </c>
      <c r="C14" s="6">
        <v>1</v>
      </c>
      <c r="D14" s="2">
        <f>geracao_kwh!D14*lcae!$D$2</f>
        <v>228701200</v>
      </c>
      <c r="E14" s="2">
        <f>geracao_kwh!E14*lcae!$E$2</f>
        <v>594120226700.00232</v>
      </c>
      <c r="F14" s="2">
        <f>geracao_kwh!F14*lcae!$F$2</f>
        <v>0</v>
      </c>
      <c r="G14" s="2">
        <f>geracao_kwh!G14*lcae!$G$2</f>
        <v>0</v>
      </c>
      <c r="H14" s="2">
        <f>geracao_kwh!H14*lcae!$H$2</f>
        <v>360812377800.00073</v>
      </c>
      <c r="I14" s="2">
        <f>geracao_kwh!I14*lcae!$I$2</f>
        <v>608210037119.9917</v>
      </c>
      <c r="J14" s="2">
        <f>geracao_kwh!J14*lcae!$J$2</f>
        <v>0</v>
      </c>
      <c r="K14" s="2">
        <f>geracao_kwh!K14*lcae!$K$2</f>
        <v>13010363095.599991</v>
      </c>
      <c r="L14" s="2">
        <f>geracao_kwh!L14*lcae!$L$2</f>
        <v>68591627999.999916</v>
      </c>
      <c r="M14" s="2">
        <f>geracao_kwh!M14*lcae!$M$2</f>
        <v>0</v>
      </c>
      <c r="N14" s="2">
        <f>geracao_kwh!N14*lcae!$N$2</f>
        <v>0</v>
      </c>
      <c r="O14" s="2">
        <f>geracao_kwh!O14*lcae!$O$2</f>
        <v>0</v>
      </c>
    </row>
    <row r="15" spans="1:15" x14ac:dyDescent="0.3">
      <c r="A15" s="6">
        <v>14</v>
      </c>
      <c r="B15" s="6">
        <v>2001</v>
      </c>
      <c r="C15" s="6">
        <v>2</v>
      </c>
      <c r="D15" s="2">
        <f>geracao_kwh!D15*lcae!$D$2</f>
        <v>155178400</v>
      </c>
      <c r="E15" s="2">
        <f>geracao_kwh!E15*lcae!$E$2</f>
        <v>459833273900.00043</v>
      </c>
      <c r="F15" s="2">
        <f>geracao_kwh!F15*lcae!$F$2</f>
        <v>0</v>
      </c>
      <c r="G15" s="2">
        <f>geracao_kwh!G15*lcae!$G$2</f>
        <v>0</v>
      </c>
      <c r="H15" s="2">
        <f>geracao_kwh!H15*lcae!$H$2</f>
        <v>383963230800.00061</v>
      </c>
      <c r="I15" s="2">
        <f>geracao_kwh!I15*lcae!$I$2</f>
        <v>565192899600.0083</v>
      </c>
      <c r="J15" s="2">
        <f>geracao_kwh!J15*lcae!$J$2</f>
        <v>0</v>
      </c>
      <c r="K15" s="2">
        <f>geracao_kwh!K15*lcae!$K$2</f>
        <v>14580349289.999969</v>
      </c>
      <c r="L15" s="2">
        <f>geracao_kwh!L15*lcae!$L$2</f>
        <v>73726884000.000107</v>
      </c>
      <c r="M15" s="2">
        <f>geracao_kwh!M15*lcae!$M$2</f>
        <v>0</v>
      </c>
      <c r="N15" s="2">
        <f>geracao_kwh!N15*lcae!$N$2</f>
        <v>0</v>
      </c>
      <c r="O15" s="2">
        <f>geracao_kwh!O15*lcae!$O$2</f>
        <v>0</v>
      </c>
    </row>
    <row r="16" spans="1:15" x14ac:dyDescent="0.3">
      <c r="A16" s="6">
        <v>15</v>
      </c>
      <c r="B16" s="6">
        <v>2001</v>
      </c>
      <c r="C16" s="6">
        <v>3</v>
      </c>
      <c r="D16" s="2">
        <f>geracao_kwh!D16*lcae!$D$2</f>
        <v>193975599.99999997</v>
      </c>
      <c r="E16" s="2">
        <f>geracao_kwh!E16*lcae!$E$2</f>
        <v>587553666699.9989</v>
      </c>
      <c r="F16" s="2">
        <f>geracao_kwh!F16*lcae!$F$2</f>
        <v>0</v>
      </c>
      <c r="G16" s="2">
        <f>geracao_kwh!G16*lcae!$G$2</f>
        <v>0</v>
      </c>
      <c r="H16" s="2">
        <f>geracao_kwh!H16*lcae!$H$2</f>
        <v>464850981000</v>
      </c>
      <c r="I16" s="2">
        <f>geracao_kwh!I16*lcae!$I$2</f>
        <v>625980709200.00134</v>
      </c>
      <c r="J16" s="2">
        <f>geracao_kwh!J16*lcae!$J$2</f>
        <v>0</v>
      </c>
      <c r="K16" s="2">
        <f>geracao_kwh!K16*lcae!$K$2</f>
        <v>16556150910.000025</v>
      </c>
      <c r="L16" s="2">
        <f>geracao_kwh!L16*lcae!$L$2</f>
        <v>49768404000.000046</v>
      </c>
      <c r="M16" s="2">
        <f>geracao_kwh!M16*lcae!$M$2</f>
        <v>0</v>
      </c>
      <c r="N16" s="2">
        <f>geracao_kwh!N16*lcae!$N$2</f>
        <v>0</v>
      </c>
      <c r="O16" s="2">
        <f>geracao_kwh!O16*lcae!$O$2</f>
        <v>0</v>
      </c>
    </row>
    <row r="17" spans="1:15" x14ac:dyDescent="0.3">
      <c r="A17" s="6">
        <v>16</v>
      </c>
      <c r="B17" s="6">
        <v>2001</v>
      </c>
      <c r="C17" s="6">
        <v>4</v>
      </c>
      <c r="D17" s="2">
        <f>geracao_kwh!D17*lcae!$D$2</f>
        <v>149760000</v>
      </c>
      <c r="E17" s="2">
        <f>geracao_kwh!E17*lcae!$E$2</f>
        <v>590556066099.99817</v>
      </c>
      <c r="F17" s="2">
        <f>geracao_kwh!F17*lcae!$F$2</f>
        <v>0</v>
      </c>
      <c r="G17" s="2">
        <f>geracao_kwh!G17*lcae!$G$2</f>
        <v>0</v>
      </c>
      <c r="H17" s="2">
        <f>geracao_kwh!H17*lcae!$H$2</f>
        <v>435892369680</v>
      </c>
      <c r="I17" s="2">
        <f>geracao_kwh!I17*lcae!$I$2</f>
        <v>590324223720.00708</v>
      </c>
      <c r="J17" s="2">
        <f>geracao_kwh!J17*lcae!$J$2</f>
        <v>0</v>
      </c>
      <c r="K17" s="2">
        <f>geracao_kwh!K17*lcae!$K$2</f>
        <v>10745134660.000011</v>
      </c>
      <c r="L17" s="2">
        <f>geracao_kwh!L17*lcae!$L$2</f>
        <v>83255087999.999908</v>
      </c>
      <c r="M17" s="2">
        <f>geracao_kwh!M17*lcae!$M$2</f>
        <v>0</v>
      </c>
      <c r="N17" s="2">
        <f>geracao_kwh!N17*lcae!$N$2</f>
        <v>0</v>
      </c>
      <c r="O17" s="2">
        <f>geracao_kwh!O17*lcae!$O$2</f>
        <v>0</v>
      </c>
    </row>
    <row r="18" spans="1:15" x14ac:dyDescent="0.3">
      <c r="A18" s="6">
        <v>17</v>
      </c>
      <c r="B18" s="6">
        <v>2001</v>
      </c>
      <c r="C18" s="6">
        <v>5</v>
      </c>
      <c r="D18" s="2">
        <f>geracao_kwh!D18*lcae!$D$2</f>
        <v>280045999.99999988</v>
      </c>
      <c r="E18" s="2">
        <f>geracao_kwh!E18*lcae!$E$2</f>
        <v>618789471300.00195</v>
      </c>
      <c r="F18" s="2">
        <f>geracao_kwh!F18*lcae!$F$2</f>
        <v>0</v>
      </c>
      <c r="G18" s="2">
        <f>geracao_kwh!G18*lcae!$G$2</f>
        <v>0</v>
      </c>
      <c r="H18" s="2">
        <f>geracao_kwh!H18*lcae!$H$2</f>
        <v>498626522999.99951</v>
      </c>
      <c r="I18" s="2">
        <f>geracao_kwh!I18*lcae!$I$2</f>
        <v>559210595160.00659</v>
      </c>
      <c r="J18" s="2">
        <f>geracao_kwh!J18*lcae!$J$2</f>
        <v>0</v>
      </c>
      <c r="K18" s="2">
        <f>geracao_kwh!K18*lcae!$K$2</f>
        <v>10264078889.999992</v>
      </c>
      <c r="L18" s="2">
        <f>geracao_kwh!L18*lcae!$L$2</f>
        <v>118300812000.00011</v>
      </c>
      <c r="M18" s="2">
        <f>geracao_kwh!M18*lcae!$M$2</f>
        <v>0</v>
      </c>
      <c r="N18" s="2">
        <f>geracao_kwh!N18*lcae!$N$2</f>
        <v>0</v>
      </c>
      <c r="O18" s="2">
        <f>geracao_kwh!O18*lcae!$O$2</f>
        <v>0</v>
      </c>
    </row>
    <row r="19" spans="1:15" x14ac:dyDescent="0.3">
      <c r="A19" s="6">
        <v>18</v>
      </c>
      <c r="B19" s="6">
        <v>2001</v>
      </c>
      <c r="C19" s="6">
        <v>6</v>
      </c>
      <c r="D19" s="2">
        <f>geracao_kwh!D19*lcae!$D$2</f>
        <v>736788000.00000024</v>
      </c>
      <c r="E19" s="2">
        <f>geracao_kwh!E19*lcae!$E$2</f>
        <v>583221038399.99768</v>
      </c>
      <c r="F19" s="2">
        <f>geracao_kwh!F19*lcae!$F$2</f>
        <v>0</v>
      </c>
      <c r="G19" s="2">
        <f>geracao_kwh!G19*lcae!$G$2</f>
        <v>0</v>
      </c>
      <c r="H19" s="2">
        <f>geracao_kwh!H19*lcae!$H$2</f>
        <v>430121032199.99884</v>
      </c>
      <c r="I19" s="2">
        <f>geracao_kwh!I19*lcae!$I$2</f>
        <v>440565170220.00183</v>
      </c>
      <c r="J19" s="2">
        <f>geracao_kwh!J19*lcae!$J$2</f>
        <v>0</v>
      </c>
      <c r="K19" s="2">
        <f>geracao_kwh!K19*lcae!$K$2</f>
        <v>15248149669.999971</v>
      </c>
      <c r="L19" s="2">
        <f>geracao_kwh!L19*lcae!$L$2</f>
        <v>105750708000.00002</v>
      </c>
      <c r="M19" s="2">
        <f>geracao_kwh!M19*lcae!$M$2</f>
        <v>0</v>
      </c>
      <c r="N19" s="2">
        <f>geracao_kwh!N19*lcae!$N$2</f>
        <v>0</v>
      </c>
      <c r="O19" s="2">
        <f>geracao_kwh!O19*lcae!$O$2</f>
        <v>0</v>
      </c>
    </row>
    <row r="20" spans="1:15" x14ac:dyDescent="0.3">
      <c r="A20" s="6">
        <v>19</v>
      </c>
      <c r="B20" s="6">
        <v>2001</v>
      </c>
      <c r="C20" s="6">
        <v>7</v>
      </c>
      <c r="D20" s="2">
        <f>geracao_kwh!D20*lcae!$D$2</f>
        <v>283925199.99999994</v>
      </c>
      <c r="E20" s="2">
        <f>geracao_kwh!E20*lcae!$E$2</f>
        <v>451770218899.99982</v>
      </c>
      <c r="F20" s="2">
        <f>geracao_kwh!F20*lcae!$F$2</f>
        <v>0</v>
      </c>
      <c r="G20" s="2">
        <f>geracao_kwh!G20*lcae!$G$2</f>
        <v>0</v>
      </c>
      <c r="H20" s="2">
        <f>geracao_kwh!H20*lcae!$H$2</f>
        <v>436150542599.99963</v>
      </c>
      <c r="I20" s="2">
        <f>geracao_kwh!I20*lcae!$I$2</f>
        <v>451954998809.99402</v>
      </c>
      <c r="J20" s="2">
        <f>geracao_kwh!J20*lcae!$J$2</f>
        <v>0</v>
      </c>
      <c r="K20" s="2">
        <f>geracao_kwh!K20*lcae!$K$2</f>
        <v>18754157239.999992</v>
      </c>
      <c r="L20" s="2">
        <f>geracao_kwh!L20*lcae!$L$2</f>
        <v>76305599999.999939</v>
      </c>
      <c r="M20" s="2">
        <f>geracao_kwh!M20*lcae!$M$2</f>
        <v>0</v>
      </c>
      <c r="N20" s="2">
        <f>geracao_kwh!N20*lcae!$N$2</f>
        <v>0</v>
      </c>
      <c r="O20" s="2">
        <f>geracao_kwh!O20*lcae!$O$2</f>
        <v>0</v>
      </c>
    </row>
    <row r="21" spans="1:15" x14ac:dyDescent="0.3">
      <c r="A21" s="6">
        <v>20</v>
      </c>
      <c r="B21" s="6">
        <v>2001</v>
      </c>
      <c r="C21" s="6">
        <v>8</v>
      </c>
      <c r="D21" s="2">
        <f>geracao_kwh!D21*lcae!$D$2</f>
        <v>240135999.99999994</v>
      </c>
      <c r="E21" s="2">
        <f>geracao_kwh!E21*lcae!$E$2</f>
        <v>497766669400.00024</v>
      </c>
      <c r="F21" s="2">
        <f>geracao_kwh!F21*lcae!$F$2</f>
        <v>0</v>
      </c>
      <c r="G21" s="2">
        <f>geracao_kwh!G21*lcae!$G$2</f>
        <v>0</v>
      </c>
      <c r="H21" s="2">
        <f>geracao_kwh!H21*lcae!$H$2</f>
        <v>541230498000</v>
      </c>
      <c r="I21" s="2">
        <f>geracao_kwh!I21*lcae!$I$2</f>
        <v>452704690200.00305</v>
      </c>
      <c r="J21" s="2">
        <f>geracao_kwh!J21*lcae!$J$2</f>
        <v>0</v>
      </c>
      <c r="K21" s="2">
        <f>geracao_kwh!K21*lcae!$K$2</f>
        <v>18476720210.000019</v>
      </c>
      <c r="L21" s="2">
        <f>geracao_kwh!L21*lcae!$L$2</f>
        <v>86600723999.999954</v>
      </c>
      <c r="M21" s="2">
        <f>geracao_kwh!M21*lcae!$M$2</f>
        <v>0</v>
      </c>
      <c r="N21" s="2">
        <f>geracao_kwh!N21*lcae!$N$2</f>
        <v>0</v>
      </c>
      <c r="O21" s="2">
        <f>geracao_kwh!O21*lcae!$O$2</f>
        <v>0</v>
      </c>
    </row>
    <row r="22" spans="1:15" x14ac:dyDescent="0.3">
      <c r="A22" s="6">
        <v>21</v>
      </c>
      <c r="B22" s="6">
        <v>2001</v>
      </c>
      <c r="C22" s="6">
        <v>9</v>
      </c>
      <c r="D22" s="2">
        <f>geracao_kwh!D22*lcae!$D$2</f>
        <v>269256000</v>
      </c>
      <c r="E22" s="2">
        <f>geracao_kwh!E22*lcae!$E$2</f>
        <v>531784353099.99878</v>
      </c>
      <c r="F22" s="2">
        <f>geracao_kwh!F22*lcae!$F$2</f>
        <v>0</v>
      </c>
      <c r="G22" s="2">
        <f>geracao_kwh!G22*lcae!$G$2</f>
        <v>0</v>
      </c>
      <c r="H22" s="2">
        <f>geracao_kwh!H22*lcae!$H$2</f>
        <v>508187294820.00067</v>
      </c>
      <c r="I22" s="2">
        <f>geracao_kwh!I22*lcae!$I$2</f>
        <v>432633625199.99792</v>
      </c>
      <c r="J22" s="2">
        <f>geracao_kwh!J22*lcae!$J$2</f>
        <v>0</v>
      </c>
      <c r="K22" s="2">
        <f>geracao_kwh!K22*lcae!$K$2</f>
        <v>18324578089.999912</v>
      </c>
      <c r="L22" s="2">
        <f>geracao_kwh!L22*lcae!$L$2</f>
        <v>82880700000</v>
      </c>
      <c r="M22" s="2">
        <f>geracao_kwh!M22*lcae!$M$2</f>
        <v>0</v>
      </c>
      <c r="N22" s="2">
        <f>geracao_kwh!N22*lcae!$N$2</f>
        <v>0</v>
      </c>
      <c r="O22" s="2">
        <f>geracao_kwh!O22*lcae!$O$2</f>
        <v>0</v>
      </c>
    </row>
    <row r="23" spans="1:15" x14ac:dyDescent="0.3">
      <c r="A23" s="6">
        <v>22</v>
      </c>
      <c r="B23" s="6">
        <v>2001</v>
      </c>
      <c r="C23" s="6">
        <v>10</v>
      </c>
      <c r="D23" s="2">
        <f>geracao_kwh!D23*lcae!$D$2</f>
        <v>202347599.99999997</v>
      </c>
      <c r="E23" s="2">
        <f>geracao_kwh!E23*lcae!$E$2</f>
        <v>388140652899.99994</v>
      </c>
      <c r="F23" s="2">
        <f>geracao_kwh!F23*lcae!$F$2</f>
        <v>0</v>
      </c>
      <c r="G23" s="2">
        <f>geracao_kwh!G23*lcae!$G$2</f>
        <v>0</v>
      </c>
      <c r="H23" s="2">
        <f>geracao_kwh!H23*lcae!$H$2</f>
        <v>541380093660.00195</v>
      </c>
      <c r="I23" s="2">
        <f>geracao_kwh!I23*lcae!$I$2</f>
        <v>475391144130.00195</v>
      </c>
      <c r="J23" s="2">
        <f>geracao_kwh!J23*lcae!$J$2</f>
        <v>0</v>
      </c>
      <c r="K23" s="2">
        <f>geracao_kwh!K23*lcae!$K$2</f>
        <v>18735351297.000015</v>
      </c>
      <c r="L23" s="2">
        <f>geracao_kwh!L23*lcae!$L$2</f>
        <v>77494116000.000031</v>
      </c>
      <c r="M23" s="2">
        <f>geracao_kwh!M23*lcae!$M$2</f>
        <v>0</v>
      </c>
      <c r="N23" s="2">
        <f>geracao_kwh!N23*lcae!$N$2</f>
        <v>0</v>
      </c>
      <c r="O23" s="2">
        <f>geracao_kwh!O23*lcae!$O$2</f>
        <v>0</v>
      </c>
    </row>
    <row r="24" spans="1:15" x14ac:dyDescent="0.3">
      <c r="A24" s="6">
        <v>23</v>
      </c>
      <c r="B24" s="6">
        <v>2001</v>
      </c>
      <c r="C24" s="6">
        <v>11</v>
      </c>
      <c r="D24" s="2">
        <f>geracao_kwh!D24*lcae!$D$2</f>
        <v>192218000</v>
      </c>
      <c r="E24" s="2">
        <f>geracao_kwh!E24*lcae!$E$2</f>
        <v>435265931099.99744</v>
      </c>
      <c r="F24" s="2">
        <f>geracao_kwh!F24*lcae!$F$2</f>
        <v>0</v>
      </c>
      <c r="G24" s="2">
        <f>geracao_kwh!G24*lcae!$G$2</f>
        <v>0</v>
      </c>
      <c r="H24" s="2">
        <f>geracao_kwh!H24*lcae!$H$2</f>
        <v>643477666320.00305</v>
      </c>
      <c r="I24" s="2">
        <f>geracao_kwh!I24*lcae!$I$2</f>
        <v>463565624339.99823</v>
      </c>
      <c r="J24" s="2">
        <f>geracao_kwh!J24*lcae!$J$2</f>
        <v>0</v>
      </c>
      <c r="K24" s="2">
        <f>geracao_kwh!K24*lcae!$K$2</f>
        <v>13907809240.000042</v>
      </c>
      <c r="L24" s="2">
        <f>geracao_kwh!L24*lcae!$L$2</f>
        <v>82429871999.999817</v>
      </c>
      <c r="M24" s="2">
        <f>geracao_kwh!M24*lcae!$M$2</f>
        <v>0</v>
      </c>
      <c r="N24" s="2">
        <f>geracao_kwh!N24*lcae!$N$2</f>
        <v>0</v>
      </c>
      <c r="O24" s="2">
        <f>geracao_kwh!O24*lcae!$O$2</f>
        <v>0</v>
      </c>
    </row>
    <row r="25" spans="1:15" x14ac:dyDescent="0.3">
      <c r="A25" s="6">
        <v>24</v>
      </c>
      <c r="B25" s="6">
        <v>2001</v>
      </c>
      <c r="C25" s="6">
        <v>12</v>
      </c>
      <c r="D25" s="2">
        <f>geracao_kwh!D25*lcae!$D$2</f>
        <v>187954000</v>
      </c>
      <c r="E25" s="2">
        <f>geracao_kwh!E25*lcae!$E$2</f>
        <v>448942794299.99994</v>
      </c>
      <c r="F25" s="2">
        <f>geracao_kwh!F25*lcae!$F$2</f>
        <v>0</v>
      </c>
      <c r="G25" s="2">
        <f>geracao_kwh!G25*lcae!$G$2</f>
        <v>0</v>
      </c>
      <c r="H25" s="2">
        <f>geracao_kwh!H25*lcae!$H$2</f>
        <v>634771783080</v>
      </c>
      <c r="I25" s="2">
        <f>geracao_kwh!I25*lcae!$I$2</f>
        <v>475225691639.99457</v>
      </c>
      <c r="J25" s="2">
        <f>geracao_kwh!J25*lcae!$J$2</f>
        <v>0</v>
      </c>
      <c r="K25" s="2">
        <f>geracao_kwh!K25*lcae!$K$2</f>
        <v>17949433579.999966</v>
      </c>
      <c r="L25" s="2">
        <f>geracao_kwh!L25*lcae!$L$2</f>
        <v>74253060000.000107</v>
      </c>
      <c r="M25" s="2">
        <f>geracao_kwh!M25*lcae!$M$2</f>
        <v>0</v>
      </c>
      <c r="N25" s="2">
        <f>geracao_kwh!N25*lcae!$N$2</f>
        <v>0</v>
      </c>
      <c r="O25" s="2">
        <f>geracao_kwh!O25*lcae!$O$2</f>
        <v>0</v>
      </c>
    </row>
    <row r="26" spans="1:15" x14ac:dyDescent="0.3">
      <c r="A26" s="6">
        <v>25</v>
      </c>
      <c r="B26" s="6">
        <v>2002</v>
      </c>
      <c r="C26" s="6">
        <v>1</v>
      </c>
      <c r="D26" s="2">
        <f>geracao_kwh!D26*lcae!$D$2</f>
        <v>193440000</v>
      </c>
      <c r="E26" s="2">
        <f>geracao_kwh!E26*lcae!$E$2</f>
        <v>481949768300.00055</v>
      </c>
      <c r="F26" s="2">
        <f>geracao_kwh!F26*lcae!$F$2</f>
        <v>0</v>
      </c>
      <c r="G26" s="2">
        <f>geracao_kwh!G26*lcae!$G$2</f>
        <v>0</v>
      </c>
      <c r="H26" s="2">
        <f>geracao_kwh!H26*lcae!$H$2</f>
        <v>633277542059.99707</v>
      </c>
      <c r="I26" s="2">
        <f>geracao_kwh!I26*lcae!$I$2</f>
        <v>496354546379.99274</v>
      </c>
      <c r="J26" s="2">
        <f>geracao_kwh!J26*lcae!$J$2</f>
        <v>0</v>
      </c>
      <c r="K26" s="2">
        <f>geracao_kwh!K26*lcae!$K$2</f>
        <v>16625327550.000006</v>
      </c>
      <c r="L26" s="2">
        <f>geracao_kwh!L26*lcae!$L$2</f>
        <v>72684527999.999939</v>
      </c>
      <c r="M26" s="2">
        <f>geracao_kwh!M26*lcae!$M$2</f>
        <v>0</v>
      </c>
      <c r="N26" s="2">
        <f>geracao_kwh!N26*lcae!$N$2</f>
        <v>0</v>
      </c>
      <c r="O26" s="2">
        <f>geracao_kwh!O26*lcae!$O$2</f>
        <v>0</v>
      </c>
    </row>
    <row r="27" spans="1:15" x14ac:dyDescent="0.3">
      <c r="A27" s="6">
        <v>26</v>
      </c>
      <c r="B27" s="6">
        <v>2002</v>
      </c>
      <c r="C27" s="6">
        <v>2</v>
      </c>
      <c r="D27" s="2">
        <f>geracao_kwh!D27*lcae!$D$2</f>
        <v>174720000</v>
      </c>
      <c r="E27" s="2">
        <f>geracao_kwh!E27*lcae!$E$2</f>
        <v>467429662699.99902</v>
      </c>
      <c r="F27" s="2">
        <f>geracao_kwh!F27*lcae!$F$2</f>
        <v>0</v>
      </c>
      <c r="G27" s="2">
        <f>geracao_kwh!G27*lcae!$G$2</f>
        <v>0</v>
      </c>
      <c r="H27" s="2">
        <f>geracao_kwh!H27*lcae!$H$2</f>
        <v>471180436020.00012</v>
      </c>
      <c r="I27" s="2">
        <f>geracao_kwh!I27*lcae!$I$2</f>
        <v>475285328909.99481</v>
      </c>
      <c r="J27" s="2">
        <f>geracao_kwh!J27*lcae!$J$2</f>
        <v>0</v>
      </c>
      <c r="K27" s="2">
        <f>geracao_kwh!K27*lcae!$K$2</f>
        <v>15678835380.000044</v>
      </c>
      <c r="L27" s="2">
        <f>geracao_kwh!L27*lcae!$L$2</f>
        <v>29087520000.000008</v>
      </c>
      <c r="M27" s="2">
        <f>geracao_kwh!M27*lcae!$M$2</f>
        <v>305424000</v>
      </c>
      <c r="N27" s="2">
        <f>geracao_kwh!N27*lcae!$N$2</f>
        <v>0</v>
      </c>
      <c r="O27" s="2">
        <f>geracao_kwh!O27*lcae!$O$2</f>
        <v>0</v>
      </c>
    </row>
    <row r="28" spans="1:15" x14ac:dyDescent="0.3">
      <c r="A28" s="6">
        <v>27</v>
      </c>
      <c r="B28" s="6">
        <v>2002</v>
      </c>
      <c r="C28" s="6">
        <v>3</v>
      </c>
      <c r="D28" s="2">
        <f>geracao_kwh!D28*lcae!$D$2</f>
        <v>201921199.99999997</v>
      </c>
      <c r="E28" s="2">
        <f>geracao_kwh!E28*lcae!$E$2</f>
        <v>559454495600.00146</v>
      </c>
      <c r="F28" s="2">
        <f>geracao_kwh!F28*lcae!$F$2</f>
        <v>0</v>
      </c>
      <c r="G28" s="2">
        <f>geracao_kwh!G28*lcae!$G$2</f>
        <v>0</v>
      </c>
      <c r="H28" s="2">
        <f>geracao_kwh!H28*lcae!$H$2</f>
        <v>606947408280.00378</v>
      </c>
      <c r="I28" s="2">
        <f>geracao_kwh!I28*lcae!$I$2</f>
        <v>571948181490.0144</v>
      </c>
      <c r="J28" s="2">
        <f>geracao_kwh!J28*lcae!$J$2</f>
        <v>0</v>
      </c>
      <c r="K28" s="2">
        <f>geracao_kwh!K28*lcae!$K$2</f>
        <v>8293596869.9999723</v>
      </c>
      <c r="L28" s="2">
        <f>geracao_kwh!L28*lcae!$L$2</f>
        <v>12406968000</v>
      </c>
      <c r="M28" s="2">
        <f>geracao_kwh!M28*lcae!$M$2</f>
        <v>103345200</v>
      </c>
      <c r="N28" s="2">
        <f>geracao_kwh!N28*lcae!$N$2</f>
        <v>0</v>
      </c>
      <c r="O28" s="2">
        <f>geracao_kwh!O28*lcae!$O$2</f>
        <v>0</v>
      </c>
    </row>
    <row r="29" spans="1:15" x14ac:dyDescent="0.3">
      <c r="A29" s="6">
        <v>28</v>
      </c>
      <c r="B29" s="6">
        <v>2002</v>
      </c>
      <c r="C29" s="6">
        <v>4</v>
      </c>
      <c r="D29" s="2">
        <f>geracao_kwh!D29*lcae!$D$2</f>
        <v>187200000</v>
      </c>
      <c r="E29" s="2">
        <f>geracao_kwh!E29*lcae!$E$2</f>
        <v>451682831599.99945</v>
      </c>
      <c r="F29" s="2">
        <f>geracao_kwh!F29*lcae!$F$2</f>
        <v>0</v>
      </c>
      <c r="G29" s="2">
        <f>geracao_kwh!G29*lcae!$G$2</f>
        <v>0</v>
      </c>
      <c r="H29" s="2">
        <f>geracao_kwh!H29*lcae!$H$2</f>
        <v>554374450619.9989</v>
      </c>
      <c r="I29" s="2">
        <f>geracao_kwh!I29*lcae!$I$2</f>
        <v>557282010599.99792</v>
      </c>
      <c r="J29" s="2">
        <f>geracao_kwh!J29*lcae!$J$2</f>
        <v>0</v>
      </c>
      <c r="K29" s="2">
        <f>geracao_kwh!K29*lcae!$K$2</f>
        <v>14867084700.00005</v>
      </c>
      <c r="L29" s="2">
        <f>geracao_kwh!L29*lcae!$L$2</f>
        <v>18984840000.000023</v>
      </c>
      <c r="M29" s="2">
        <f>geracao_kwh!M29*lcae!$M$2</f>
        <v>1170307404.0000005</v>
      </c>
      <c r="N29" s="2">
        <f>geracao_kwh!N29*lcae!$N$2</f>
        <v>0</v>
      </c>
      <c r="O29" s="2">
        <f>geracao_kwh!O29*lcae!$O$2</f>
        <v>0</v>
      </c>
    </row>
    <row r="30" spans="1:15" x14ac:dyDescent="0.3">
      <c r="A30" s="6">
        <v>29</v>
      </c>
      <c r="B30" s="6">
        <v>2002</v>
      </c>
      <c r="C30" s="6">
        <v>5</v>
      </c>
      <c r="D30" s="2">
        <f>geracao_kwh!D30*lcae!$D$2</f>
        <v>189113600</v>
      </c>
      <c r="E30" s="2">
        <f>geracao_kwh!E30*lcae!$E$2</f>
        <v>406878672200.00024</v>
      </c>
      <c r="F30" s="2">
        <f>geracao_kwh!F30*lcae!$F$2</f>
        <v>0</v>
      </c>
      <c r="G30" s="2">
        <f>geracao_kwh!G30*lcae!$G$2</f>
        <v>0</v>
      </c>
      <c r="H30" s="2">
        <f>geracao_kwh!H30*lcae!$H$2</f>
        <v>572971939001.9989</v>
      </c>
      <c r="I30" s="2">
        <f>geracao_kwh!I30*lcae!$I$2</f>
        <v>548204089860.00336</v>
      </c>
      <c r="J30" s="2">
        <f>geracao_kwh!J30*lcae!$J$2</f>
        <v>0</v>
      </c>
      <c r="K30" s="2">
        <f>geracao_kwh!K30*lcae!$K$2</f>
        <v>17777997380.00005</v>
      </c>
      <c r="L30" s="2">
        <f>geracao_kwh!L30*lcae!$L$2</f>
        <v>29217887999.999973</v>
      </c>
      <c r="M30" s="2">
        <f>geracao_kwh!M30*lcae!$M$2</f>
        <v>475070399.99999982</v>
      </c>
      <c r="N30" s="2">
        <f>geracao_kwh!N30*lcae!$N$2</f>
        <v>0</v>
      </c>
      <c r="O30" s="2">
        <f>geracao_kwh!O30*lcae!$O$2</f>
        <v>0</v>
      </c>
    </row>
    <row r="31" spans="1:15" x14ac:dyDescent="0.3">
      <c r="A31" s="6">
        <v>30</v>
      </c>
      <c r="B31" s="6">
        <v>2002</v>
      </c>
      <c r="C31" s="6">
        <v>6</v>
      </c>
      <c r="D31" s="2">
        <f>geracao_kwh!D31*lcae!$D$2</f>
        <v>170908400</v>
      </c>
      <c r="E31" s="2">
        <f>geracao_kwh!E31*lcae!$E$2</f>
        <v>436169433700.00012</v>
      </c>
      <c r="F31" s="2">
        <f>geracao_kwh!F31*lcae!$F$2</f>
        <v>0</v>
      </c>
      <c r="G31" s="2">
        <f>geracao_kwh!G31*lcae!$G$2</f>
        <v>0</v>
      </c>
      <c r="H31" s="2">
        <f>geracao_kwh!H31*lcae!$H$2</f>
        <v>475038001776.60107</v>
      </c>
      <c r="I31" s="2">
        <f>geracao_kwh!I31*lcae!$I$2</f>
        <v>528386330430.00488</v>
      </c>
      <c r="J31" s="2">
        <f>geracao_kwh!J31*lcae!$J$2</f>
        <v>0</v>
      </c>
      <c r="K31" s="2">
        <f>geracao_kwh!K31*lcae!$K$2</f>
        <v>16966946490.000004</v>
      </c>
      <c r="L31" s="2">
        <f>geracao_kwh!L31*lcae!$L$2</f>
        <v>32423747999.999992</v>
      </c>
      <c r="M31" s="2">
        <f>geracao_kwh!M31*lcae!$M$2</f>
        <v>487527600</v>
      </c>
      <c r="N31" s="2">
        <f>geracao_kwh!N31*lcae!$N$2</f>
        <v>0</v>
      </c>
      <c r="O31" s="2">
        <f>geracao_kwh!O31*lcae!$O$2</f>
        <v>0</v>
      </c>
    </row>
    <row r="32" spans="1:15" x14ac:dyDescent="0.3">
      <c r="A32" s="6">
        <v>31</v>
      </c>
      <c r="B32" s="6">
        <v>2002</v>
      </c>
      <c r="C32" s="6">
        <v>7</v>
      </c>
      <c r="D32" s="2">
        <f>geracao_kwh!D32*lcae!$D$2</f>
        <v>115065600</v>
      </c>
      <c r="E32" s="2">
        <f>geracao_kwh!E32*lcae!$E$2</f>
        <v>434764430100.0022</v>
      </c>
      <c r="F32" s="2">
        <f>geracao_kwh!F32*lcae!$F$2</f>
        <v>0</v>
      </c>
      <c r="G32" s="2">
        <f>geracao_kwh!G32*lcae!$G$2</f>
        <v>0</v>
      </c>
      <c r="H32" s="2">
        <f>geracao_kwh!H32*lcae!$H$2</f>
        <v>454408524503.99536</v>
      </c>
      <c r="I32" s="2">
        <f>geracao_kwh!I32*lcae!$I$2</f>
        <v>548224235370.00568</v>
      </c>
      <c r="J32" s="2">
        <f>geracao_kwh!J32*lcae!$J$2</f>
        <v>0</v>
      </c>
      <c r="K32" s="2">
        <f>geracao_kwh!K32*lcae!$K$2</f>
        <v>15781642369.999962</v>
      </c>
      <c r="L32" s="2">
        <f>geracao_kwh!L32*lcae!$L$2</f>
        <v>31557976799.999973</v>
      </c>
      <c r="M32" s="2">
        <f>geracao_kwh!M32*lcae!$M$2</f>
        <v>283263120.00000006</v>
      </c>
      <c r="N32" s="2">
        <f>geracao_kwh!N32*lcae!$N$2</f>
        <v>0</v>
      </c>
      <c r="O32" s="2">
        <f>geracao_kwh!O32*lcae!$O$2</f>
        <v>0</v>
      </c>
    </row>
    <row r="33" spans="1:15" x14ac:dyDescent="0.3">
      <c r="A33" s="6">
        <v>32</v>
      </c>
      <c r="B33" s="6">
        <v>2002</v>
      </c>
      <c r="C33" s="6">
        <v>8</v>
      </c>
      <c r="D33" s="2">
        <f>geracao_kwh!D33*lcae!$D$2</f>
        <v>12480000</v>
      </c>
      <c r="E33" s="2">
        <f>geracao_kwh!E33*lcae!$E$2</f>
        <v>352619967700.00018</v>
      </c>
      <c r="F33" s="2">
        <f>geracao_kwh!F33*lcae!$F$2</f>
        <v>0</v>
      </c>
      <c r="G33" s="2">
        <f>geracao_kwh!G33*lcae!$G$2</f>
        <v>0</v>
      </c>
      <c r="H33" s="2">
        <f>geracao_kwh!H33*lcae!$H$2</f>
        <v>512790307739.99829</v>
      </c>
      <c r="I33" s="2">
        <f>geracao_kwh!I33*lcae!$I$2</f>
        <v>570937142369.99805</v>
      </c>
      <c r="J33" s="2">
        <f>geracao_kwh!J33*lcae!$J$2</f>
        <v>0</v>
      </c>
      <c r="K33" s="2">
        <f>geracao_kwh!K33*lcae!$K$2</f>
        <v>12528187490.000013</v>
      </c>
      <c r="L33" s="2">
        <f>geracao_kwh!L33*lcae!$L$2</f>
        <v>31000283999.999973</v>
      </c>
      <c r="M33" s="2">
        <f>geracao_kwh!M33*lcae!$M$2</f>
        <v>798672</v>
      </c>
      <c r="N33" s="2">
        <f>geracao_kwh!N33*lcae!$N$2</f>
        <v>0</v>
      </c>
      <c r="O33" s="2">
        <f>geracao_kwh!O33*lcae!$O$2</f>
        <v>0</v>
      </c>
    </row>
    <row r="34" spans="1:15" x14ac:dyDescent="0.3">
      <c r="A34" s="6">
        <v>33</v>
      </c>
      <c r="B34" s="6">
        <v>2002</v>
      </c>
      <c r="C34" s="6">
        <v>9</v>
      </c>
      <c r="D34" s="2">
        <f>geracao_kwh!D34*lcae!$D$2</f>
        <v>0</v>
      </c>
      <c r="E34" s="2">
        <f>geracao_kwh!E34*lcae!$E$2</f>
        <v>378546167999.99908</v>
      </c>
      <c r="F34" s="2">
        <f>geracao_kwh!F34*lcae!$F$2</f>
        <v>0</v>
      </c>
      <c r="G34" s="2">
        <f>geracao_kwh!G34*lcae!$G$2</f>
        <v>0</v>
      </c>
      <c r="H34" s="2">
        <f>geracao_kwh!H34*lcae!$H$2</f>
        <v>484633047240.00024</v>
      </c>
      <c r="I34" s="2">
        <f>geracao_kwh!I34*lcae!$I$2</f>
        <v>543601793909.99799</v>
      </c>
      <c r="J34" s="2">
        <f>geracao_kwh!J34*lcae!$J$2</f>
        <v>0</v>
      </c>
      <c r="K34" s="2">
        <f>geracao_kwh!K34*lcae!$K$2</f>
        <v>15016432729.999994</v>
      </c>
      <c r="L34" s="2">
        <f>geracao_kwh!L34*lcae!$L$2</f>
        <v>30812829599.999973</v>
      </c>
      <c r="M34" s="2">
        <f>geracao_kwh!M34*lcae!$M$2</f>
        <v>676216800</v>
      </c>
      <c r="N34" s="2">
        <f>geracao_kwh!N34*lcae!$N$2</f>
        <v>0</v>
      </c>
      <c r="O34" s="2">
        <f>geracao_kwh!O34*lcae!$O$2</f>
        <v>0</v>
      </c>
    </row>
    <row r="35" spans="1:15" x14ac:dyDescent="0.3">
      <c r="A35" s="6">
        <v>34</v>
      </c>
      <c r="B35" s="6">
        <v>2002</v>
      </c>
      <c r="C35" s="6">
        <v>10</v>
      </c>
      <c r="D35" s="2">
        <f>geracao_kwh!D35*lcae!$D$2</f>
        <v>10344880.000000002</v>
      </c>
      <c r="E35" s="2">
        <f>geracao_kwh!E35*lcae!$E$2</f>
        <v>377016840200.00055</v>
      </c>
      <c r="F35" s="2">
        <f>geracao_kwh!F35*lcae!$F$2</f>
        <v>0</v>
      </c>
      <c r="G35" s="2">
        <f>geracao_kwh!G35*lcae!$G$2</f>
        <v>0</v>
      </c>
      <c r="H35" s="2">
        <f>geracao_kwh!H35*lcae!$H$2</f>
        <v>428082688470.60101</v>
      </c>
      <c r="I35" s="2">
        <f>geracao_kwh!I35*lcae!$I$2</f>
        <v>607539522030.00647</v>
      </c>
      <c r="J35" s="2">
        <f>geracao_kwh!J35*lcae!$J$2</f>
        <v>0</v>
      </c>
      <c r="K35" s="2">
        <f>geracao_kwh!K35*lcae!$K$2</f>
        <v>15469855310.000099</v>
      </c>
      <c r="L35" s="2">
        <f>geracao_kwh!L35*lcae!$L$2</f>
        <v>32149874400.000011</v>
      </c>
      <c r="M35" s="2">
        <f>geracao_kwh!M35*lcae!$M$2</f>
        <v>11899087199.999998</v>
      </c>
      <c r="N35" s="2">
        <f>geracao_kwh!N35*lcae!$N$2</f>
        <v>0</v>
      </c>
      <c r="O35" s="2">
        <f>geracao_kwh!O35*lcae!$O$2</f>
        <v>0</v>
      </c>
    </row>
    <row r="36" spans="1:15" x14ac:dyDescent="0.3">
      <c r="A36" s="6">
        <v>35</v>
      </c>
      <c r="B36" s="6">
        <v>2002</v>
      </c>
      <c r="C36" s="6">
        <v>11</v>
      </c>
      <c r="D36" s="2">
        <f>geracao_kwh!D36*lcae!$D$2</f>
        <v>37440000</v>
      </c>
      <c r="E36" s="2">
        <f>geracao_kwh!E36*lcae!$E$2</f>
        <v>333001969299.99976</v>
      </c>
      <c r="F36" s="2">
        <f>geracao_kwh!F36*lcae!$F$2</f>
        <v>0</v>
      </c>
      <c r="G36" s="2">
        <f>geracao_kwh!G36*lcae!$G$2</f>
        <v>0</v>
      </c>
      <c r="H36" s="2">
        <f>geracao_kwh!H36*lcae!$H$2</f>
        <v>293162888520.00214</v>
      </c>
      <c r="I36" s="2">
        <f>geracao_kwh!I36*lcae!$I$2</f>
        <v>583989412020.00049</v>
      </c>
      <c r="J36" s="2">
        <f>geracao_kwh!J36*lcae!$J$2</f>
        <v>0</v>
      </c>
      <c r="K36" s="2">
        <f>geracao_kwh!K36*lcae!$K$2</f>
        <v>14762152470.000078</v>
      </c>
      <c r="L36" s="2">
        <f>geracao_kwh!L36*lcae!$L$2</f>
        <v>32651186399.999989</v>
      </c>
      <c r="M36" s="2">
        <f>geracao_kwh!M36*lcae!$M$2</f>
        <v>14567271600</v>
      </c>
      <c r="N36" s="2">
        <f>geracao_kwh!N36*lcae!$N$2</f>
        <v>0</v>
      </c>
      <c r="O36" s="2">
        <f>geracao_kwh!O36*lcae!$O$2</f>
        <v>0</v>
      </c>
    </row>
    <row r="37" spans="1:15" x14ac:dyDescent="0.3">
      <c r="A37" s="6">
        <v>36</v>
      </c>
      <c r="B37" s="6">
        <v>2002</v>
      </c>
      <c r="C37" s="6">
        <v>12</v>
      </c>
      <c r="D37" s="2">
        <f>geracao_kwh!D37*lcae!$D$2</f>
        <v>9967359.9999999981</v>
      </c>
      <c r="E37" s="2">
        <f>geracao_kwh!E37*lcae!$E$2</f>
        <v>362223962100.00104</v>
      </c>
      <c r="F37" s="2">
        <f>geracao_kwh!F37*lcae!$F$2</f>
        <v>0</v>
      </c>
      <c r="G37" s="2">
        <f>geracao_kwh!G37*lcae!$G$2</f>
        <v>0</v>
      </c>
      <c r="H37" s="2">
        <f>geracao_kwh!H37*lcae!$H$2</f>
        <v>269815122899.99954</v>
      </c>
      <c r="I37" s="2">
        <f>geracao_kwh!I37*lcae!$I$2</f>
        <v>592792189289.99902</v>
      </c>
      <c r="J37" s="2">
        <f>geracao_kwh!J37*lcae!$J$2</f>
        <v>0</v>
      </c>
      <c r="K37" s="2">
        <f>geracao_kwh!K37*lcae!$K$2</f>
        <v>16089101340.000093</v>
      </c>
      <c r="L37" s="2">
        <f>geracao_kwh!L37*lcae!$L$2</f>
        <v>29648388000</v>
      </c>
      <c r="M37" s="2">
        <f>geracao_kwh!M37*lcae!$M$2</f>
        <v>31151609999.999989</v>
      </c>
      <c r="N37" s="2">
        <f>geracao_kwh!N37*lcae!$N$2</f>
        <v>0</v>
      </c>
      <c r="O37" s="2">
        <f>geracao_kwh!O37*lcae!$O$2</f>
        <v>0</v>
      </c>
    </row>
    <row r="38" spans="1:15" x14ac:dyDescent="0.3">
      <c r="A38" s="6">
        <v>37</v>
      </c>
      <c r="B38" s="6">
        <v>2003</v>
      </c>
      <c r="C38" s="6">
        <v>1</v>
      </c>
      <c r="D38" s="2">
        <f>geracao_kwh!D38*lcae!$D$2</f>
        <v>2884440.0000000005</v>
      </c>
      <c r="E38" s="2">
        <f>geracao_kwh!E38*lcae!$E$2</f>
        <v>363964801199.9986</v>
      </c>
      <c r="F38" s="2">
        <f>geracao_kwh!F38*lcae!$F$2</f>
        <v>0</v>
      </c>
      <c r="G38" s="2">
        <f>geracao_kwh!G38*lcae!$G$2</f>
        <v>0</v>
      </c>
      <c r="H38" s="2">
        <f>geracao_kwh!H38*lcae!$H$2</f>
        <v>335726486640.00061</v>
      </c>
      <c r="I38" s="2">
        <f>geracao_kwh!I38*lcae!$I$2</f>
        <v>600416705280.0011</v>
      </c>
      <c r="J38" s="2">
        <f>geracao_kwh!J38*lcae!$J$2</f>
        <v>0</v>
      </c>
      <c r="K38" s="2">
        <f>geracao_kwh!K38*lcae!$K$2</f>
        <v>15231006960.000044</v>
      </c>
      <c r="L38" s="2">
        <f>geracao_kwh!L38*lcae!$L$2</f>
        <v>18653711999.999981</v>
      </c>
      <c r="M38" s="2">
        <f>geracao_kwh!M38*lcae!$M$2</f>
        <v>54465600</v>
      </c>
      <c r="N38" s="2">
        <f>geracao_kwh!N38*lcae!$N$2</f>
        <v>0</v>
      </c>
      <c r="O38" s="2">
        <f>geracao_kwh!O38*lcae!$O$2</f>
        <v>0</v>
      </c>
    </row>
    <row r="39" spans="1:15" x14ac:dyDescent="0.3">
      <c r="A39" s="6">
        <v>38</v>
      </c>
      <c r="B39" s="6">
        <v>2003</v>
      </c>
      <c r="C39" s="6">
        <v>2</v>
      </c>
      <c r="D39" s="2">
        <f>geracao_kwh!D39*lcae!$D$2</f>
        <v>0</v>
      </c>
      <c r="E39" s="2">
        <f>geracao_kwh!E39*lcae!$E$2</f>
        <v>369317648700.00055</v>
      </c>
      <c r="F39" s="2">
        <f>geracao_kwh!F39*lcae!$F$2</f>
        <v>0</v>
      </c>
      <c r="G39" s="2">
        <f>geracao_kwh!G39*lcae!$G$2</f>
        <v>0</v>
      </c>
      <c r="H39" s="2">
        <f>geracao_kwh!H39*lcae!$H$2</f>
        <v>336701504699.99963</v>
      </c>
      <c r="I39" s="2">
        <f>geracao_kwh!I39*lcae!$I$2</f>
        <v>568472960159.99988</v>
      </c>
      <c r="J39" s="2">
        <f>geracao_kwh!J39*lcae!$J$2</f>
        <v>0</v>
      </c>
      <c r="K39" s="2">
        <f>geracao_kwh!K39*lcae!$K$2</f>
        <v>13858347360.000029</v>
      </c>
      <c r="L39" s="2">
        <f>geracao_kwh!L39*lcae!$L$2</f>
        <v>0</v>
      </c>
      <c r="M39" s="2">
        <f>geracao_kwh!M39*lcae!$M$2</f>
        <v>11613335999.999996</v>
      </c>
      <c r="N39" s="2">
        <f>geracao_kwh!N39*lcae!$N$2</f>
        <v>0</v>
      </c>
      <c r="O39" s="2">
        <f>geracao_kwh!O39*lcae!$O$2</f>
        <v>0</v>
      </c>
    </row>
    <row r="40" spans="1:15" x14ac:dyDescent="0.3">
      <c r="A40" s="6">
        <v>39</v>
      </c>
      <c r="B40" s="6">
        <v>2003</v>
      </c>
      <c r="C40" s="6">
        <v>3</v>
      </c>
      <c r="D40" s="2">
        <f>geracao_kwh!D40*lcae!$D$2</f>
        <v>3005600</v>
      </c>
      <c r="E40" s="2">
        <f>geracao_kwh!E40*lcae!$E$2</f>
        <v>430113483799.99963</v>
      </c>
      <c r="F40" s="2">
        <f>geracao_kwh!F40*lcae!$F$2</f>
        <v>0</v>
      </c>
      <c r="G40" s="2">
        <f>geracao_kwh!G40*lcae!$G$2</f>
        <v>0</v>
      </c>
      <c r="H40" s="2">
        <f>geracao_kwh!H40*lcae!$H$2</f>
        <v>290614814820.00159</v>
      </c>
      <c r="I40" s="2">
        <f>geracao_kwh!I40*lcae!$I$2</f>
        <v>609129794700.00623</v>
      </c>
      <c r="J40" s="2">
        <f>geracao_kwh!J40*lcae!$J$2</f>
        <v>0</v>
      </c>
      <c r="K40" s="2">
        <f>geracao_kwh!K40*lcae!$K$2</f>
        <v>15338503830.000145</v>
      </c>
      <c r="L40" s="2">
        <f>geracao_kwh!L40*lcae!$L$2</f>
        <v>395438400.00000006</v>
      </c>
      <c r="M40" s="2">
        <f>geracao_kwh!M40*lcae!$M$2</f>
        <v>15621177600.000013</v>
      </c>
      <c r="N40" s="2">
        <f>geracao_kwh!N40*lcae!$N$2</f>
        <v>0</v>
      </c>
      <c r="O40" s="2">
        <f>geracao_kwh!O40*lcae!$O$2</f>
        <v>0</v>
      </c>
    </row>
    <row r="41" spans="1:15" x14ac:dyDescent="0.3">
      <c r="A41" s="6">
        <v>40</v>
      </c>
      <c r="B41" s="6">
        <v>2003</v>
      </c>
      <c r="C41" s="6">
        <v>4</v>
      </c>
      <c r="D41" s="2">
        <f>geracao_kwh!D41*lcae!$D$2</f>
        <v>6240000</v>
      </c>
      <c r="E41" s="2">
        <f>geracao_kwh!E41*lcae!$E$2</f>
        <v>435269034199.99945</v>
      </c>
      <c r="F41" s="2">
        <f>geracao_kwh!F41*lcae!$F$2</f>
        <v>0</v>
      </c>
      <c r="G41" s="2">
        <f>geracao_kwh!G41*lcae!$G$2</f>
        <v>0</v>
      </c>
      <c r="H41" s="2">
        <f>geracao_kwh!H41*lcae!$H$2</f>
        <v>325286433900.00049</v>
      </c>
      <c r="I41" s="2">
        <f>geracao_kwh!I41*lcae!$I$2</f>
        <v>592849101263.99683</v>
      </c>
      <c r="J41" s="2">
        <f>geracao_kwh!J41*lcae!$J$2</f>
        <v>0</v>
      </c>
      <c r="K41" s="2">
        <f>geracao_kwh!K41*lcae!$K$2</f>
        <v>9552591880.0000267</v>
      </c>
      <c r="L41" s="2">
        <f>geracao_kwh!L41*lcae!$L$2</f>
        <v>0</v>
      </c>
      <c r="M41" s="2">
        <f>geracao_kwh!M41*lcae!$M$2</f>
        <v>282500399.99999994</v>
      </c>
      <c r="N41" s="2">
        <f>geracao_kwh!N41*lcae!$N$2</f>
        <v>0</v>
      </c>
      <c r="O41" s="2">
        <f>geracao_kwh!O41*lcae!$O$2</f>
        <v>0</v>
      </c>
    </row>
    <row r="42" spans="1:15" x14ac:dyDescent="0.3">
      <c r="A42" s="6">
        <v>41</v>
      </c>
      <c r="B42" s="6">
        <v>2003</v>
      </c>
      <c r="C42" s="6">
        <v>5</v>
      </c>
      <c r="D42" s="2">
        <f>geracao_kwh!D42*lcae!$D$2</f>
        <v>0</v>
      </c>
      <c r="E42" s="2">
        <f>geracao_kwh!E42*lcae!$E$2</f>
        <v>436698061800.00024</v>
      </c>
      <c r="F42" s="2">
        <f>geracao_kwh!F42*lcae!$F$2</f>
        <v>0</v>
      </c>
      <c r="G42" s="2">
        <f>geracao_kwh!G42*lcae!$G$2</f>
        <v>0</v>
      </c>
      <c r="H42" s="2">
        <f>geracao_kwh!H42*lcae!$H$2</f>
        <v>304838029097.99951</v>
      </c>
      <c r="I42" s="2">
        <f>geracao_kwh!I42*lcae!$I$2</f>
        <v>592476213000.00952</v>
      </c>
      <c r="J42" s="2">
        <f>geracao_kwh!J42*lcae!$J$2</f>
        <v>0</v>
      </c>
      <c r="K42" s="2">
        <f>geracao_kwh!K42*lcae!$K$2</f>
        <v>12775706060.000072</v>
      </c>
      <c r="L42" s="2">
        <f>geracao_kwh!L42*lcae!$L$2</f>
        <v>2614164000.0000005</v>
      </c>
      <c r="M42" s="2">
        <f>geracao_kwh!M42*lcae!$M$2</f>
        <v>0</v>
      </c>
      <c r="N42" s="2">
        <f>geracao_kwh!N42*lcae!$N$2</f>
        <v>0</v>
      </c>
      <c r="O42" s="2">
        <f>geracao_kwh!O42*lcae!$O$2</f>
        <v>0</v>
      </c>
    </row>
    <row r="43" spans="1:15" x14ac:dyDescent="0.3">
      <c r="A43" s="6">
        <v>42</v>
      </c>
      <c r="B43" s="6">
        <v>2003</v>
      </c>
      <c r="C43" s="6">
        <v>6</v>
      </c>
      <c r="D43" s="2">
        <f>geracao_kwh!D43*lcae!$D$2</f>
        <v>0</v>
      </c>
      <c r="E43" s="2">
        <f>geracao_kwh!E43*lcae!$E$2</f>
        <v>420569349200.00024</v>
      </c>
      <c r="F43" s="2">
        <f>geracao_kwh!F43*lcae!$F$2</f>
        <v>0</v>
      </c>
      <c r="G43" s="2">
        <f>geracao_kwh!G43*lcae!$G$2</f>
        <v>0</v>
      </c>
      <c r="H43" s="2">
        <f>geracao_kwh!H43*lcae!$H$2</f>
        <v>414037388051.99976</v>
      </c>
      <c r="I43" s="2">
        <f>geracao_kwh!I43*lcae!$I$2</f>
        <v>556546151636.99463</v>
      </c>
      <c r="J43" s="2">
        <f>geracao_kwh!J43*lcae!$J$2</f>
        <v>0</v>
      </c>
      <c r="K43" s="2">
        <f>geracao_kwh!K43*lcae!$K$2</f>
        <v>17205101420.000076</v>
      </c>
      <c r="L43" s="2">
        <f>geracao_kwh!L43*lcae!$L$2</f>
        <v>0</v>
      </c>
      <c r="M43" s="2">
        <f>geracao_kwh!M43*lcae!$M$2</f>
        <v>23204815199.999992</v>
      </c>
      <c r="N43" s="2">
        <f>geracao_kwh!N43*lcae!$N$2</f>
        <v>0</v>
      </c>
      <c r="O43" s="2">
        <f>geracao_kwh!O43*lcae!$O$2</f>
        <v>0</v>
      </c>
    </row>
    <row r="44" spans="1:15" x14ac:dyDescent="0.3">
      <c r="A44" s="6">
        <v>43</v>
      </c>
      <c r="B44" s="6">
        <v>2003</v>
      </c>
      <c r="C44" s="6">
        <v>7</v>
      </c>
      <c r="D44" s="2">
        <f>geracao_kwh!D44*lcae!$D$2</f>
        <v>0</v>
      </c>
      <c r="E44" s="2">
        <f>geracao_kwh!E44*lcae!$E$2</f>
        <v>452031379800.00006</v>
      </c>
      <c r="F44" s="2">
        <f>geracao_kwh!F44*lcae!$F$2</f>
        <v>0</v>
      </c>
      <c r="G44" s="2">
        <f>geracao_kwh!G44*lcae!$G$2</f>
        <v>0</v>
      </c>
      <c r="H44" s="2">
        <f>geracao_kwh!H44*lcae!$H$2</f>
        <v>404590188599.99854</v>
      </c>
      <c r="I44" s="2">
        <f>geracao_kwh!I44*lcae!$I$2</f>
        <v>576118934579.99658</v>
      </c>
      <c r="J44" s="2">
        <f>geracao_kwh!J44*lcae!$J$2</f>
        <v>0</v>
      </c>
      <c r="K44" s="2">
        <f>geracao_kwh!K44*lcae!$K$2</f>
        <v>17879017390.000008</v>
      </c>
      <c r="L44" s="2">
        <f>geracao_kwh!L44*lcae!$L$2</f>
        <v>2105795999.9999995</v>
      </c>
      <c r="M44" s="2">
        <f>geracao_kwh!M44*lcae!$M$2</f>
        <v>1680865199.9999998</v>
      </c>
      <c r="N44" s="2">
        <f>geracao_kwh!N44*lcae!$N$2</f>
        <v>0</v>
      </c>
      <c r="O44" s="2">
        <f>geracao_kwh!O44*lcae!$O$2</f>
        <v>0</v>
      </c>
    </row>
    <row r="45" spans="1:15" x14ac:dyDescent="0.3">
      <c r="A45" s="6">
        <v>44</v>
      </c>
      <c r="B45" s="6">
        <v>2003</v>
      </c>
      <c r="C45" s="6">
        <v>8</v>
      </c>
      <c r="D45" s="2">
        <f>geracao_kwh!D45*lcae!$D$2</f>
        <v>0</v>
      </c>
      <c r="E45" s="2">
        <f>geracao_kwh!E45*lcae!$E$2</f>
        <v>437105168500.0014</v>
      </c>
      <c r="F45" s="2">
        <f>geracao_kwh!F45*lcae!$F$2</f>
        <v>0</v>
      </c>
      <c r="G45" s="2">
        <f>geracao_kwh!G45*lcae!$G$2</f>
        <v>0</v>
      </c>
      <c r="H45" s="2">
        <f>geracao_kwh!H45*lcae!$H$2</f>
        <v>414029834640.00061</v>
      </c>
      <c r="I45" s="2">
        <f>geracao_kwh!I45*lcae!$I$2</f>
        <v>583171918140.01013</v>
      </c>
      <c r="J45" s="2">
        <f>geracao_kwh!J45*lcae!$J$2</f>
        <v>0</v>
      </c>
      <c r="K45" s="2">
        <f>geracao_kwh!K45*lcae!$K$2</f>
        <v>14148860570.000046</v>
      </c>
      <c r="L45" s="2">
        <f>geracao_kwh!L45*lcae!$L$2</f>
        <v>0</v>
      </c>
      <c r="M45" s="2">
        <f>geracao_kwh!M45*lcae!$M$2</f>
        <v>964706400</v>
      </c>
      <c r="N45" s="2">
        <f>geracao_kwh!N45*lcae!$N$2</f>
        <v>0</v>
      </c>
      <c r="O45" s="2">
        <f>geracao_kwh!O45*lcae!$O$2</f>
        <v>0</v>
      </c>
    </row>
    <row r="46" spans="1:15" x14ac:dyDescent="0.3">
      <c r="A46" s="6">
        <v>45</v>
      </c>
      <c r="B46" s="6">
        <v>2003</v>
      </c>
      <c r="C46" s="6">
        <v>9</v>
      </c>
      <c r="D46" s="2">
        <f>geracao_kwh!D46*lcae!$D$2</f>
        <v>0</v>
      </c>
      <c r="E46" s="2">
        <f>geracao_kwh!E46*lcae!$E$2</f>
        <v>439785996649.99994</v>
      </c>
      <c r="F46" s="2">
        <f>geracao_kwh!F46*lcae!$F$2</f>
        <v>0</v>
      </c>
      <c r="G46" s="2">
        <f>geracao_kwh!G46*lcae!$G$2</f>
        <v>0</v>
      </c>
      <c r="H46" s="2">
        <f>geracao_kwh!H46*lcae!$H$2</f>
        <v>318072036060.00024</v>
      </c>
      <c r="I46" s="2">
        <f>geracao_kwh!I46*lcae!$I$2</f>
        <v>588107031750.00854</v>
      </c>
      <c r="J46" s="2">
        <f>geracao_kwh!J46*lcae!$J$2</f>
        <v>0</v>
      </c>
      <c r="K46" s="2">
        <f>geracao_kwh!K46*lcae!$K$2</f>
        <v>12710026680.000013</v>
      </c>
      <c r="L46" s="2">
        <f>geracao_kwh!L46*lcae!$L$2</f>
        <v>2254560000</v>
      </c>
      <c r="M46" s="2">
        <f>geracao_kwh!M46*lcae!$M$2</f>
        <v>9164307600.0000019</v>
      </c>
      <c r="N46" s="2">
        <f>geracao_kwh!N46*lcae!$N$2</f>
        <v>0</v>
      </c>
      <c r="O46" s="2">
        <f>geracao_kwh!O46*lcae!$O$2</f>
        <v>0</v>
      </c>
    </row>
    <row r="47" spans="1:15" x14ac:dyDescent="0.3">
      <c r="A47" s="6">
        <v>46</v>
      </c>
      <c r="B47" s="6">
        <v>2003</v>
      </c>
      <c r="C47" s="6">
        <v>10</v>
      </c>
      <c r="D47" s="2">
        <f>geracao_kwh!D47*lcae!$D$2</f>
        <v>0</v>
      </c>
      <c r="E47" s="2">
        <f>geracao_kwh!E47*lcae!$E$2</f>
        <v>460333003130.00024</v>
      </c>
      <c r="F47" s="2">
        <f>geracao_kwh!F47*lcae!$F$2</f>
        <v>0</v>
      </c>
      <c r="G47" s="2">
        <f>geracao_kwh!G47*lcae!$G$2</f>
        <v>0</v>
      </c>
      <c r="H47" s="2">
        <f>geracao_kwh!H47*lcae!$H$2</f>
        <v>464452300620.00134</v>
      </c>
      <c r="I47" s="2">
        <f>geracao_kwh!I47*lcae!$I$2</f>
        <v>617939613900.00195</v>
      </c>
      <c r="J47" s="2">
        <f>geracao_kwh!J47*lcae!$J$2</f>
        <v>0</v>
      </c>
      <c r="K47" s="2">
        <f>geracao_kwh!K47*lcae!$K$2</f>
        <v>10711790569.999992</v>
      </c>
      <c r="L47" s="2">
        <f>geracao_kwh!L47*lcae!$L$2</f>
        <v>0</v>
      </c>
      <c r="M47" s="2">
        <f>geracao_kwh!M47*lcae!$M$2</f>
        <v>69385646400</v>
      </c>
      <c r="N47" s="2">
        <f>geracao_kwh!N47*lcae!$N$2</f>
        <v>0</v>
      </c>
      <c r="O47" s="2">
        <f>geracao_kwh!O47*lcae!$O$2</f>
        <v>0</v>
      </c>
    </row>
    <row r="48" spans="1:15" x14ac:dyDescent="0.3">
      <c r="A48" s="6">
        <v>47</v>
      </c>
      <c r="B48" s="6">
        <v>2003</v>
      </c>
      <c r="C48" s="6">
        <v>11</v>
      </c>
      <c r="D48" s="2">
        <f>geracao_kwh!D48*lcae!$D$2</f>
        <v>5391880</v>
      </c>
      <c r="E48" s="2">
        <f>geracao_kwh!E48*lcae!$E$2</f>
        <v>510093243660.00128</v>
      </c>
      <c r="F48" s="2">
        <f>geracao_kwh!F48*lcae!$F$2</f>
        <v>0</v>
      </c>
      <c r="G48" s="2">
        <f>geracao_kwh!G48*lcae!$G$2</f>
        <v>0</v>
      </c>
      <c r="H48" s="2">
        <f>geracao_kwh!H48*lcae!$H$2</f>
        <v>567948547260.00195</v>
      </c>
      <c r="I48" s="2">
        <f>geracao_kwh!I48*lcae!$I$2</f>
        <v>586750546410.00525</v>
      </c>
      <c r="J48" s="2">
        <f>geracao_kwh!J48*lcae!$J$2</f>
        <v>0</v>
      </c>
      <c r="K48" s="2">
        <f>geracao_kwh!K48*lcae!$K$2</f>
        <v>15955825796.29999</v>
      </c>
      <c r="L48" s="2">
        <f>geracao_kwh!L48*lcae!$L$2</f>
        <v>2963267999.9999995</v>
      </c>
      <c r="M48" s="2">
        <f>geracao_kwh!M48*lcae!$M$2</f>
        <v>28446448800.000008</v>
      </c>
      <c r="N48" s="2">
        <f>geracao_kwh!N48*lcae!$N$2</f>
        <v>0</v>
      </c>
      <c r="O48" s="2">
        <f>geracao_kwh!O48*lcae!$O$2</f>
        <v>0</v>
      </c>
    </row>
    <row r="49" spans="1:15" x14ac:dyDescent="0.3">
      <c r="A49" s="6">
        <v>48</v>
      </c>
      <c r="B49" s="6">
        <v>2003</v>
      </c>
      <c r="C49" s="6">
        <v>12</v>
      </c>
      <c r="D49" s="2">
        <f>geracao_kwh!D49*lcae!$D$2</f>
        <v>14192880</v>
      </c>
      <c r="E49" s="2">
        <f>geracao_kwh!E49*lcae!$E$2</f>
        <v>488998499990.00061</v>
      </c>
      <c r="F49" s="2">
        <f>geracao_kwh!F49*lcae!$F$2</f>
        <v>0</v>
      </c>
      <c r="G49" s="2">
        <f>geracao_kwh!G49*lcae!$G$2</f>
        <v>0</v>
      </c>
      <c r="H49" s="2">
        <f>geracao_kwh!H49*lcae!$H$2</f>
        <v>600406679340.00134</v>
      </c>
      <c r="I49" s="2">
        <f>geracao_kwh!I49*lcae!$I$2</f>
        <v>600516317519.99609</v>
      </c>
      <c r="J49" s="2">
        <f>geracao_kwh!J49*lcae!$J$2</f>
        <v>0</v>
      </c>
      <c r="K49" s="2">
        <f>geracao_kwh!K49*lcae!$K$2</f>
        <v>18012726679.999828</v>
      </c>
      <c r="L49" s="2">
        <f>geracao_kwh!L49*lcae!$L$2</f>
        <v>16929847199.999994</v>
      </c>
      <c r="M49" s="2">
        <f>geracao_kwh!M49*lcae!$M$2</f>
        <v>17835249600.000008</v>
      </c>
      <c r="N49" s="2">
        <f>geracao_kwh!N49*lcae!$N$2</f>
        <v>0</v>
      </c>
      <c r="O49" s="2">
        <f>geracao_kwh!O49*lcae!$O$2</f>
        <v>0</v>
      </c>
    </row>
    <row r="50" spans="1:15" x14ac:dyDescent="0.3">
      <c r="A50" s="6">
        <v>49</v>
      </c>
      <c r="B50" s="6">
        <v>2004</v>
      </c>
      <c r="C50" s="6">
        <v>1</v>
      </c>
      <c r="D50" s="2">
        <f>geracao_kwh!D50*lcae!$D$2</f>
        <v>0</v>
      </c>
      <c r="E50" s="2">
        <f>geracao_kwh!E50*lcae!$E$2</f>
        <v>518284736969.99982</v>
      </c>
      <c r="F50" s="2">
        <f>geracao_kwh!F50*lcae!$F$2</f>
        <v>0</v>
      </c>
      <c r="G50" s="2">
        <f>geracao_kwh!G50*lcae!$G$2</f>
        <v>0</v>
      </c>
      <c r="H50" s="2">
        <f>geracao_kwh!H50*lcae!$H$2</f>
        <v>603436592879.99902</v>
      </c>
      <c r="I50" s="2">
        <f>geracao_kwh!I50*lcae!$I$2</f>
        <v>589243386900.00269</v>
      </c>
      <c r="J50" s="2">
        <f>geracao_kwh!J50*lcae!$J$2</f>
        <v>0</v>
      </c>
      <c r="K50" s="2">
        <f>geracao_kwh!K50*lcae!$K$2</f>
        <v>17676829299.999935</v>
      </c>
      <c r="L50" s="2">
        <f>geracao_kwh!L50*lcae!$L$2</f>
        <v>77493979920.000168</v>
      </c>
      <c r="M50" s="2">
        <f>geracao_kwh!M50*lcae!$M$2</f>
        <v>160180742399.9993</v>
      </c>
      <c r="N50" s="2">
        <f>geracao_kwh!N50*lcae!$N$2</f>
        <v>0</v>
      </c>
      <c r="O50" s="2">
        <f>geracao_kwh!O50*lcae!$O$2</f>
        <v>0</v>
      </c>
    </row>
    <row r="51" spans="1:15" x14ac:dyDescent="0.3">
      <c r="A51" s="6">
        <v>50</v>
      </c>
      <c r="B51" s="6">
        <v>2004</v>
      </c>
      <c r="C51" s="6">
        <v>2</v>
      </c>
      <c r="D51" s="2">
        <f>geracao_kwh!D51*lcae!$D$2</f>
        <v>0</v>
      </c>
      <c r="E51" s="2">
        <f>geracao_kwh!E51*lcae!$E$2</f>
        <v>470219719970.00085</v>
      </c>
      <c r="F51" s="2">
        <f>geracao_kwh!F51*lcae!$F$2</f>
        <v>0</v>
      </c>
      <c r="G51" s="2">
        <f>geracao_kwh!G51*lcae!$G$2</f>
        <v>0</v>
      </c>
      <c r="H51" s="2">
        <f>geracao_kwh!H51*lcae!$H$2</f>
        <v>528848360100</v>
      </c>
      <c r="I51" s="2">
        <f>geracao_kwh!I51*lcae!$I$2</f>
        <v>570114431040.0022</v>
      </c>
      <c r="J51" s="2">
        <f>geracao_kwh!J51*lcae!$J$2</f>
        <v>0</v>
      </c>
      <c r="K51" s="2">
        <f>geracao_kwh!K51*lcae!$K$2</f>
        <v>14806511720</v>
      </c>
      <c r="L51" s="2">
        <f>geracao_kwh!L51*lcae!$L$2</f>
        <v>3470258400.000001</v>
      </c>
      <c r="M51" s="2">
        <f>geracao_kwh!M51*lcae!$M$2</f>
        <v>32805519599.999958</v>
      </c>
      <c r="N51" s="2">
        <f>geracao_kwh!N51*lcae!$N$2</f>
        <v>0</v>
      </c>
      <c r="O51" s="2">
        <f>geracao_kwh!O51*lcae!$O$2</f>
        <v>0</v>
      </c>
    </row>
    <row r="52" spans="1:15" x14ac:dyDescent="0.3">
      <c r="A52" s="6">
        <v>51</v>
      </c>
      <c r="B52" s="6">
        <v>2004</v>
      </c>
      <c r="C52" s="6">
        <v>3</v>
      </c>
      <c r="D52" s="2">
        <f>geracao_kwh!D52*lcae!$D$2</f>
        <v>0</v>
      </c>
      <c r="E52" s="2">
        <f>geracao_kwh!E52*lcae!$E$2</f>
        <v>446587080940.00177</v>
      </c>
      <c r="F52" s="2">
        <f>geracao_kwh!F52*lcae!$F$2</f>
        <v>0</v>
      </c>
      <c r="G52" s="2">
        <f>geracao_kwh!G52*lcae!$G$2</f>
        <v>0</v>
      </c>
      <c r="H52" s="2">
        <f>geracao_kwh!H52*lcae!$H$2</f>
        <v>576232524277.19885</v>
      </c>
      <c r="I52" s="2">
        <f>geracao_kwh!I52*lcae!$I$2</f>
        <v>640964484089.99255</v>
      </c>
      <c r="J52" s="2">
        <f>geracao_kwh!J52*lcae!$J$2</f>
        <v>0</v>
      </c>
      <c r="K52" s="2">
        <f>geracao_kwh!K52*lcae!$K$2</f>
        <v>9498910329.9999828</v>
      </c>
      <c r="L52" s="2">
        <f>geracao_kwh!L52*lcae!$L$2</f>
        <v>0</v>
      </c>
      <c r="M52" s="2">
        <f>geracao_kwh!M52*lcae!$M$2</f>
        <v>48761269199.999977</v>
      </c>
      <c r="N52" s="2">
        <f>geracao_kwh!N52*lcae!$N$2</f>
        <v>0</v>
      </c>
      <c r="O52" s="2">
        <f>geracao_kwh!O52*lcae!$O$2</f>
        <v>0</v>
      </c>
    </row>
    <row r="53" spans="1:15" x14ac:dyDescent="0.3">
      <c r="A53" s="6">
        <v>52</v>
      </c>
      <c r="B53" s="6">
        <v>2004</v>
      </c>
      <c r="C53" s="6">
        <v>4</v>
      </c>
      <c r="D53" s="2">
        <f>geracao_kwh!D53*lcae!$D$2</f>
        <v>0</v>
      </c>
      <c r="E53" s="2">
        <f>geracao_kwh!E53*lcae!$E$2</f>
        <v>507531414389.99976</v>
      </c>
      <c r="F53" s="2">
        <f>geracao_kwh!F53*lcae!$F$2</f>
        <v>0</v>
      </c>
      <c r="G53" s="2">
        <f>geracao_kwh!G53*lcae!$G$2</f>
        <v>0</v>
      </c>
      <c r="H53" s="2">
        <f>geracao_kwh!H53*lcae!$H$2</f>
        <v>628729617239.99597</v>
      </c>
      <c r="I53" s="2">
        <f>geracao_kwh!I53*lcae!$I$2</f>
        <v>607500357449.99451</v>
      </c>
      <c r="J53" s="2">
        <f>geracao_kwh!J53*lcae!$J$2</f>
        <v>0</v>
      </c>
      <c r="K53" s="2">
        <f>geracao_kwh!K53*lcae!$K$2</f>
        <v>11636629679.999969</v>
      </c>
      <c r="L53" s="2">
        <f>geracao_kwh!L53*lcae!$L$2</f>
        <v>4272685200</v>
      </c>
      <c r="M53" s="2">
        <f>geracao_kwh!M53*lcae!$M$2</f>
        <v>52271587199.999954</v>
      </c>
      <c r="N53" s="2">
        <f>geracao_kwh!N53*lcae!$N$2</f>
        <v>0</v>
      </c>
      <c r="O53" s="2">
        <f>geracao_kwh!O53*lcae!$O$2</f>
        <v>0</v>
      </c>
    </row>
    <row r="54" spans="1:15" x14ac:dyDescent="0.3">
      <c r="A54" s="6">
        <v>53</v>
      </c>
      <c r="B54" s="6">
        <v>2004</v>
      </c>
      <c r="C54" s="6">
        <v>5</v>
      </c>
      <c r="D54" s="2">
        <f>geracao_kwh!D54*lcae!$D$2</f>
        <v>0</v>
      </c>
      <c r="E54" s="2">
        <f>geracao_kwh!E54*lcae!$E$2</f>
        <v>619232824210.00061</v>
      </c>
      <c r="F54" s="2">
        <f>geracao_kwh!F54*lcae!$F$2</f>
        <v>0</v>
      </c>
      <c r="G54" s="2">
        <f>geracao_kwh!G54*lcae!$G$2</f>
        <v>0</v>
      </c>
      <c r="H54" s="2">
        <f>geracao_kwh!H54*lcae!$H$2</f>
        <v>461730545100.00006</v>
      </c>
      <c r="I54" s="2">
        <f>geracao_kwh!I54*lcae!$I$2</f>
        <v>623120253420.00586</v>
      </c>
      <c r="J54" s="2">
        <f>geracao_kwh!J54*lcae!$J$2</f>
        <v>0</v>
      </c>
      <c r="K54" s="2">
        <f>geracao_kwh!K54*lcae!$K$2</f>
        <v>9079631079.9999962</v>
      </c>
      <c r="L54" s="2">
        <f>geracao_kwh!L54*lcae!$L$2</f>
        <v>0</v>
      </c>
      <c r="M54" s="2">
        <f>geracao_kwh!M54*lcae!$M$2</f>
        <v>95792146799.999893</v>
      </c>
      <c r="N54" s="2">
        <f>geracao_kwh!N54*lcae!$N$2</f>
        <v>0</v>
      </c>
      <c r="O54" s="2">
        <f>geracao_kwh!O54*lcae!$O$2</f>
        <v>0</v>
      </c>
    </row>
    <row r="55" spans="1:15" x14ac:dyDescent="0.3">
      <c r="A55" s="6">
        <v>54</v>
      </c>
      <c r="B55" s="6">
        <v>2004</v>
      </c>
      <c r="C55" s="6">
        <v>6</v>
      </c>
      <c r="D55" s="2">
        <f>geracao_kwh!D55*lcae!$D$2</f>
        <v>4004000</v>
      </c>
      <c r="E55" s="2">
        <f>geracao_kwh!E55*lcae!$E$2</f>
        <v>654125261789.99829</v>
      </c>
      <c r="F55" s="2">
        <f>geracao_kwh!F55*lcae!$F$2</f>
        <v>0</v>
      </c>
      <c r="G55" s="2">
        <f>geracao_kwh!G55*lcae!$G$2</f>
        <v>0</v>
      </c>
      <c r="H55" s="2">
        <f>geracao_kwh!H55*lcae!$H$2</f>
        <v>487198030823.99969</v>
      </c>
      <c r="I55" s="2">
        <f>geracao_kwh!I55*lcae!$I$2</f>
        <v>595275942870.00098</v>
      </c>
      <c r="J55" s="2">
        <f>geracao_kwh!J55*lcae!$J$2</f>
        <v>0</v>
      </c>
      <c r="K55" s="2">
        <f>geracao_kwh!K55*lcae!$K$2</f>
        <v>11545949220.000002</v>
      </c>
      <c r="L55" s="2">
        <f>geracao_kwh!L55*lcae!$L$2</f>
        <v>2817780000.000001</v>
      </c>
      <c r="M55" s="2">
        <f>geracao_kwh!M55*lcae!$M$2</f>
        <v>75081190799.999954</v>
      </c>
      <c r="N55" s="2">
        <f>geracao_kwh!N55*lcae!$N$2</f>
        <v>0</v>
      </c>
      <c r="O55" s="2">
        <f>geracao_kwh!O55*lcae!$O$2</f>
        <v>0</v>
      </c>
    </row>
    <row r="56" spans="1:15" x14ac:dyDescent="0.3">
      <c r="A56" s="6">
        <v>55</v>
      </c>
      <c r="B56" s="6">
        <v>2004</v>
      </c>
      <c r="C56" s="6">
        <v>7</v>
      </c>
      <c r="D56" s="2">
        <f>geracao_kwh!D56*lcae!$D$2</f>
        <v>0</v>
      </c>
      <c r="E56" s="2">
        <f>geracao_kwh!E56*lcae!$E$2</f>
        <v>582195654039.99939</v>
      </c>
      <c r="F56" s="2">
        <f>geracao_kwh!F56*lcae!$F$2</f>
        <v>0</v>
      </c>
      <c r="G56" s="2">
        <f>geracao_kwh!G56*lcae!$G$2</f>
        <v>0</v>
      </c>
      <c r="H56" s="2">
        <f>geracao_kwh!H56*lcae!$H$2</f>
        <v>448091900272.79956</v>
      </c>
      <c r="I56" s="2">
        <f>geracao_kwh!I56*lcae!$I$2</f>
        <v>620917440150.00061</v>
      </c>
      <c r="J56" s="2">
        <f>geracao_kwh!J56*lcae!$J$2</f>
        <v>0</v>
      </c>
      <c r="K56" s="2">
        <f>geracao_kwh!K56*lcae!$K$2</f>
        <v>11493143349.999989</v>
      </c>
      <c r="L56" s="2">
        <f>geracao_kwh!L56*lcae!$L$2</f>
        <v>0</v>
      </c>
      <c r="M56" s="2">
        <f>geracao_kwh!M56*lcae!$M$2</f>
        <v>48593747999.999985</v>
      </c>
      <c r="N56" s="2">
        <f>geracao_kwh!N56*lcae!$N$2</f>
        <v>0</v>
      </c>
      <c r="O56" s="2">
        <f>geracao_kwh!O56*lcae!$O$2</f>
        <v>0</v>
      </c>
    </row>
    <row r="57" spans="1:15" x14ac:dyDescent="0.3">
      <c r="A57" s="6">
        <v>56</v>
      </c>
      <c r="B57" s="6">
        <v>2004</v>
      </c>
      <c r="C57" s="6">
        <v>8</v>
      </c>
      <c r="D57" s="2">
        <f>geracao_kwh!D57*lcae!$D$2</f>
        <v>0</v>
      </c>
      <c r="E57" s="2">
        <f>geracao_kwh!E57*lcae!$E$2</f>
        <v>580037087629.99915</v>
      </c>
      <c r="F57" s="2">
        <f>geracao_kwh!F57*lcae!$F$2</f>
        <v>0</v>
      </c>
      <c r="G57" s="2">
        <f>geracao_kwh!G57*lcae!$G$2</f>
        <v>0</v>
      </c>
      <c r="H57" s="2">
        <f>geracao_kwh!H57*lcae!$H$2</f>
        <v>496888936919.99835</v>
      </c>
      <c r="I57" s="2">
        <f>geracao_kwh!I57*lcae!$I$2</f>
        <v>627123204981.00476</v>
      </c>
      <c r="J57" s="2">
        <f>geracao_kwh!J57*lcae!$J$2</f>
        <v>0</v>
      </c>
      <c r="K57" s="2">
        <f>geracao_kwh!K57*lcae!$K$2</f>
        <v>13648754600.000017</v>
      </c>
      <c r="L57" s="2">
        <f>geracao_kwh!L57*lcae!$L$2</f>
        <v>387181200.00000006</v>
      </c>
      <c r="M57" s="2">
        <f>geracao_kwh!M57*lcae!$M$2</f>
        <v>79184826000.000061</v>
      </c>
      <c r="N57" s="2">
        <f>geracao_kwh!N57*lcae!$N$2</f>
        <v>0</v>
      </c>
      <c r="O57" s="2">
        <f>geracao_kwh!O57*lcae!$O$2</f>
        <v>0</v>
      </c>
    </row>
    <row r="58" spans="1:15" x14ac:dyDescent="0.3">
      <c r="A58" s="6">
        <v>57</v>
      </c>
      <c r="B58" s="6">
        <v>2004</v>
      </c>
      <c r="C58" s="6">
        <v>9</v>
      </c>
      <c r="D58" s="2">
        <f>geracao_kwh!D58*lcae!$D$2</f>
        <v>0</v>
      </c>
      <c r="E58" s="2">
        <f>geracao_kwh!E58*lcae!$E$2</f>
        <v>409764164809.99933</v>
      </c>
      <c r="F58" s="2">
        <f>geracao_kwh!F58*lcae!$F$2</f>
        <v>0</v>
      </c>
      <c r="G58" s="2">
        <f>geracao_kwh!G58*lcae!$G$2</f>
        <v>0</v>
      </c>
      <c r="H58" s="2">
        <f>geracao_kwh!H58*lcae!$H$2</f>
        <v>760113469709.99744</v>
      </c>
      <c r="I58" s="2">
        <f>geracao_kwh!I58*lcae!$I$2</f>
        <v>614385914960.99731</v>
      </c>
      <c r="J58" s="2">
        <f>geracao_kwh!J58*lcae!$J$2</f>
        <v>0</v>
      </c>
      <c r="K58" s="2">
        <f>geracao_kwh!K58*lcae!$K$2</f>
        <v>17199981630.000057</v>
      </c>
      <c r="L58" s="2">
        <f>geracao_kwh!L58*lcae!$L$2</f>
        <v>3342864000.000001</v>
      </c>
      <c r="M58" s="2">
        <f>geracao_kwh!M58*lcae!$M$2</f>
        <v>10410724799.999989</v>
      </c>
      <c r="N58" s="2">
        <f>geracao_kwh!N58*lcae!$N$2</f>
        <v>0</v>
      </c>
      <c r="O58" s="2">
        <f>geracao_kwh!O58*lcae!$O$2</f>
        <v>0</v>
      </c>
    </row>
    <row r="59" spans="1:15" x14ac:dyDescent="0.3">
      <c r="A59" s="6">
        <v>58</v>
      </c>
      <c r="B59" s="6">
        <v>2004</v>
      </c>
      <c r="C59" s="6">
        <v>10</v>
      </c>
      <c r="D59" s="2">
        <f>geracao_kwh!D59*lcae!$D$2</f>
        <v>0</v>
      </c>
      <c r="E59" s="2">
        <f>geracao_kwh!E59*lcae!$E$2</f>
        <v>518129171560.00073</v>
      </c>
      <c r="F59" s="2">
        <f>geracao_kwh!F59*lcae!$F$2</f>
        <v>0</v>
      </c>
      <c r="G59" s="2">
        <f>geracao_kwh!G59*lcae!$G$2</f>
        <v>0</v>
      </c>
      <c r="H59" s="2">
        <f>geracao_kwh!H59*lcae!$H$2</f>
        <v>786606566579.99255</v>
      </c>
      <c r="I59" s="2">
        <f>geracao_kwh!I59*lcae!$I$2</f>
        <v>625790323829.99536</v>
      </c>
      <c r="J59" s="2">
        <f>geracao_kwh!J59*lcae!$J$2</f>
        <v>0</v>
      </c>
      <c r="K59" s="2">
        <f>geracao_kwh!K59*lcae!$K$2</f>
        <v>14410344129.999979</v>
      </c>
      <c r="L59" s="2">
        <f>geracao_kwh!L59*lcae!$L$2</f>
        <v>3661811999.999999</v>
      </c>
      <c r="M59" s="2">
        <f>geracao_kwh!M59*lcae!$M$2</f>
        <v>0</v>
      </c>
      <c r="N59" s="2">
        <f>geracao_kwh!N59*lcae!$N$2</f>
        <v>0</v>
      </c>
      <c r="O59" s="2">
        <f>geracao_kwh!O59*lcae!$O$2</f>
        <v>0</v>
      </c>
    </row>
    <row r="60" spans="1:15" x14ac:dyDescent="0.3">
      <c r="A60" s="6">
        <v>59</v>
      </c>
      <c r="B60" s="6">
        <v>2004</v>
      </c>
      <c r="C60" s="6">
        <v>11</v>
      </c>
      <c r="D60" s="2">
        <f>geracao_kwh!D60*lcae!$D$2</f>
        <v>0</v>
      </c>
      <c r="E60" s="2">
        <f>geracao_kwh!E60*lcae!$E$2</f>
        <v>509280882109.99927</v>
      </c>
      <c r="F60" s="2">
        <f>geracao_kwh!F60*lcae!$F$2</f>
        <v>0</v>
      </c>
      <c r="G60" s="2">
        <f>geracao_kwh!G60*lcae!$G$2</f>
        <v>0</v>
      </c>
      <c r="H60" s="2">
        <f>geracao_kwh!H60*lcae!$H$2</f>
        <v>614774880539.99854</v>
      </c>
      <c r="I60" s="2">
        <f>geracao_kwh!I60*lcae!$I$2</f>
        <v>620956203671.99756</v>
      </c>
      <c r="J60" s="2">
        <f>geracao_kwh!J60*lcae!$J$2</f>
        <v>0</v>
      </c>
      <c r="K60" s="2">
        <f>geracao_kwh!K60*lcae!$K$2</f>
        <v>14400434749.999956</v>
      </c>
      <c r="L60" s="2">
        <f>geracao_kwh!L60*lcae!$L$2</f>
        <v>84000</v>
      </c>
      <c r="M60" s="2">
        <f>geracao_kwh!M60*lcae!$M$2</f>
        <v>1028008799.9999998</v>
      </c>
      <c r="N60" s="2">
        <f>geracao_kwh!N60*lcae!$N$2</f>
        <v>0</v>
      </c>
      <c r="O60" s="2">
        <f>geracao_kwh!O60*lcae!$O$2</f>
        <v>0</v>
      </c>
    </row>
    <row r="61" spans="1:15" x14ac:dyDescent="0.3">
      <c r="A61" s="6">
        <v>60</v>
      </c>
      <c r="B61" s="6">
        <v>2004</v>
      </c>
      <c r="C61" s="6">
        <v>12</v>
      </c>
      <c r="D61" s="2">
        <f>geracao_kwh!D61*lcae!$D$2</f>
        <v>0</v>
      </c>
      <c r="E61" s="2">
        <f>geracao_kwh!E61*lcae!$E$2</f>
        <v>536360114289.99841</v>
      </c>
      <c r="F61" s="2">
        <f>geracao_kwh!F61*lcae!$F$2</f>
        <v>0</v>
      </c>
      <c r="G61" s="2">
        <f>geracao_kwh!G61*lcae!$G$2</f>
        <v>0</v>
      </c>
      <c r="H61" s="2">
        <f>geracao_kwh!H61*lcae!$H$2</f>
        <v>600029606520</v>
      </c>
      <c r="I61" s="2">
        <f>geracao_kwh!I61*lcae!$I$2</f>
        <v>655203813389.98157</v>
      </c>
      <c r="J61" s="2">
        <f>geracao_kwh!J61*lcae!$J$2</f>
        <v>0</v>
      </c>
      <c r="K61" s="2">
        <f>geracao_kwh!K61*lcae!$K$2</f>
        <v>5155199400.0000019</v>
      </c>
      <c r="L61" s="2">
        <f>geracao_kwh!L61*lcae!$L$2</f>
        <v>350926800.00000006</v>
      </c>
      <c r="M61" s="2">
        <f>geracao_kwh!M61*lcae!$M$2</f>
        <v>7637447999.9999971</v>
      </c>
      <c r="N61" s="2">
        <f>geracao_kwh!N61*lcae!$N$2</f>
        <v>0</v>
      </c>
      <c r="O61" s="2">
        <f>geracao_kwh!O61*lcae!$O$2</f>
        <v>0</v>
      </c>
    </row>
    <row r="62" spans="1:15" x14ac:dyDescent="0.3">
      <c r="A62" s="6">
        <v>61</v>
      </c>
      <c r="B62" s="6">
        <v>2005</v>
      </c>
      <c r="C62" s="6">
        <v>1</v>
      </c>
      <c r="D62" s="2">
        <f>geracao_kwh!D62*lcae!$D$2</f>
        <v>0</v>
      </c>
      <c r="E62" s="2">
        <f>geracao_kwh!E62*lcae!$E$2</f>
        <v>495265280510.00098</v>
      </c>
      <c r="F62" s="2">
        <f>geracao_kwh!F62*lcae!$F$2</f>
        <v>0</v>
      </c>
      <c r="G62" s="2">
        <f>geracao_kwh!G62*lcae!$G$2</f>
        <v>0</v>
      </c>
      <c r="H62" s="2">
        <f>geracao_kwh!H62*lcae!$H$2</f>
        <v>597345676379.99976</v>
      </c>
      <c r="I62" s="2">
        <f>geracao_kwh!I62*lcae!$I$2</f>
        <v>666690437279.98767</v>
      </c>
      <c r="J62" s="2">
        <f>geracao_kwh!J62*lcae!$J$2</f>
        <v>0</v>
      </c>
      <c r="K62" s="2">
        <f>geracao_kwh!K62*lcae!$K$2</f>
        <v>4740373429.9999933</v>
      </c>
      <c r="L62" s="2">
        <f>geracao_kwh!L62*lcae!$L$2</f>
        <v>116928000</v>
      </c>
      <c r="M62" s="2">
        <f>geracao_kwh!M62*lcae!$M$2</f>
        <v>52187125199.999992</v>
      </c>
      <c r="N62" s="2">
        <f>geracao_kwh!N62*lcae!$N$2</f>
        <v>0</v>
      </c>
      <c r="O62" s="2">
        <f>geracao_kwh!O62*lcae!$O$2</f>
        <v>0</v>
      </c>
    </row>
    <row r="63" spans="1:15" x14ac:dyDescent="0.3">
      <c r="A63" s="6">
        <v>62</v>
      </c>
      <c r="B63" s="6">
        <v>2005</v>
      </c>
      <c r="C63" s="6">
        <v>2</v>
      </c>
      <c r="D63" s="2">
        <f>geracao_kwh!D63*lcae!$D$2</f>
        <v>0</v>
      </c>
      <c r="E63" s="2">
        <f>geracao_kwh!E63*lcae!$E$2</f>
        <v>500293814019.99963</v>
      </c>
      <c r="F63" s="2">
        <f>geracao_kwh!F63*lcae!$F$2</f>
        <v>0</v>
      </c>
      <c r="G63" s="2">
        <f>geracao_kwh!G63*lcae!$G$2</f>
        <v>0</v>
      </c>
      <c r="H63" s="2">
        <f>geracao_kwh!H63*lcae!$H$2</f>
        <v>413232104519.99878</v>
      </c>
      <c r="I63" s="2">
        <f>geracao_kwh!I63*lcae!$I$2</f>
        <v>617269685759.99365</v>
      </c>
      <c r="J63" s="2">
        <f>geracao_kwh!J63*lcae!$J$2</f>
        <v>0</v>
      </c>
      <c r="K63" s="2">
        <f>geracao_kwh!K63*lcae!$K$2</f>
        <v>4677860330.0000019</v>
      </c>
      <c r="L63" s="2">
        <f>geracao_kwh!L63*lcae!$L$2</f>
        <v>0</v>
      </c>
      <c r="M63" s="2">
        <f>geracao_kwh!M63*lcae!$M$2</f>
        <v>65565175200.000015</v>
      </c>
      <c r="N63" s="2">
        <f>geracao_kwh!N63*lcae!$N$2</f>
        <v>0</v>
      </c>
      <c r="O63" s="2">
        <f>geracao_kwh!O63*lcae!$O$2</f>
        <v>0</v>
      </c>
    </row>
    <row r="64" spans="1:15" x14ac:dyDescent="0.3">
      <c r="A64" s="6">
        <v>63</v>
      </c>
      <c r="B64" s="6">
        <v>2005</v>
      </c>
      <c r="C64" s="6">
        <v>3</v>
      </c>
      <c r="D64" s="2">
        <f>geracao_kwh!D64*lcae!$D$2</f>
        <v>6801600.0000000009</v>
      </c>
      <c r="E64" s="2">
        <f>geracao_kwh!E64*lcae!$E$2</f>
        <v>716976129870.00024</v>
      </c>
      <c r="F64" s="2">
        <f>geracao_kwh!F64*lcae!$F$2</f>
        <v>0</v>
      </c>
      <c r="G64" s="2">
        <f>geracao_kwh!G64*lcae!$G$2</f>
        <v>0</v>
      </c>
      <c r="H64" s="2">
        <f>geracao_kwh!H64*lcae!$H$2</f>
        <v>556038529199.99976</v>
      </c>
      <c r="I64" s="2">
        <f>geracao_kwh!I64*lcae!$I$2</f>
        <v>698945106089.99915</v>
      </c>
      <c r="J64" s="2">
        <f>geracao_kwh!J64*lcae!$J$2</f>
        <v>0</v>
      </c>
      <c r="K64" s="2">
        <f>geracao_kwh!K64*lcae!$K$2</f>
        <v>5880680</v>
      </c>
      <c r="L64" s="2">
        <f>geracao_kwh!L64*lcae!$L$2</f>
        <v>290614799.99999994</v>
      </c>
      <c r="M64" s="2">
        <f>geracao_kwh!M64*lcae!$M$2</f>
        <v>102617885999.99994</v>
      </c>
      <c r="N64" s="2">
        <f>geracao_kwh!N64*lcae!$N$2</f>
        <v>0</v>
      </c>
      <c r="O64" s="2">
        <f>geracao_kwh!O64*lcae!$O$2</f>
        <v>0</v>
      </c>
    </row>
    <row r="65" spans="1:15" x14ac:dyDescent="0.3">
      <c r="A65" s="6">
        <v>64</v>
      </c>
      <c r="B65" s="6">
        <v>2005</v>
      </c>
      <c r="C65" s="6">
        <v>4</v>
      </c>
      <c r="D65" s="2">
        <f>geracao_kwh!D65*lcae!$D$2</f>
        <v>0</v>
      </c>
      <c r="E65" s="2">
        <f>geracao_kwh!E65*lcae!$E$2</f>
        <v>660124775309.99841</v>
      </c>
      <c r="F65" s="2">
        <f>geracao_kwh!F65*lcae!$F$2</f>
        <v>0</v>
      </c>
      <c r="G65" s="2">
        <f>geracao_kwh!G65*lcae!$G$2</f>
        <v>0</v>
      </c>
      <c r="H65" s="2">
        <f>geracao_kwh!H65*lcae!$H$2</f>
        <v>473959665900.00012</v>
      </c>
      <c r="I65" s="2">
        <f>geracao_kwh!I65*lcae!$I$2</f>
        <v>653392064009.99377</v>
      </c>
      <c r="J65" s="2">
        <f>geracao_kwh!J65*lcae!$J$2</f>
        <v>0</v>
      </c>
      <c r="K65" s="2">
        <f>geracao_kwh!K65*lcae!$K$2</f>
        <v>10845412889.999947</v>
      </c>
      <c r="L65" s="2">
        <f>geracao_kwh!L65*lcae!$L$2</f>
        <v>1682083200</v>
      </c>
      <c r="M65" s="2">
        <f>geracao_kwh!M65*lcae!$M$2</f>
        <v>70657860000.000015</v>
      </c>
      <c r="N65" s="2">
        <f>geracao_kwh!N65*lcae!$N$2</f>
        <v>0</v>
      </c>
      <c r="O65" s="2">
        <f>geracao_kwh!O65*lcae!$O$2</f>
        <v>0</v>
      </c>
    </row>
    <row r="66" spans="1:15" x14ac:dyDescent="0.3">
      <c r="A66" s="6">
        <v>65</v>
      </c>
      <c r="B66" s="6">
        <v>2005</v>
      </c>
      <c r="C66" s="6">
        <v>5</v>
      </c>
      <c r="D66" s="2">
        <f>geracao_kwh!D66*lcae!$D$2</f>
        <v>0</v>
      </c>
      <c r="E66" s="2">
        <f>geracao_kwh!E66*lcae!$E$2</f>
        <v>546927310929.99951</v>
      </c>
      <c r="F66" s="2">
        <f>geracao_kwh!F66*lcae!$F$2</f>
        <v>0</v>
      </c>
      <c r="G66" s="2">
        <f>geracao_kwh!G66*lcae!$G$2</f>
        <v>0</v>
      </c>
      <c r="H66" s="2">
        <f>geracao_kwh!H66*lcae!$H$2</f>
        <v>467277238800.00012</v>
      </c>
      <c r="I66" s="2">
        <f>geracao_kwh!I66*lcae!$I$2</f>
        <v>640298466149.99109</v>
      </c>
      <c r="J66" s="2">
        <f>geracao_kwh!J66*lcae!$J$2</f>
        <v>0</v>
      </c>
      <c r="K66" s="2">
        <f>geracao_kwh!K66*lcae!$K$2</f>
        <v>15205491210.000006</v>
      </c>
      <c r="L66" s="2">
        <f>geracao_kwh!L66*lcae!$L$2</f>
        <v>0</v>
      </c>
      <c r="M66" s="2">
        <f>geracao_kwh!M66*lcae!$M$2</f>
        <v>58528999199.999947</v>
      </c>
      <c r="N66" s="2">
        <f>geracao_kwh!N66*lcae!$N$2</f>
        <v>0</v>
      </c>
      <c r="O66" s="2">
        <f>geracao_kwh!O66*lcae!$O$2</f>
        <v>0</v>
      </c>
    </row>
    <row r="67" spans="1:15" x14ac:dyDescent="0.3">
      <c r="A67" s="6">
        <v>66</v>
      </c>
      <c r="B67" s="6">
        <v>2005</v>
      </c>
      <c r="C67" s="6">
        <v>6</v>
      </c>
      <c r="D67" s="2">
        <f>geracao_kwh!D67*lcae!$D$2</f>
        <v>0</v>
      </c>
      <c r="E67" s="2">
        <f>geracao_kwh!E67*lcae!$E$2</f>
        <v>454992327790.00024</v>
      </c>
      <c r="F67" s="2">
        <f>geracao_kwh!F67*lcae!$F$2</f>
        <v>0</v>
      </c>
      <c r="G67" s="2">
        <f>geracao_kwh!G67*lcae!$G$2</f>
        <v>0</v>
      </c>
      <c r="H67" s="2">
        <f>geracao_kwh!H67*lcae!$H$2</f>
        <v>425882667995.99915</v>
      </c>
      <c r="I67" s="2">
        <f>geracao_kwh!I67*lcae!$I$2</f>
        <v>623888354249.99121</v>
      </c>
      <c r="J67" s="2">
        <f>geracao_kwh!J67*lcae!$J$2</f>
        <v>0</v>
      </c>
      <c r="K67" s="2">
        <f>geracao_kwh!K67*lcae!$K$2</f>
        <v>15883808330.000078</v>
      </c>
      <c r="L67" s="2">
        <f>geracao_kwh!L67*lcae!$L$2</f>
        <v>2557044000.000001</v>
      </c>
      <c r="M67" s="2">
        <f>geracao_kwh!M67*lcae!$M$2</f>
        <v>17805975599.999992</v>
      </c>
      <c r="N67" s="2">
        <f>geracao_kwh!N67*lcae!$N$2</f>
        <v>0</v>
      </c>
      <c r="O67" s="2">
        <f>geracao_kwh!O67*lcae!$O$2</f>
        <v>0</v>
      </c>
    </row>
    <row r="68" spans="1:15" x14ac:dyDescent="0.3">
      <c r="A68" s="6">
        <v>67</v>
      </c>
      <c r="B68" s="6">
        <v>2005</v>
      </c>
      <c r="C68" s="6">
        <v>7</v>
      </c>
      <c r="D68" s="2">
        <f>geracao_kwh!D68*lcae!$D$2</f>
        <v>0</v>
      </c>
      <c r="E68" s="2">
        <f>geracao_kwh!E68*lcae!$E$2</f>
        <v>515093919339.99841</v>
      </c>
      <c r="F68" s="2">
        <f>geracao_kwh!F68*lcae!$F$2</f>
        <v>0</v>
      </c>
      <c r="G68" s="2">
        <f>geracao_kwh!G68*lcae!$G$2</f>
        <v>0</v>
      </c>
      <c r="H68" s="2">
        <f>geracao_kwh!H68*lcae!$H$2</f>
        <v>450523666979.99951</v>
      </c>
      <c r="I68" s="2">
        <f>geracao_kwh!I68*lcae!$I$2</f>
        <v>629546834909.99915</v>
      </c>
      <c r="J68" s="2">
        <f>geracao_kwh!J68*lcae!$J$2</f>
        <v>0</v>
      </c>
      <c r="K68" s="2">
        <f>geracao_kwh!K68*lcae!$K$2</f>
        <v>13514665969.999983</v>
      </c>
      <c r="L68" s="2">
        <f>geracao_kwh!L68*lcae!$L$2</f>
        <v>239568000</v>
      </c>
      <c r="M68" s="2">
        <f>geracao_kwh!M68*lcae!$M$2</f>
        <v>100834708800.00003</v>
      </c>
      <c r="N68" s="2">
        <f>geracao_kwh!N68*lcae!$N$2</f>
        <v>0</v>
      </c>
      <c r="O68" s="2">
        <f>geracao_kwh!O68*lcae!$O$2</f>
        <v>0</v>
      </c>
    </row>
    <row r="69" spans="1:15" x14ac:dyDescent="0.3">
      <c r="A69" s="6">
        <v>68</v>
      </c>
      <c r="B69" s="6">
        <v>2005</v>
      </c>
      <c r="C69" s="6">
        <v>8</v>
      </c>
      <c r="D69" s="2">
        <f>geracao_kwh!D69*lcae!$D$2</f>
        <v>0</v>
      </c>
      <c r="E69" s="2">
        <f>geracao_kwh!E69*lcae!$E$2</f>
        <v>519175386730.00256</v>
      </c>
      <c r="F69" s="2">
        <f>geracao_kwh!F69*lcae!$F$2</f>
        <v>0</v>
      </c>
      <c r="G69" s="2">
        <f>geracao_kwh!G69*lcae!$G$2</f>
        <v>0</v>
      </c>
      <c r="H69" s="2">
        <f>geracao_kwh!H69*lcae!$H$2</f>
        <v>516020399819.99805</v>
      </c>
      <c r="I69" s="2">
        <f>geracao_kwh!I69*lcae!$I$2</f>
        <v>650262051074.99597</v>
      </c>
      <c r="J69" s="2">
        <f>geracao_kwh!J69*lcae!$J$2</f>
        <v>0</v>
      </c>
      <c r="K69" s="2">
        <f>geracao_kwh!K69*lcae!$K$2</f>
        <v>15451298459.999947</v>
      </c>
      <c r="L69" s="2">
        <f>geracao_kwh!L69*lcae!$L$2</f>
        <v>396857999.99999994</v>
      </c>
      <c r="M69" s="2">
        <f>geracao_kwh!M69*lcae!$M$2</f>
        <v>99360760799.999954</v>
      </c>
      <c r="N69" s="2">
        <f>geracao_kwh!N69*lcae!$N$2</f>
        <v>0</v>
      </c>
      <c r="O69" s="2">
        <f>geracao_kwh!O69*lcae!$O$2</f>
        <v>0</v>
      </c>
    </row>
    <row r="70" spans="1:15" x14ac:dyDescent="0.3">
      <c r="A70" s="6">
        <v>69</v>
      </c>
      <c r="B70" s="6">
        <v>2005</v>
      </c>
      <c r="C70" s="6">
        <v>9</v>
      </c>
      <c r="D70" s="2">
        <f>geracao_kwh!D70*lcae!$D$2</f>
        <v>0</v>
      </c>
      <c r="E70" s="2">
        <f>geracao_kwh!E70*lcae!$E$2</f>
        <v>410542862729.99927</v>
      </c>
      <c r="F70" s="2">
        <f>geracao_kwh!F70*lcae!$F$2</f>
        <v>0</v>
      </c>
      <c r="G70" s="2">
        <f>geracao_kwh!G70*lcae!$G$2</f>
        <v>0</v>
      </c>
      <c r="H70" s="2">
        <f>geracao_kwh!H70*lcae!$H$2</f>
        <v>494732538882.00067</v>
      </c>
      <c r="I70" s="2">
        <f>geracao_kwh!I70*lcae!$I$2</f>
        <v>628740990150.00684</v>
      </c>
      <c r="J70" s="2">
        <f>geracao_kwh!J70*lcae!$J$2</f>
        <v>0</v>
      </c>
      <c r="K70" s="2">
        <f>geracao_kwh!K70*lcae!$K$2</f>
        <v>15704251680.000078</v>
      </c>
      <c r="L70" s="2">
        <f>geracao_kwh!L70*lcae!$L$2</f>
        <v>2277995999.9999995</v>
      </c>
      <c r="M70" s="2">
        <f>geracao_kwh!M70*lcae!$M$2</f>
        <v>75259262399.999985</v>
      </c>
      <c r="N70" s="2">
        <f>geracao_kwh!N70*lcae!$N$2</f>
        <v>0</v>
      </c>
      <c r="O70" s="2">
        <f>geracao_kwh!O70*lcae!$O$2</f>
        <v>0</v>
      </c>
    </row>
    <row r="71" spans="1:15" x14ac:dyDescent="0.3">
      <c r="A71" s="6">
        <v>70</v>
      </c>
      <c r="B71" s="6">
        <v>2005</v>
      </c>
      <c r="C71" s="6">
        <v>10</v>
      </c>
      <c r="D71" s="2">
        <f>geracao_kwh!D71*lcae!$D$2</f>
        <v>0</v>
      </c>
      <c r="E71" s="2">
        <f>geracao_kwh!E71*lcae!$E$2</f>
        <v>345335306316.00098</v>
      </c>
      <c r="F71" s="2">
        <f>geracao_kwh!F71*lcae!$F$2</f>
        <v>0</v>
      </c>
      <c r="G71" s="2">
        <f>geracao_kwh!G71*lcae!$G$2</f>
        <v>0</v>
      </c>
      <c r="H71" s="2">
        <f>geracao_kwh!H71*lcae!$H$2</f>
        <v>694251875771.99817</v>
      </c>
      <c r="I71" s="2">
        <f>geracao_kwh!I71*lcae!$I$2</f>
        <v>660968410578.00317</v>
      </c>
      <c r="J71" s="2">
        <f>geracao_kwh!J71*lcae!$J$2</f>
        <v>0</v>
      </c>
      <c r="K71" s="2">
        <f>geracao_kwh!K71*lcae!$K$2</f>
        <v>15229724639.999962</v>
      </c>
      <c r="L71" s="2">
        <f>geracao_kwh!L71*lcae!$L$2</f>
        <v>4128017880.0000014</v>
      </c>
      <c r="M71" s="2">
        <f>geracao_kwh!M71*lcae!$M$2</f>
        <v>40643583960</v>
      </c>
      <c r="N71" s="2">
        <f>geracao_kwh!N71*lcae!$N$2</f>
        <v>0</v>
      </c>
      <c r="O71" s="2">
        <f>geracao_kwh!O71*lcae!$O$2</f>
        <v>0</v>
      </c>
    </row>
    <row r="72" spans="1:15" x14ac:dyDescent="0.3">
      <c r="A72" s="6">
        <v>71</v>
      </c>
      <c r="B72" s="6">
        <v>2005</v>
      </c>
      <c r="C72" s="6">
        <v>11</v>
      </c>
      <c r="D72" s="2">
        <f>geracao_kwh!D72*lcae!$D$2</f>
        <v>0</v>
      </c>
      <c r="E72" s="2">
        <f>geracao_kwh!E72*lcae!$E$2</f>
        <v>469090757134.99902</v>
      </c>
      <c r="F72" s="2">
        <f>geracao_kwh!F72*lcae!$F$2</f>
        <v>0</v>
      </c>
      <c r="G72" s="2">
        <f>geracao_kwh!G72*lcae!$G$2</f>
        <v>0</v>
      </c>
      <c r="H72" s="2">
        <f>geracao_kwh!H72*lcae!$H$2</f>
        <v>723011755374.00305</v>
      </c>
      <c r="I72" s="2">
        <f>geracao_kwh!I72*lcae!$I$2</f>
        <v>634992192912.00171</v>
      </c>
      <c r="J72" s="2">
        <f>geracao_kwh!J72*lcae!$J$2</f>
        <v>0</v>
      </c>
      <c r="K72" s="2">
        <f>geracao_kwh!K72*lcae!$K$2</f>
        <v>12549553510.000013</v>
      </c>
      <c r="L72" s="2">
        <f>geracao_kwh!L72*lcae!$L$2</f>
        <v>2031329160</v>
      </c>
      <c r="M72" s="2">
        <f>geracao_kwh!M72*lcae!$M$2</f>
        <v>26539959600.000008</v>
      </c>
      <c r="N72" s="2">
        <f>geracao_kwh!N72*lcae!$N$2</f>
        <v>0</v>
      </c>
      <c r="O72" s="2">
        <f>geracao_kwh!O72*lcae!$O$2</f>
        <v>0</v>
      </c>
    </row>
    <row r="73" spans="1:15" x14ac:dyDescent="0.3">
      <c r="A73" s="6">
        <v>72</v>
      </c>
      <c r="B73" s="6">
        <v>2005</v>
      </c>
      <c r="C73" s="6">
        <v>12</v>
      </c>
      <c r="D73" s="2">
        <f>geracao_kwh!D73*lcae!$D$2</f>
        <v>0</v>
      </c>
      <c r="E73" s="2">
        <f>geracao_kwh!E73*lcae!$E$2</f>
        <v>478909701269.99805</v>
      </c>
      <c r="F73" s="2">
        <f>geracao_kwh!F73*lcae!$F$2</f>
        <v>0</v>
      </c>
      <c r="G73" s="2">
        <f>geracao_kwh!G73*lcae!$G$2</f>
        <v>0</v>
      </c>
      <c r="H73" s="2">
        <f>geracao_kwh!H73*lcae!$H$2</f>
        <v>668571156575.99866</v>
      </c>
      <c r="I73" s="2">
        <f>geracao_kwh!I73*lcae!$I$2</f>
        <v>670661573189.99707</v>
      </c>
      <c r="J73" s="2">
        <f>geracao_kwh!J73*lcae!$J$2</f>
        <v>0</v>
      </c>
      <c r="K73" s="2">
        <f>geracao_kwh!K73*lcae!$K$2</f>
        <v>4305268240.0000143</v>
      </c>
      <c r="L73" s="2">
        <f>geracao_kwh!L73*lcae!$L$2</f>
        <v>4310552400.0000019</v>
      </c>
      <c r="M73" s="2">
        <f>geracao_kwh!M73*lcae!$M$2</f>
        <v>77783479200.000015</v>
      </c>
      <c r="N73" s="2">
        <f>geracao_kwh!N73*lcae!$N$2</f>
        <v>0</v>
      </c>
      <c r="O73" s="2">
        <f>geracao_kwh!O73*lcae!$O$2</f>
        <v>0</v>
      </c>
    </row>
    <row r="74" spans="1:15" x14ac:dyDescent="0.3">
      <c r="A74" s="6">
        <v>73</v>
      </c>
      <c r="B74" s="6">
        <v>2006</v>
      </c>
      <c r="C74" s="6">
        <v>1</v>
      </c>
      <c r="D74" s="2">
        <f>geracao_kwh!D74*lcae!$D$2</f>
        <v>0</v>
      </c>
      <c r="E74" s="2">
        <f>geracao_kwh!E74*lcae!$E$2</f>
        <v>484384971070.00018</v>
      </c>
      <c r="F74" s="2">
        <f>geracao_kwh!F74*lcae!$F$2</f>
        <v>0</v>
      </c>
      <c r="G74" s="2">
        <f>geracao_kwh!G74*lcae!$G$2</f>
        <v>0</v>
      </c>
      <c r="H74" s="2">
        <f>geracao_kwh!H74*lcae!$H$2</f>
        <v>622854591660.00098</v>
      </c>
      <c r="I74" s="2">
        <f>geracao_kwh!I74*lcae!$I$2</f>
        <v>700450331489.99414</v>
      </c>
      <c r="J74" s="2">
        <f>geracao_kwh!J74*lcae!$J$2</f>
        <v>0</v>
      </c>
      <c r="K74" s="2">
        <f>geracao_kwh!K74*lcae!$K$2</f>
        <v>4233297639.9999938</v>
      </c>
      <c r="L74" s="2">
        <f>geracao_kwh!L74*lcae!$L$2</f>
        <v>201600.00000000006</v>
      </c>
      <c r="M74" s="2">
        <f>geracao_kwh!M74*lcae!$M$2</f>
        <v>71218089599.999969</v>
      </c>
      <c r="N74" s="2">
        <f>geracao_kwh!N74*lcae!$N$2</f>
        <v>0</v>
      </c>
      <c r="O74" s="2">
        <f>geracao_kwh!O74*lcae!$O$2</f>
        <v>0</v>
      </c>
    </row>
    <row r="75" spans="1:15" x14ac:dyDescent="0.3">
      <c r="A75" s="6">
        <v>74</v>
      </c>
      <c r="B75" s="6">
        <v>2006</v>
      </c>
      <c r="C75" s="6">
        <v>2</v>
      </c>
      <c r="D75" s="2">
        <f>geracao_kwh!D75*lcae!$D$2</f>
        <v>0</v>
      </c>
      <c r="E75" s="2">
        <f>geracao_kwh!E75*lcae!$E$2</f>
        <v>479665125939.99927</v>
      </c>
      <c r="F75" s="2">
        <f>geracao_kwh!F75*lcae!$F$2</f>
        <v>0</v>
      </c>
      <c r="G75" s="2">
        <f>geracao_kwh!G75*lcae!$G$2</f>
        <v>0</v>
      </c>
      <c r="H75" s="2">
        <f>geracao_kwh!H75*lcae!$H$2</f>
        <v>604992321647.99854</v>
      </c>
      <c r="I75" s="2">
        <f>geracao_kwh!I75*lcae!$I$2</f>
        <v>631086439620.00183</v>
      </c>
      <c r="J75" s="2">
        <f>geracao_kwh!J75*lcae!$J$2</f>
        <v>0</v>
      </c>
      <c r="K75" s="2">
        <f>geracao_kwh!K75*lcae!$K$2</f>
        <v>11480537379.999943</v>
      </c>
      <c r="L75" s="2">
        <f>geracao_kwh!L75*lcae!$L$2</f>
        <v>0</v>
      </c>
      <c r="M75" s="2">
        <f>geracao_kwh!M75*lcae!$M$2</f>
        <v>60639566399.999977</v>
      </c>
      <c r="N75" s="2">
        <f>geracao_kwh!N75*lcae!$N$2</f>
        <v>0</v>
      </c>
      <c r="O75" s="2">
        <f>geracao_kwh!O75*lcae!$O$2</f>
        <v>0</v>
      </c>
    </row>
    <row r="76" spans="1:15" x14ac:dyDescent="0.3">
      <c r="A76" s="6">
        <v>75</v>
      </c>
      <c r="B76" s="6">
        <v>2006</v>
      </c>
      <c r="C76" s="6">
        <v>3</v>
      </c>
      <c r="D76" s="2">
        <f>geracao_kwh!D76*lcae!$D$2</f>
        <v>0</v>
      </c>
      <c r="E76" s="2">
        <f>geracao_kwh!E76*lcae!$E$2</f>
        <v>600244614970.00244</v>
      </c>
      <c r="F76" s="2">
        <f>geracao_kwh!F76*lcae!$F$2</f>
        <v>126229.99999999997</v>
      </c>
      <c r="G76" s="2">
        <f>geracao_kwh!G76*lcae!$G$2</f>
        <v>0</v>
      </c>
      <c r="H76" s="2">
        <f>geracao_kwh!H76*lcae!$H$2</f>
        <v>568159772579.99927</v>
      </c>
      <c r="I76" s="2">
        <f>geracao_kwh!I76*lcae!$I$2</f>
        <v>713033128709.99695</v>
      </c>
      <c r="J76" s="2">
        <f>geracao_kwh!J76*lcae!$J$2</f>
        <v>0</v>
      </c>
      <c r="K76" s="2">
        <f>geracao_kwh!K76*lcae!$K$2</f>
        <v>16581572929.999882</v>
      </c>
      <c r="L76" s="2">
        <f>geracao_kwh!L76*lcae!$L$2</f>
        <v>0</v>
      </c>
      <c r="M76" s="2">
        <f>geracao_kwh!M76*lcae!$M$2</f>
        <v>80014393200</v>
      </c>
      <c r="N76" s="2">
        <f>geracao_kwh!N76*lcae!$N$2</f>
        <v>0</v>
      </c>
      <c r="O76" s="2">
        <f>geracao_kwh!O76*lcae!$O$2</f>
        <v>0</v>
      </c>
    </row>
    <row r="77" spans="1:15" x14ac:dyDescent="0.3">
      <c r="A77" s="6">
        <v>76</v>
      </c>
      <c r="B77" s="6">
        <v>2006</v>
      </c>
      <c r="C77" s="6">
        <v>4</v>
      </c>
      <c r="D77" s="2">
        <f>geracao_kwh!D77*lcae!$D$2</f>
        <v>0</v>
      </c>
      <c r="E77" s="2">
        <f>geracao_kwh!E77*lcae!$E$2</f>
        <v>554460146239.9978</v>
      </c>
      <c r="F77" s="2">
        <f>geracao_kwh!F77*lcae!$F$2</f>
        <v>4474340.0000000019</v>
      </c>
      <c r="G77" s="2">
        <f>geracao_kwh!G77*lcae!$G$2</f>
        <v>0</v>
      </c>
      <c r="H77" s="2">
        <f>geracao_kwh!H77*lcae!$H$2</f>
        <v>294643336859.99982</v>
      </c>
      <c r="I77" s="2">
        <f>geracao_kwh!I77*lcae!$I$2</f>
        <v>660202130909.99707</v>
      </c>
      <c r="J77" s="2">
        <f>geracao_kwh!J77*lcae!$J$2</f>
        <v>0</v>
      </c>
      <c r="K77" s="2">
        <f>geracao_kwh!K77*lcae!$K$2</f>
        <v>15330082689.999912</v>
      </c>
      <c r="L77" s="2">
        <f>geracao_kwh!L77*lcae!$L$2</f>
        <v>2967409199.999999</v>
      </c>
      <c r="M77" s="2">
        <f>geracao_kwh!M77*lcae!$M$2</f>
        <v>54546979200.000038</v>
      </c>
      <c r="N77" s="2">
        <f>geracao_kwh!N77*lcae!$N$2</f>
        <v>0</v>
      </c>
      <c r="O77" s="2">
        <f>geracao_kwh!O77*lcae!$O$2</f>
        <v>0</v>
      </c>
    </row>
    <row r="78" spans="1:15" x14ac:dyDescent="0.3">
      <c r="A78" s="6">
        <v>77</v>
      </c>
      <c r="B78" s="6">
        <v>2006</v>
      </c>
      <c r="C78" s="6">
        <v>5</v>
      </c>
      <c r="D78" s="2">
        <f>geracao_kwh!D78*lcae!$D$2</f>
        <v>0</v>
      </c>
      <c r="E78" s="2">
        <f>geracao_kwh!E78*lcae!$E$2</f>
        <v>625089134670.0011</v>
      </c>
      <c r="F78" s="2">
        <f>geracao_kwh!F78*lcae!$F$2</f>
        <v>22420704.799999993</v>
      </c>
      <c r="G78" s="2">
        <f>geracao_kwh!G78*lcae!$G$2</f>
        <v>0</v>
      </c>
      <c r="H78" s="2">
        <f>geracao_kwh!H78*lcae!$H$2</f>
        <v>388499374980.00055</v>
      </c>
      <c r="I78" s="2">
        <f>geracao_kwh!I78*lcae!$I$2</f>
        <v>663702624479.99524</v>
      </c>
      <c r="J78" s="2">
        <f>geracao_kwh!J78*lcae!$J$2</f>
        <v>0</v>
      </c>
      <c r="K78" s="2">
        <f>geracao_kwh!K78*lcae!$K$2</f>
        <v>14698383959.999969</v>
      </c>
      <c r="L78" s="2">
        <f>geracao_kwh!L78*lcae!$L$2</f>
        <v>2967039600</v>
      </c>
      <c r="M78" s="2">
        <f>geracao_kwh!M78*lcae!$M$2</f>
        <v>59745882000.000122</v>
      </c>
      <c r="N78" s="2">
        <f>geracao_kwh!N78*lcae!$N$2</f>
        <v>0</v>
      </c>
      <c r="O78" s="2">
        <f>geracao_kwh!O78*lcae!$O$2</f>
        <v>0</v>
      </c>
    </row>
    <row r="79" spans="1:15" x14ac:dyDescent="0.3">
      <c r="A79" s="6">
        <v>78</v>
      </c>
      <c r="B79" s="6">
        <v>2006</v>
      </c>
      <c r="C79" s="6">
        <v>6</v>
      </c>
      <c r="D79" s="2">
        <f>geracao_kwh!D79*lcae!$D$2</f>
        <v>0</v>
      </c>
      <c r="E79" s="2">
        <f>geracao_kwh!E79*lcae!$E$2</f>
        <v>597439062219.99878</v>
      </c>
      <c r="F79" s="2">
        <f>geracao_kwh!F79*lcae!$F$2</f>
        <v>109181670</v>
      </c>
      <c r="G79" s="2">
        <f>geracao_kwh!G79*lcae!$G$2</f>
        <v>0</v>
      </c>
      <c r="H79" s="2">
        <f>geracao_kwh!H79*lcae!$H$2</f>
        <v>350042287319.99951</v>
      </c>
      <c r="I79" s="2">
        <f>geracao_kwh!I79*lcae!$I$2</f>
        <v>645594317549.98682</v>
      </c>
      <c r="J79" s="2">
        <f>geracao_kwh!J79*lcae!$J$2</f>
        <v>0</v>
      </c>
      <c r="K79" s="2">
        <f>geracao_kwh!K79*lcae!$K$2</f>
        <v>13074712430.000015</v>
      </c>
      <c r="L79" s="2">
        <f>geracao_kwh!L79*lcae!$L$2</f>
        <v>9699412800.0000038</v>
      </c>
      <c r="M79" s="2">
        <f>geracao_kwh!M79*lcae!$M$2</f>
        <v>58813952399.999962</v>
      </c>
      <c r="N79" s="2">
        <f>geracao_kwh!N79*lcae!$N$2</f>
        <v>0</v>
      </c>
      <c r="O79" s="2">
        <f>geracao_kwh!O79*lcae!$O$2</f>
        <v>0</v>
      </c>
    </row>
    <row r="80" spans="1:15" x14ac:dyDescent="0.3">
      <c r="A80" s="6">
        <v>79</v>
      </c>
      <c r="B80" s="6">
        <v>2006</v>
      </c>
      <c r="C80" s="6">
        <v>7</v>
      </c>
      <c r="D80" s="2">
        <f>geracao_kwh!D80*lcae!$D$2</f>
        <v>0</v>
      </c>
      <c r="E80" s="2">
        <f>geracao_kwh!E80*lcae!$E$2</f>
        <v>656733056979.99939</v>
      </c>
      <c r="F80" s="2">
        <f>geracao_kwh!F80*lcae!$F$2</f>
        <v>233566190</v>
      </c>
      <c r="G80" s="2">
        <f>geracao_kwh!G80*lcae!$G$2</f>
        <v>0</v>
      </c>
      <c r="H80" s="2">
        <f>geracao_kwh!H80*lcae!$H$2</f>
        <v>466459368839.99933</v>
      </c>
      <c r="I80" s="2">
        <f>geracao_kwh!I80*lcae!$I$2</f>
        <v>656749297680.00183</v>
      </c>
      <c r="J80" s="2">
        <f>geracao_kwh!J80*lcae!$J$2</f>
        <v>0</v>
      </c>
      <c r="K80" s="2">
        <f>geracao_kwh!K80*lcae!$K$2</f>
        <v>17192157450.000023</v>
      </c>
      <c r="L80" s="2">
        <f>geracao_kwh!L80*lcae!$L$2</f>
        <v>22568313599.999996</v>
      </c>
      <c r="M80" s="2">
        <f>geracao_kwh!M80*lcae!$M$2</f>
        <v>59876107200.000023</v>
      </c>
      <c r="N80" s="2">
        <f>geracao_kwh!N80*lcae!$N$2</f>
        <v>0</v>
      </c>
      <c r="O80" s="2">
        <f>geracao_kwh!O80*lcae!$O$2</f>
        <v>0</v>
      </c>
    </row>
    <row r="81" spans="1:15" x14ac:dyDescent="0.3">
      <c r="A81" s="6">
        <v>80</v>
      </c>
      <c r="B81" s="6">
        <v>2006</v>
      </c>
      <c r="C81" s="6">
        <v>8</v>
      </c>
      <c r="D81" s="2">
        <f>geracao_kwh!D81*lcae!$D$2</f>
        <v>0</v>
      </c>
      <c r="E81" s="2">
        <f>geracao_kwh!E81*lcae!$E$2</f>
        <v>631820499310.0011</v>
      </c>
      <c r="F81" s="2">
        <f>geracao_kwh!F81*lcae!$F$2</f>
        <v>361933000</v>
      </c>
      <c r="G81" s="2">
        <f>geracao_kwh!G81*lcae!$G$2</f>
        <v>0</v>
      </c>
      <c r="H81" s="2">
        <f>geracao_kwh!H81*lcae!$H$2</f>
        <v>491675439959.99805</v>
      </c>
      <c r="I81" s="2">
        <f>geracao_kwh!I81*lcae!$I$2</f>
        <v>680093290170.00171</v>
      </c>
      <c r="J81" s="2">
        <f>geracao_kwh!J81*lcae!$J$2</f>
        <v>0</v>
      </c>
      <c r="K81" s="2">
        <f>geracao_kwh!K81*lcae!$K$2</f>
        <v>17273662379.999981</v>
      </c>
      <c r="L81" s="2">
        <f>geracao_kwh!L81*lcae!$L$2</f>
        <v>38808789600.000008</v>
      </c>
      <c r="M81" s="2">
        <f>geracao_kwh!M81*lcae!$M$2</f>
        <v>35667206400.000015</v>
      </c>
      <c r="N81" s="2">
        <f>geracao_kwh!N81*lcae!$N$2</f>
        <v>0</v>
      </c>
      <c r="O81" s="2">
        <f>geracao_kwh!O81*lcae!$O$2</f>
        <v>0</v>
      </c>
    </row>
    <row r="82" spans="1:15" x14ac:dyDescent="0.3">
      <c r="A82" s="6">
        <v>81</v>
      </c>
      <c r="B82" s="6">
        <v>2006</v>
      </c>
      <c r="C82" s="6">
        <v>9</v>
      </c>
      <c r="D82" s="2">
        <f>geracao_kwh!D82*lcae!$D$2</f>
        <v>113130160.00000003</v>
      </c>
      <c r="E82" s="2">
        <f>geracao_kwh!E82*lcae!$E$2</f>
        <v>651342021330.00098</v>
      </c>
      <c r="F82" s="2">
        <f>geracao_kwh!F82*lcae!$F$2</f>
        <v>475879950.00000048</v>
      </c>
      <c r="G82" s="2">
        <f>geracao_kwh!G82*lcae!$G$2</f>
        <v>0</v>
      </c>
      <c r="H82" s="2">
        <f>geracao_kwh!H82*lcae!$H$2</f>
        <v>621986529564.00073</v>
      </c>
      <c r="I82" s="2">
        <f>geracao_kwh!I82*lcae!$I$2</f>
        <v>640598455139.99585</v>
      </c>
      <c r="J82" s="2">
        <f>geracao_kwh!J82*lcae!$J$2</f>
        <v>0</v>
      </c>
      <c r="K82" s="2">
        <f>geracao_kwh!K82*lcae!$K$2</f>
        <v>17214158129.999973</v>
      </c>
      <c r="L82" s="2">
        <f>geracao_kwh!L82*lcae!$L$2</f>
        <v>14547355200</v>
      </c>
      <c r="M82" s="2">
        <f>geracao_kwh!M82*lcae!$M$2</f>
        <v>11610732000.000002</v>
      </c>
      <c r="N82" s="2">
        <f>geracao_kwh!N82*lcae!$N$2</f>
        <v>0</v>
      </c>
      <c r="O82" s="2">
        <f>geracao_kwh!O82*lcae!$O$2</f>
        <v>0</v>
      </c>
    </row>
    <row r="83" spans="1:15" x14ac:dyDescent="0.3">
      <c r="A83" s="6">
        <v>82</v>
      </c>
      <c r="B83" s="6">
        <v>2006</v>
      </c>
      <c r="C83" s="6">
        <v>10</v>
      </c>
      <c r="D83" s="2">
        <f>geracao_kwh!D83*lcae!$D$2</f>
        <v>430867319.99999982</v>
      </c>
      <c r="E83" s="2">
        <f>geracao_kwh!E83*lcae!$E$2</f>
        <v>608879811540.00159</v>
      </c>
      <c r="F83" s="2">
        <f>geracao_kwh!F83*lcae!$F$2</f>
        <v>668307250.00000119</v>
      </c>
      <c r="G83" s="2">
        <f>geracao_kwh!G83*lcae!$G$2</f>
        <v>0</v>
      </c>
      <c r="H83" s="2">
        <f>geracao_kwh!H83*lcae!$H$2</f>
        <v>688153751891.99707</v>
      </c>
      <c r="I83" s="2">
        <f>geracao_kwh!I83*lcae!$I$2</f>
        <v>671288626679.98608</v>
      </c>
      <c r="J83" s="2">
        <f>geracao_kwh!J83*lcae!$J$2</f>
        <v>0</v>
      </c>
      <c r="K83" s="2">
        <f>geracao_kwh!K83*lcae!$K$2</f>
        <v>17705672010.000076</v>
      </c>
      <c r="L83" s="2">
        <f>geracao_kwh!L83*lcae!$L$2</f>
        <v>0</v>
      </c>
      <c r="M83" s="2">
        <f>geracao_kwh!M83*lcae!$M$2</f>
        <v>3661098000.000001</v>
      </c>
      <c r="N83" s="2">
        <f>geracao_kwh!N83*lcae!$N$2</f>
        <v>0</v>
      </c>
      <c r="O83" s="2">
        <f>geracao_kwh!O83*lcae!$O$2</f>
        <v>0</v>
      </c>
    </row>
    <row r="84" spans="1:15" x14ac:dyDescent="0.3">
      <c r="A84" s="6">
        <v>83</v>
      </c>
      <c r="B84" s="6">
        <v>2006</v>
      </c>
      <c r="C84" s="6">
        <v>11</v>
      </c>
      <c r="D84" s="2">
        <f>geracao_kwh!D84*lcae!$D$2</f>
        <v>401757719.99999917</v>
      </c>
      <c r="E84" s="2">
        <f>geracao_kwh!E84*lcae!$E$2</f>
        <v>440943332830.00049</v>
      </c>
      <c r="F84" s="2">
        <f>geracao_kwh!F84*lcae!$F$2</f>
        <v>617517030.00000024</v>
      </c>
      <c r="G84" s="2">
        <f>geracao_kwh!G84*lcae!$G$2</f>
        <v>0</v>
      </c>
      <c r="H84" s="2">
        <f>geracao_kwh!H84*lcae!$H$2</f>
        <v>461228166899.99921</v>
      </c>
      <c r="I84" s="2">
        <f>geracao_kwh!I84*lcae!$I$2</f>
        <v>672156720269.99597</v>
      </c>
      <c r="J84" s="2">
        <f>geracao_kwh!J84*lcae!$J$2</f>
        <v>0</v>
      </c>
      <c r="K84" s="2">
        <f>geracao_kwh!K84*lcae!$K$2</f>
        <v>16296701070.000025</v>
      </c>
      <c r="L84" s="2">
        <f>geracao_kwh!L84*lcae!$L$2</f>
        <v>0</v>
      </c>
      <c r="M84" s="2">
        <f>geracao_kwh!M84*lcae!$M$2</f>
        <v>0</v>
      </c>
      <c r="N84" s="2">
        <f>geracao_kwh!N84*lcae!$N$2</f>
        <v>0</v>
      </c>
      <c r="O84" s="2">
        <f>geracao_kwh!O84*lcae!$O$2</f>
        <v>0</v>
      </c>
    </row>
    <row r="85" spans="1:15" x14ac:dyDescent="0.3">
      <c r="A85" s="6">
        <v>84</v>
      </c>
      <c r="B85" s="6">
        <v>2006</v>
      </c>
      <c r="C85" s="6">
        <v>12</v>
      </c>
      <c r="D85" s="2">
        <f>geracao_kwh!D85*lcae!$D$2</f>
        <v>313964560.00000024</v>
      </c>
      <c r="E85" s="2">
        <f>geracao_kwh!E85*lcae!$E$2</f>
        <v>361600949709.99878</v>
      </c>
      <c r="F85" s="2">
        <f>geracao_kwh!F85*lcae!$F$2</f>
        <v>594117680.00000072</v>
      </c>
      <c r="G85" s="2">
        <f>geracao_kwh!G85*lcae!$G$2</f>
        <v>0</v>
      </c>
      <c r="H85" s="2">
        <f>geracao_kwh!H85*lcae!$H$2</f>
        <v>621736611840.00098</v>
      </c>
      <c r="I85" s="2">
        <f>geracao_kwh!I85*lcae!$I$2</f>
        <v>691483784039.99036</v>
      </c>
      <c r="J85" s="2">
        <f>geracao_kwh!J85*lcae!$J$2</f>
        <v>0</v>
      </c>
      <c r="K85" s="2">
        <f>geracao_kwh!K85*lcae!$K$2</f>
        <v>17703905310.000134</v>
      </c>
      <c r="L85" s="2">
        <f>geracao_kwh!L85*lcae!$L$2</f>
        <v>8668799.9999999981</v>
      </c>
      <c r="M85" s="2">
        <f>geracao_kwh!M85*lcae!$M$2</f>
        <v>0</v>
      </c>
      <c r="N85" s="2">
        <f>geracao_kwh!N85*lcae!$N$2</f>
        <v>0</v>
      </c>
      <c r="O85" s="2">
        <f>geracao_kwh!O85*lcae!$O$2</f>
        <v>0</v>
      </c>
    </row>
    <row r="86" spans="1:15" x14ac:dyDescent="0.3">
      <c r="A86" s="6">
        <v>85</v>
      </c>
      <c r="B86" s="6">
        <v>2007</v>
      </c>
      <c r="C86" s="6">
        <v>1</v>
      </c>
      <c r="D86" s="2">
        <f>geracao_kwh!D86*lcae!$D$2</f>
        <v>435493240.00000012</v>
      </c>
      <c r="E86" s="2">
        <f>geracao_kwh!E86*lcae!$E$2</f>
        <v>428378070119.99951</v>
      </c>
      <c r="F86" s="2">
        <f>geracao_kwh!F86*lcae!$F$2</f>
        <v>578744139.99999952</v>
      </c>
      <c r="G86" s="2">
        <f>geracao_kwh!G86*lcae!$G$2</f>
        <v>0</v>
      </c>
      <c r="H86" s="2">
        <f>geracao_kwh!H86*lcae!$H$2</f>
        <v>371444313059.99872</v>
      </c>
      <c r="I86" s="2">
        <f>geracao_kwh!I86*lcae!$I$2</f>
        <v>721383635910.00061</v>
      </c>
      <c r="J86" s="2">
        <f>geracao_kwh!J86*lcae!$J$2</f>
        <v>0</v>
      </c>
      <c r="K86" s="2">
        <f>geracao_kwh!K86*lcae!$K$2</f>
        <v>13018268639.999943</v>
      </c>
      <c r="L86" s="2">
        <f>geracao_kwh!L86*lcae!$L$2</f>
        <v>0</v>
      </c>
      <c r="M86" s="2">
        <f>geracao_kwh!M86*lcae!$M$2</f>
        <v>0</v>
      </c>
      <c r="N86" s="2">
        <f>geracao_kwh!N86*lcae!$N$2</f>
        <v>0</v>
      </c>
      <c r="O86" s="2">
        <f>geracao_kwh!O86*lcae!$O$2</f>
        <v>0</v>
      </c>
    </row>
    <row r="87" spans="1:15" x14ac:dyDescent="0.3">
      <c r="A87" s="6">
        <v>86</v>
      </c>
      <c r="B87" s="6">
        <v>2007</v>
      </c>
      <c r="C87" s="6">
        <v>2</v>
      </c>
      <c r="D87" s="2">
        <f>geracao_kwh!D87*lcae!$D$2</f>
        <v>365996280.00000024</v>
      </c>
      <c r="E87" s="2">
        <f>geracao_kwh!E87*lcae!$E$2</f>
        <v>321413952860.00024</v>
      </c>
      <c r="F87" s="2">
        <f>geracao_kwh!F87*lcae!$F$2</f>
        <v>471978910.00000018</v>
      </c>
      <c r="G87" s="2">
        <f>geracao_kwh!G87*lcae!$G$2</f>
        <v>0</v>
      </c>
      <c r="H87" s="2">
        <f>geracao_kwh!H87*lcae!$H$2</f>
        <v>244825420859.9996</v>
      </c>
      <c r="I87" s="2">
        <f>geracao_kwh!I87*lcae!$I$2</f>
        <v>670054245629.99243</v>
      </c>
      <c r="J87" s="2">
        <f>geracao_kwh!J87*lcae!$J$2</f>
        <v>0</v>
      </c>
      <c r="K87" s="2">
        <f>geracao_kwh!K87*lcae!$K$2</f>
        <v>9434044099.9999828</v>
      </c>
      <c r="L87" s="2">
        <f>geracao_kwh!L87*lcae!$L$2</f>
        <v>0</v>
      </c>
      <c r="M87" s="2">
        <f>geracao_kwh!M87*lcae!$M$2</f>
        <v>38863952399.999954</v>
      </c>
      <c r="N87" s="2">
        <f>geracao_kwh!N87*lcae!$N$2</f>
        <v>0</v>
      </c>
      <c r="O87" s="2">
        <f>geracao_kwh!O87*lcae!$O$2</f>
        <v>0</v>
      </c>
    </row>
    <row r="88" spans="1:15" x14ac:dyDescent="0.3">
      <c r="A88" s="6">
        <v>87</v>
      </c>
      <c r="B88" s="6">
        <v>2007</v>
      </c>
      <c r="C88" s="6">
        <v>3</v>
      </c>
      <c r="D88" s="2">
        <f>geracao_kwh!D88*lcae!$D$2</f>
        <v>356594159.99999952</v>
      </c>
      <c r="E88" s="2">
        <f>geracao_kwh!E88*lcae!$E$2</f>
        <v>403614110900.00134</v>
      </c>
      <c r="F88" s="2">
        <f>geracao_kwh!F88*lcae!$F$2</f>
        <v>373484929.99999923</v>
      </c>
      <c r="G88" s="2">
        <f>geracao_kwh!G88*lcae!$G$2</f>
        <v>0</v>
      </c>
      <c r="H88" s="2">
        <f>geracao_kwh!H88*lcae!$H$2</f>
        <v>275828818860.00012</v>
      </c>
      <c r="I88" s="2">
        <f>geracao_kwh!I88*lcae!$I$2</f>
        <v>775152892415.99316</v>
      </c>
      <c r="J88" s="2">
        <f>geracao_kwh!J88*lcae!$J$2</f>
        <v>0</v>
      </c>
      <c r="K88" s="2">
        <f>geracao_kwh!K88*lcae!$K$2</f>
        <v>8957748670.0000381</v>
      </c>
      <c r="L88" s="2">
        <f>geracao_kwh!L88*lcae!$L$2</f>
        <v>0</v>
      </c>
      <c r="M88" s="2">
        <f>geracao_kwh!M88*lcae!$M$2</f>
        <v>57306606000.000023</v>
      </c>
      <c r="N88" s="2">
        <f>geracao_kwh!N88*lcae!$N$2</f>
        <v>0</v>
      </c>
      <c r="O88" s="2">
        <f>geracao_kwh!O88*lcae!$O$2</f>
        <v>0</v>
      </c>
    </row>
    <row r="89" spans="1:15" x14ac:dyDescent="0.3">
      <c r="A89" s="6">
        <v>88</v>
      </c>
      <c r="B89" s="6">
        <v>2007</v>
      </c>
      <c r="C89" s="6">
        <v>4</v>
      </c>
      <c r="D89" s="2">
        <f>geracao_kwh!D89*lcae!$D$2</f>
        <v>195370759.99999997</v>
      </c>
      <c r="E89" s="2">
        <f>geracao_kwh!E89*lcae!$E$2</f>
        <v>350337947959.99957</v>
      </c>
      <c r="F89" s="2">
        <f>geracao_kwh!F89*lcae!$F$2</f>
        <v>486268119.99999952</v>
      </c>
      <c r="G89" s="2">
        <f>geracao_kwh!G89*lcae!$G$2</f>
        <v>0</v>
      </c>
      <c r="H89" s="2">
        <f>geracao_kwh!H89*lcae!$H$2</f>
        <v>303709457880.00067</v>
      </c>
      <c r="I89" s="2">
        <f>geracao_kwh!I89*lcae!$I$2</f>
        <v>723244061189.99097</v>
      </c>
      <c r="J89" s="2">
        <f>geracao_kwh!J89*lcae!$J$2</f>
        <v>0</v>
      </c>
      <c r="K89" s="2">
        <f>geracao_kwh!K89*lcae!$K$2</f>
        <v>7538404510.0000048</v>
      </c>
      <c r="L89" s="2">
        <f>geracao_kwh!L89*lcae!$L$2</f>
        <v>0</v>
      </c>
      <c r="M89" s="2">
        <f>geracao_kwh!M89*lcae!$M$2</f>
        <v>33485600400</v>
      </c>
      <c r="N89" s="2">
        <f>geracao_kwh!N89*lcae!$N$2</f>
        <v>0</v>
      </c>
      <c r="O89" s="2">
        <f>geracao_kwh!O89*lcae!$O$2</f>
        <v>0</v>
      </c>
    </row>
    <row r="90" spans="1:15" x14ac:dyDescent="0.3">
      <c r="A90" s="6">
        <v>89</v>
      </c>
      <c r="B90" s="6">
        <v>2007</v>
      </c>
      <c r="C90" s="6">
        <v>5</v>
      </c>
      <c r="D90" s="2">
        <f>geracao_kwh!D90*lcae!$D$2</f>
        <v>125905000.00000003</v>
      </c>
      <c r="E90" s="2">
        <f>geracao_kwh!E90*lcae!$E$2</f>
        <v>308746518079.99945</v>
      </c>
      <c r="F90" s="2">
        <f>geracao_kwh!F90*lcae!$F$2</f>
        <v>516442550.0000006</v>
      </c>
      <c r="G90" s="2">
        <f>geracao_kwh!G90*lcae!$G$2</f>
        <v>0</v>
      </c>
      <c r="H90" s="2">
        <f>geracao_kwh!H90*lcae!$H$2</f>
        <v>178215023880.00049</v>
      </c>
      <c r="I90" s="2">
        <f>geracao_kwh!I90*lcae!$I$2</f>
        <v>720721882649.99622</v>
      </c>
      <c r="J90" s="2">
        <f>geracao_kwh!J90*lcae!$J$2</f>
        <v>0</v>
      </c>
      <c r="K90" s="2">
        <f>geracao_kwh!K90*lcae!$K$2</f>
        <v>14009054800.000084</v>
      </c>
      <c r="L90" s="2">
        <f>geracao_kwh!L90*lcae!$L$2</f>
        <v>7230224399.9999971</v>
      </c>
      <c r="M90" s="2">
        <f>geracao_kwh!M90*lcae!$M$2</f>
        <v>3682585200</v>
      </c>
      <c r="N90" s="2">
        <f>geracao_kwh!N90*lcae!$N$2</f>
        <v>0</v>
      </c>
      <c r="O90" s="2">
        <f>geracao_kwh!O90*lcae!$O$2</f>
        <v>0</v>
      </c>
    </row>
    <row r="91" spans="1:15" x14ac:dyDescent="0.3">
      <c r="A91" s="6">
        <v>90</v>
      </c>
      <c r="B91" s="6">
        <v>2007</v>
      </c>
      <c r="C91" s="6">
        <v>6</v>
      </c>
      <c r="D91" s="2">
        <f>geracao_kwh!D91*lcae!$D$2</f>
        <v>2086240.0000000005</v>
      </c>
      <c r="E91" s="2">
        <f>geracao_kwh!E91*lcae!$E$2</f>
        <v>588334221474.99805</v>
      </c>
      <c r="F91" s="2">
        <f>geracao_kwh!F91*lcae!$F$2</f>
        <v>517793250.00000292</v>
      </c>
      <c r="G91" s="2">
        <f>geracao_kwh!G91*lcae!$G$2</f>
        <v>0</v>
      </c>
      <c r="H91" s="2">
        <f>geracao_kwh!H91*lcae!$H$2</f>
        <v>211111459920.00085</v>
      </c>
      <c r="I91" s="2">
        <f>geracao_kwh!I91*lcae!$I$2</f>
        <v>687298462830.00073</v>
      </c>
      <c r="J91" s="2">
        <f>geracao_kwh!J91*lcae!$J$2</f>
        <v>0</v>
      </c>
      <c r="K91" s="2">
        <f>geracao_kwh!K91*lcae!$K$2</f>
        <v>12704052399.999998</v>
      </c>
      <c r="L91" s="2">
        <f>geracao_kwh!L91*lcae!$L$2</f>
        <v>22694448000.000019</v>
      </c>
      <c r="M91" s="2">
        <f>geracao_kwh!M91*lcae!$M$2</f>
        <v>0</v>
      </c>
      <c r="N91" s="2">
        <f>geracao_kwh!N91*lcae!$N$2</f>
        <v>0</v>
      </c>
      <c r="O91" s="2">
        <f>geracao_kwh!O91*lcae!$O$2</f>
        <v>0</v>
      </c>
    </row>
    <row r="92" spans="1:15" x14ac:dyDescent="0.3">
      <c r="A92" s="6">
        <v>91</v>
      </c>
      <c r="B92" s="6">
        <v>2007</v>
      </c>
      <c r="C92" s="6">
        <v>7</v>
      </c>
      <c r="D92" s="2">
        <f>geracao_kwh!D92*lcae!$D$2</f>
        <v>0</v>
      </c>
      <c r="E92" s="2">
        <f>geracao_kwh!E92*lcae!$E$2</f>
        <v>645160036520.99939</v>
      </c>
      <c r="F92" s="2">
        <f>geracao_kwh!F92*lcae!$F$2</f>
        <v>585650000.00000036</v>
      </c>
      <c r="G92" s="2">
        <f>geracao_kwh!G92*lcae!$G$2</f>
        <v>0</v>
      </c>
      <c r="H92" s="2">
        <f>geracao_kwh!H92*lcae!$H$2</f>
        <v>394843322519.99866</v>
      </c>
      <c r="I92" s="2">
        <f>geracao_kwh!I92*lcae!$I$2</f>
        <v>708202304880.00903</v>
      </c>
      <c r="J92" s="2">
        <f>geracao_kwh!J92*lcae!$J$2</f>
        <v>0</v>
      </c>
      <c r="K92" s="2">
        <f>geracao_kwh!K92*lcae!$K$2</f>
        <v>12912532619.99999</v>
      </c>
      <c r="L92" s="2">
        <f>geracao_kwh!L92*lcae!$L$2</f>
        <v>29089426800.000011</v>
      </c>
      <c r="M92" s="2">
        <f>geracao_kwh!M92*lcae!$M$2</f>
        <v>0</v>
      </c>
      <c r="N92" s="2">
        <f>geracao_kwh!N92*lcae!$N$2</f>
        <v>0</v>
      </c>
      <c r="O92" s="2">
        <f>geracao_kwh!O92*lcae!$O$2</f>
        <v>0</v>
      </c>
    </row>
    <row r="93" spans="1:15" x14ac:dyDescent="0.3">
      <c r="A93" s="6">
        <v>92</v>
      </c>
      <c r="B93" s="6">
        <v>2007</v>
      </c>
      <c r="C93" s="6">
        <v>8</v>
      </c>
      <c r="D93" s="2">
        <f>geracao_kwh!D93*lcae!$D$2</f>
        <v>103702560.00000001</v>
      </c>
      <c r="E93" s="2">
        <f>geracao_kwh!E93*lcae!$E$2</f>
        <v>649880481249.99805</v>
      </c>
      <c r="F93" s="2">
        <f>geracao_kwh!F93*lcae!$F$2</f>
        <v>848439930.00000072</v>
      </c>
      <c r="G93" s="2">
        <f>geracao_kwh!G93*lcae!$G$2</f>
        <v>0</v>
      </c>
      <c r="H93" s="2">
        <f>geracao_kwh!H93*lcae!$H$2</f>
        <v>399994737840.00208</v>
      </c>
      <c r="I93" s="2">
        <f>geracao_kwh!I93*lcae!$I$2</f>
        <v>717420091163.99915</v>
      </c>
      <c r="J93" s="2">
        <f>geracao_kwh!J93*lcae!$J$2</f>
        <v>0</v>
      </c>
      <c r="K93" s="2">
        <f>geracao_kwh!K93*lcae!$K$2</f>
        <v>17175927339.99992</v>
      </c>
      <c r="L93" s="2">
        <f>geracao_kwh!L93*lcae!$L$2</f>
        <v>40660183200</v>
      </c>
      <c r="M93" s="2">
        <f>geracao_kwh!M93*lcae!$M$2</f>
        <v>174140399.99999997</v>
      </c>
      <c r="N93" s="2">
        <f>geracao_kwh!N93*lcae!$N$2</f>
        <v>0</v>
      </c>
      <c r="O93" s="2">
        <f>geracao_kwh!O93*lcae!$O$2</f>
        <v>0</v>
      </c>
    </row>
    <row r="94" spans="1:15" x14ac:dyDescent="0.3">
      <c r="A94" s="6">
        <v>93</v>
      </c>
      <c r="B94" s="6">
        <v>2007</v>
      </c>
      <c r="C94" s="6">
        <v>9</v>
      </c>
      <c r="D94" s="2">
        <f>geracao_kwh!D94*lcae!$D$2</f>
        <v>14976000</v>
      </c>
      <c r="E94" s="2">
        <f>geracao_kwh!E94*lcae!$E$2</f>
        <v>585735320170.00269</v>
      </c>
      <c r="F94" s="2">
        <f>geracao_kwh!F94*lcae!$F$2</f>
        <v>706043519.99999952</v>
      </c>
      <c r="G94" s="2">
        <f>geracao_kwh!G94*lcae!$G$2</f>
        <v>0</v>
      </c>
      <c r="H94" s="2">
        <f>geracao_kwh!H94*lcae!$H$2</f>
        <v>570012628140.00183</v>
      </c>
      <c r="I94" s="2">
        <f>geracao_kwh!I94*lcae!$I$2</f>
        <v>684211242287.99377</v>
      </c>
      <c r="J94" s="2">
        <f>geracao_kwh!J94*lcae!$J$2</f>
        <v>0</v>
      </c>
      <c r="K94" s="2">
        <f>geracao_kwh!K94*lcae!$K$2</f>
        <v>15671328010.00009</v>
      </c>
      <c r="L94" s="2">
        <f>geracao_kwh!L94*lcae!$L$2</f>
        <v>41674583999.999962</v>
      </c>
      <c r="M94" s="2">
        <f>geracao_kwh!M94*lcae!$M$2</f>
        <v>0</v>
      </c>
      <c r="N94" s="2">
        <f>geracao_kwh!N94*lcae!$N$2</f>
        <v>0</v>
      </c>
      <c r="O94" s="2">
        <f>geracao_kwh!O94*lcae!$O$2</f>
        <v>0</v>
      </c>
    </row>
    <row r="95" spans="1:15" x14ac:dyDescent="0.3">
      <c r="A95" s="6">
        <v>94</v>
      </c>
      <c r="B95" s="6">
        <v>2007</v>
      </c>
      <c r="C95" s="6">
        <v>10</v>
      </c>
      <c r="D95" s="2">
        <f>geracao_kwh!D95*lcae!$D$2</f>
        <v>46987720</v>
      </c>
      <c r="E95" s="2">
        <f>geracao_kwh!E95*lcae!$E$2</f>
        <v>660566456550.00415</v>
      </c>
      <c r="F95" s="2">
        <f>geracao_kwh!F95*lcae!$F$2</f>
        <v>876693089.9999994</v>
      </c>
      <c r="G95" s="2">
        <f>geracao_kwh!G95*lcae!$G$2</f>
        <v>0</v>
      </c>
      <c r="H95" s="2">
        <f>geracao_kwh!H95*lcae!$H$2</f>
        <v>608963506380.00208</v>
      </c>
      <c r="I95" s="2">
        <f>geracao_kwh!I95*lcae!$I$2</f>
        <v>725478011370.01831</v>
      </c>
      <c r="J95" s="2">
        <f>geracao_kwh!J95*lcae!$J$2</f>
        <v>0</v>
      </c>
      <c r="K95" s="2">
        <f>geracao_kwh!K95*lcae!$K$2</f>
        <v>15829281000.000053</v>
      </c>
      <c r="L95" s="2">
        <f>geracao_kwh!L95*lcae!$L$2</f>
        <v>16510687200.000004</v>
      </c>
      <c r="M95" s="2">
        <f>geracao_kwh!M95*lcae!$M$2</f>
        <v>0</v>
      </c>
      <c r="N95" s="2">
        <f>geracao_kwh!N95*lcae!$N$2</f>
        <v>0</v>
      </c>
      <c r="O95" s="2">
        <f>geracao_kwh!O95*lcae!$O$2</f>
        <v>0</v>
      </c>
    </row>
    <row r="96" spans="1:15" x14ac:dyDescent="0.3">
      <c r="A96" s="6">
        <v>95</v>
      </c>
      <c r="B96" s="6">
        <v>2007</v>
      </c>
      <c r="C96" s="6">
        <v>11</v>
      </c>
      <c r="D96" s="2">
        <f>geracao_kwh!D96*lcae!$D$2</f>
        <v>442156000</v>
      </c>
      <c r="E96" s="2">
        <f>geracao_kwh!E96*lcae!$E$2</f>
        <v>611547126189.99939</v>
      </c>
      <c r="F96" s="2">
        <f>geracao_kwh!F96*lcae!$F$2</f>
        <v>636482339.99999857</v>
      </c>
      <c r="G96" s="2">
        <f>geracao_kwh!G96*lcae!$G$2</f>
        <v>0</v>
      </c>
      <c r="H96" s="2">
        <f>geracao_kwh!H96*lcae!$H$2</f>
        <v>721785747960.00708</v>
      </c>
      <c r="I96" s="2">
        <f>geracao_kwh!I96*lcae!$I$2</f>
        <v>686320449780.01147</v>
      </c>
      <c r="J96" s="2">
        <f>geracao_kwh!J96*lcae!$J$2</f>
        <v>0</v>
      </c>
      <c r="K96" s="2">
        <f>geracao_kwh!K96*lcae!$K$2</f>
        <v>16845197719.99996</v>
      </c>
      <c r="L96" s="2">
        <f>geracao_kwh!L96*lcae!$L$2</f>
        <v>6269289600</v>
      </c>
      <c r="M96" s="2">
        <f>geracao_kwh!M96*lcae!$M$2</f>
        <v>0</v>
      </c>
      <c r="N96" s="2">
        <f>geracao_kwh!N96*lcae!$N$2</f>
        <v>0</v>
      </c>
      <c r="O96" s="2">
        <f>geracao_kwh!O96*lcae!$O$2</f>
        <v>0</v>
      </c>
    </row>
    <row r="97" spans="1:15" x14ac:dyDescent="0.3">
      <c r="A97" s="6">
        <v>96</v>
      </c>
      <c r="B97" s="6">
        <v>2007</v>
      </c>
      <c r="C97" s="6">
        <v>12</v>
      </c>
      <c r="D97" s="2">
        <f>geracao_kwh!D97*lcae!$D$2</f>
        <v>562136120</v>
      </c>
      <c r="E97" s="2">
        <f>geracao_kwh!E97*lcae!$E$2</f>
        <v>655272948330.00049</v>
      </c>
      <c r="F97" s="2">
        <f>geracao_kwh!F97*lcae!$F$2</f>
        <v>667853940.0000006</v>
      </c>
      <c r="G97" s="2">
        <f>geracao_kwh!G97*lcae!$G$2</f>
        <v>0</v>
      </c>
      <c r="H97" s="2">
        <f>geracao_kwh!H97*lcae!$H$2</f>
        <v>837541854900.00244</v>
      </c>
      <c r="I97" s="2">
        <f>geracao_kwh!I97*lcae!$I$2</f>
        <v>704607449910.00244</v>
      </c>
      <c r="J97" s="2">
        <f>geracao_kwh!J97*lcae!$J$2</f>
        <v>0</v>
      </c>
      <c r="K97" s="2">
        <f>geracao_kwh!K97*lcae!$K$2</f>
        <v>16437973109.999981</v>
      </c>
      <c r="L97" s="2">
        <f>geracao_kwh!L97*lcae!$L$2</f>
        <v>37998080399.999969</v>
      </c>
      <c r="M97" s="2">
        <f>geracao_kwh!M97*lcae!$M$2</f>
        <v>31899982799.999855</v>
      </c>
      <c r="N97" s="2">
        <f>geracao_kwh!N97*lcae!$N$2</f>
        <v>0</v>
      </c>
      <c r="O97" s="2">
        <f>geracao_kwh!O97*lcae!$O$2</f>
        <v>0</v>
      </c>
    </row>
    <row r="98" spans="1:15" x14ac:dyDescent="0.3">
      <c r="A98" s="6">
        <v>97</v>
      </c>
      <c r="B98" s="6">
        <v>2008</v>
      </c>
      <c r="C98" s="6">
        <v>1</v>
      </c>
      <c r="D98" s="2">
        <f>geracao_kwh!D98*lcae!$D$2</f>
        <v>1651478400.0000005</v>
      </c>
      <c r="E98" s="2">
        <f>geracao_kwh!E98*lcae!$E$2</f>
        <v>646077401970.00085</v>
      </c>
      <c r="F98" s="2">
        <f>geracao_kwh!F98*lcae!$F$2</f>
        <v>706235529.99999928</v>
      </c>
      <c r="G98" s="2">
        <f>geracao_kwh!G98*lcae!$G$2</f>
        <v>0</v>
      </c>
      <c r="H98" s="2">
        <f>geracao_kwh!H98*lcae!$H$2</f>
        <v>1060282755360.0002</v>
      </c>
      <c r="I98" s="2">
        <f>geracao_kwh!I98*lcae!$I$2</f>
        <v>692747065080.00061</v>
      </c>
      <c r="J98" s="2">
        <f>geracao_kwh!J98*lcae!$J$2</f>
        <v>0</v>
      </c>
      <c r="K98" s="2">
        <f>geracao_kwh!K98*lcae!$K$2</f>
        <v>16933082269.999989</v>
      </c>
      <c r="L98" s="2">
        <f>geracao_kwh!L98*lcae!$L$2</f>
        <v>179827443599.99985</v>
      </c>
      <c r="M98" s="2">
        <f>geracao_kwh!M98*lcae!$M$2</f>
        <v>148130808000.00006</v>
      </c>
      <c r="N98" s="2">
        <f>geracao_kwh!N98*lcae!$N$2</f>
        <v>0</v>
      </c>
      <c r="O98" s="2">
        <f>geracao_kwh!O98*lcae!$O$2</f>
        <v>0</v>
      </c>
    </row>
    <row r="99" spans="1:15" x14ac:dyDescent="0.3">
      <c r="A99" s="6">
        <v>98</v>
      </c>
      <c r="B99" s="6">
        <v>2008</v>
      </c>
      <c r="C99" s="6">
        <v>2</v>
      </c>
      <c r="D99" s="2">
        <f>geracao_kwh!D99*lcae!$D$2</f>
        <v>1789546199.9999993</v>
      </c>
      <c r="E99" s="2">
        <f>geracao_kwh!E99*lcae!$E$2</f>
        <v>641657176160.00061</v>
      </c>
      <c r="F99" s="2">
        <f>geracao_kwh!F99*lcae!$F$2</f>
        <v>552078279.99999988</v>
      </c>
      <c r="G99" s="2">
        <f>geracao_kwh!G99*lcae!$G$2</f>
        <v>0</v>
      </c>
      <c r="H99" s="2">
        <f>geracao_kwh!H99*lcae!$H$2</f>
        <v>1208999844000.0017</v>
      </c>
      <c r="I99" s="2">
        <f>geracao_kwh!I99*lcae!$I$2</f>
        <v>648091353419.99609</v>
      </c>
      <c r="J99" s="2">
        <f>geracao_kwh!J99*lcae!$J$2</f>
        <v>0</v>
      </c>
      <c r="K99" s="2">
        <f>geracao_kwh!K99*lcae!$K$2</f>
        <v>14563281070.000021</v>
      </c>
      <c r="L99" s="2">
        <f>geracao_kwh!L99*lcae!$L$2</f>
        <v>143260487999.99991</v>
      </c>
      <c r="M99" s="2">
        <f>geracao_kwh!M99*lcae!$M$2</f>
        <v>202686086399.99976</v>
      </c>
      <c r="N99" s="2">
        <f>geracao_kwh!N99*lcae!$N$2</f>
        <v>0</v>
      </c>
      <c r="O99" s="2">
        <f>geracao_kwh!O99*lcae!$O$2</f>
        <v>0</v>
      </c>
    </row>
    <row r="100" spans="1:15" x14ac:dyDescent="0.3">
      <c r="A100" s="6">
        <v>99</v>
      </c>
      <c r="B100" s="6">
        <v>2008</v>
      </c>
      <c r="C100" s="6">
        <v>3</v>
      </c>
      <c r="D100" s="2">
        <f>geracao_kwh!D100*lcae!$D$2</f>
        <v>1601513680.000001</v>
      </c>
      <c r="E100" s="2">
        <f>geracao_kwh!E100*lcae!$E$2</f>
        <v>584518884950.00171</v>
      </c>
      <c r="F100" s="2">
        <f>geracao_kwh!F100*lcae!$F$2</f>
        <v>380159650</v>
      </c>
      <c r="G100" s="2">
        <f>geracao_kwh!G100*lcae!$G$2</f>
        <v>0</v>
      </c>
      <c r="H100" s="2">
        <f>geracao_kwh!H100*lcae!$H$2</f>
        <v>1217258490599.9961</v>
      </c>
      <c r="I100" s="2">
        <f>geracao_kwh!I100*lcae!$I$2</f>
        <v>710490913229.9917</v>
      </c>
      <c r="J100" s="2">
        <f>geracao_kwh!J100*lcae!$J$2</f>
        <v>0</v>
      </c>
      <c r="K100" s="2">
        <f>geracao_kwh!K100*lcae!$K$2</f>
        <v>12981618389.999985</v>
      </c>
      <c r="L100" s="2">
        <f>geracao_kwh!L100*lcae!$L$2</f>
        <v>113038363199.99957</v>
      </c>
      <c r="M100" s="2">
        <f>geracao_kwh!M100*lcae!$M$2</f>
        <v>201340574399.99988</v>
      </c>
      <c r="N100" s="2">
        <f>geracao_kwh!N100*lcae!$N$2</f>
        <v>0</v>
      </c>
      <c r="O100" s="2">
        <f>geracao_kwh!O100*lcae!$O$2</f>
        <v>0</v>
      </c>
    </row>
    <row r="101" spans="1:15" x14ac:dyDescent="0.3">
      <c r="A101" s="6">
        <v>100</v>
      </c>
      <c r="B101" s="6">
        <v>2008</v>
      </c>
      <c r="C101" s="6">
        <v>4</v>
      </c>
      <c r="D101" s="2">
        <f>geracao_kwh!D101*lcae!$D$2</f>
        <v>572862679.99999976</v>
      </c>
      <c r="E101" s="2">
        <f>geracao_kwh!E101*lcae!$E$2</f>
        <v>386953286720.0014</v>
      </c>
      <c r="F101" s="2">
        <f>geracao_kwh!F101*lcae!$F$2</f>
        <v>293566779.99999988</v>
      </c>
      <c r="G101" s="2">
        <f>geracao_kwh!G101*lcae!$G$2</f>
        <v>0</v>
      </c>
      <c r="H101" s="2">
        <f>geracao_kwh!H101*lcae!$H$2</f>
        <v>1023669114299.9863</v>
      </c>
      <c r="I101" s="2">
        <f>geracao_kwh!I101*lcae!$I$2</f>
        <v>697316465159.98779</v>
      </c>
      <c r="J101" s="2">
        <f>geracao_kwh!J101*lcae!$J$2</f>
        <v>0</v>
      </c>
      <c r="K101" s="2">
        <f>geracao_kwh!K101*lcae!$K$2</f>
        <v>14166770540.000044</v>
      </c>
      <c r="L101" s="2">
        <f>geracao_kwh!L101*lcae!$L$2</f>
        <v>47580556800.000015</v>
      </c>
      <c r="M101" s="2">
        <f>geracao_kwh!M101*lcae!$M$2</f>
        <v>115343810399.99973</v>
      </c>
      <c r="N101" s="2">
        <f>geracao_kwh!N101*lcae!$N$2</f>
        <v>0</v>
      </c>
      <c r="O101" s="2">
        <f>geracao_kwh!O101*lcae!$O$2</f>
        <v>0</v>
      </c>
    </row>
    <row r="102" spans="1:15" x14ac:dyDescent="0.3">
      <c r="A102" s="6">
        <v>101</v>
      </c>
      <c r="B102" s="6">
        <v>2008</v>
      </c>
      <c r="C102" s="6">
        <v>5</v>
      </c>
      <c r="D102" s="2">
        <f>geracao_kwh!D102*lcae!$D$2</f>
        <v>236775760.00000018</v>
      </c>
      <c r="E102" s="2">
        <f>geracao_kwh!E102*lcae!$E$2</f>
        <v>502505403400.00006</v>
      </c>
      <c r="F102" s="2">
        <f>geracao_kwh!F102*lcae!$F$2</f>
        <v>534945450.00000048</v>
      </c>
      <c r="G102" s="2">
        <f>geracao_kwh!G102*lcae!$G$2</f>
        <v>0</v>
      </c>
      <c r="H102" s="2">
        <f>geracao_kwh!H102*lcae!$H$2</f>
        <v>891584807039.99304</v>
      </c>
      <c r="I102" s="2">
        <f>geracao_kwh!I102*lcae!$I$2</f>
        <v>710700405449.99573</v>
      </c>
      <c r="J102" s="2">
        <f>geracao_kwh!J102*lcae!$J$2</f>
        <v>0</v>
      </c>
      <c r="K102" s="2">
        <f>geracao_kwh!K102*lcae!$K$2</f>
        <v>9583117699.9999943</v>
      </c>
      <c r="L102" s="2">
        <f>geracao_kwh!L102*lcae!$L$2</f>
        <v>111866798399.99997</v>
      </c>
      <c r="M102" s="2">
        <f>geracao_kwh!M102*lcae!$M$2</f>
        <v>81399024000.00032</v>
      </c>
      <c r="N102" s="2">
        <f>geracao_kwh!N102*lcae!$N$2</f>
        <v>0</v>
      </c>
      <c r="O102" s="2">
        <f>geracao_kwh!O102*lcae!$O$2</f>
        <v>0</v>
      </c>
    </row>
    <row r="103" spans="1:15" x14ac:dyDescent="0.3">
      <c r="A103" s="6">
        <v>102</v>
      </c>
      <c r="B103" s="6">
        <v>2008</v>
      </c>
      <c r="C103" s="6">
        <v>6</v>
      </c>
      <c r="D103" s="2">
        <f>geracao_kwh!D103*lcae!$D$2</f>
        <v>286449799.99999988</v>
      </c>
      <c r="E103" s="2">
        <f>geracao_kwh!E103*lcae!$E$2</f>
        <v>628770111970.00122</v>
      </c>
      <c r="F103" s="2">
        <f>geracao_kwh!F103*lcae!$F$2</f>
        <v>543496719.99999762</v>
      </c>
      <c r="G103" s="2">
        <f>geracao_kwh!G103*lcae!$G$2</f>
        <v>0</v>
      </c>
      <c r="H103" s="2">
        <f>geracao_kwh!H103*lcae!$H$2</f>
        <v>897224977980</v>
      </c>
      <c r="I103" s="2">
        <f>geracao_kwh!I103*lcae!$I$2</f>
        <v>698853453689.98669</v>
      </c>
      <c r="J103" s="2">
        <f>geracao_kwh!J103*lcae!$J$2</f>
        <v>0</v>
      </c>
      <c r="K103" s="2">
        <f>geracao_kwh!K103*lcae!$K$2</f>
        <v>7376978050.0000057</v>
      </c>
      <c r="L103" s="2">
        <f>geracao_kwh!L103*lcae!$L$2</f>
        <v>159180638400.00049</v>
      </c>
      <c r="M103" s="2">
        <f>geracao_kwh!M103*lcae!$M$2</f>
        <v>143255011200.00018</v>
      </c>
      <c r="N103" s="2">
        <f>geracao_kwh!N103*lcae!$N$2</f>
        <v>0</v>
      </c>
      <c r="O103" s="2">
        <f>geracao_kwh!O103*lcae!$O$2</f>
        <v>0</v>
      </c>
    </row>
    <row r="104" spans="1:15" x14ac:dyDescent="0.3">
      <c r="A104" s="6">
        <v>103</v>
      </c>
      <c r="B104" s="6">
        <v>2008</v>
      </c>
      <c r="C104" s="6">
        <v>7</v>
      </c>
      <c r="D104" s="2">
        <f>geracao_kwh!D104*lcae!$D$2</f>
        <v>335796760.00000006</v>
      </c>
      <c r="E104" s="2">
        <f>geracao_kwh!E104*lcae!$E$2</f>
        <v>564431617750.00085</v>
      </c>
      <c r="F104" s="2">
        <f>geracao_kwh!F104*lcae!$F$2</f>
        <v>485209919.99999988</v>
      </c>
      <c r="G104" s="2">
        <f>geracao_kwh!G104*lcae!$G$2</f>
        <v>0</v>
      </c>
      <c r="H104" s="2">
        <f>geracao_kwh!H104*lcae!$H$2</f>
        <v>897762785579.99939</v>
      </c>
      <c r="I104" s="2">
        <f>geracao_kwh!I104*lcae!$I$2</f>
        <v>697988929259.9928</v>
      </c>
      <c r="J104" s="2">
        <f>geracao_kwh!J104*lcae!$J$2</f>
        <v>0</v>
      </c>
      <c r="K104" s="2">
        <f>geracao_kwh!K104*lcae!$K$2</f>
        <v>18013530469.999943</v>
      </c>
      <c r="L104" s="2">
        <f>geracao_kwh!L104*lcae!$L$2</f>
        <v>38540023200</v>
      </c>
      <c r="M104" s="2">
        <f>geracao_kwh!M104*lcae!$M$2</f>
        <v>9570069599.9999981</v>
      </c>
      <c r="N104" s="2">
        <f>geracao_kwh!N104*lcae!$N$2</f>
        <v>0</v>
      </c>
      <c r="O104" s="2">
        <f>geracao_kwh!O104*lcae!$O$2</f>
        <v>0</v>
      </c>
    </row>
    <row r="105" spans="1:15" x14ac:dyDescent="0.3">
      <c r="A105" s="6">
        <v>104</v>
      </c>
      <c r="B105" s="6">
        <v>2008</v>
      </c>
      <c r="C105" s="6">
        <v>8</v>
      </c>
      <c r="D105" s="2">
        <f>geracao_kwh!D105*lcae!$D$2</f>
        <v>280233720</v>
      </c>
      <c r="E105" s="2">
        <f>geracao_kwh!E105*lcae!$E$2</f>
        <v>522144823199.99933</v>
      </c>
      <c r="F105" s="2">
        <f>geracao_kwh!F105*lcae!$F$2</f>
        <v>676434979.99999976</v>
      </c>
      <c r="G105" s="2">
        <f>geracao_kwh!G105*lcae!$G$2</f>
        <v>0</v>
      </c>
      <c r="H105" s="2">
        <f>geracao_kwh!H105*lcae!$H$2</f>
        <v>985194472319.99976</v>
      </c>
      <c r="I105" s="2">
        <f>geracao_kwh!I105*lcae!$I$2</f>
        <v>716219760690.00195</v>
      </c>
      <c r="J105" s="2">
        <f>geracao_kwh!J105*lcae!$J$2</f>
        <v>0</v>
      </c>
      <c r="K105" s="2">
        <f>geracao_kwh!K105*lcae!$K$2</f>
        <v>17788730310.000023</v>
      </c>
      <c r="L105" s="2">
        <f>geracao_kwh!L105*lcae!$L$2</f>
        <v>19955199600</v>
      </c>
      <c r="M105" s="2">
        <f>geracao_kwh!M105*lcae!$M$2</f>
        <v>19193999.999999993</v>
      </c>
      <c r="N105" s="2">
        <f>geracao_kwh!N105*lcae!$N$2</f>
        <v>0</v>
      </c>
      <c r="O105" s="2">
        <f>geracao_kwh!O105*lcae!$O$2</f>
        <v>0</v>
      </c>
    </row>
    <row r="106" spans="1:15" x14ac:dyDescent="0.3">
      <c r="A106" s="6">
        <v>105</v>
      </c>
      <c r="B106" s="6">
        <v>2008</v>
      </c>
      <c r="C106" s="6">
        <v>9</v>
      </c>
      <c r="D106" s="2">
        <f>geracao_kwh!D106*lcae!$D$2</f>
        <v>74846720</v>
      </c>
      <c r="E106" s="2">
        <f>geracao_kwh!E106*lcae!$E$2</f>
        <v>452773331010.00165</v>
      </c>
      <c r="F106" s="2">
        <f>geracao_kwh!F106*lcae!$F$2</f>
        <v>809194880.00000036</v>
      </c>
      <c r="G106" s="2">
        <f>geracao_kwh!G106*lcae!$G$2</f>
        <v>0</v>
      </c>
      <c r="H106" s="2">
        <f>geracao_kwh!H106*lcae!$H$2</f>
        <v>947223481860.005</v>
      </c>
      <c r="I106" s="2">
        <f>geracao_kwh!I106*lcae!$I$2</f>
        <v>692037251220.00134</v>
      </c>
      <c r="J106" s="2">
        <f>geracao_kwh!J106*lcae!$J$2</f>
        <v>0</v>
      </c>
      <c r="K106" s="2">
        <f>geracao_kwh!K106*lcae!$K$2</f>
        <v>17482748919.999977</v>
      </c>
      <c r="L106" s="2">
        <f>geracao_kwh!L106*lcae!$L$2</f>
        <v>325920000</v>
      </c>
      <c r="M106" s="2">
        <f>geracao_kwh!M106*lcae!$M$2</f>
        <v>1134000</v>
      </c>
      <c r="N106" s="2">
        <f>geracao_kwh!N106*lcae!$N$2</f>
        <v>0</v>
      </c>
      <c r="O106" s="2">
        <f>geracao_kwh!O106*lcae!$O$2</f>
        <v>0</v>
      </c>
    </row>
    <row r="107" spans="1:15" x14ac:dyDescent="0.3">
      <c r="A107" s="6">
        <v>106</v>
      </c>
      <c r="B107" s="6">
        <v>2008</v>
      </c>
      <c r="C107" s="6">
        <v>10</v>
      </c>
      <c r="D107" s="2">
        <f>geracao_kwh!D107*lcae!$D$2</f>
        <v>386033960.00000006</v>
      </c>
      <c r="E107" s="2">
        <f>geracao_kwh!E107*lcae!$E$2</f>
        <v>556003458010.00073</v>
      </c>
      <c r="F107" s="2">
        <f>geracao_kwh!F107*lcae!$F$2</f>
        <v>759122389.99999905</v>
      </c>
      <c r="G107" s="2">
        <f>geracao_kwh!G107*lcae!$G$2</f>
        <v>0</v>
      </c>
      <c r="H107" s="2">
        <f>geracao_kwh!H107*lcae!$H$2</f>
        <v>1042862916420.0009</v>
      </c>
      <c r="I107" s="2">
        <f>geracao_kwh!I107*lcae!$I$2</f>
        <v>732770898510.00549</v>
      </c>
      <c r="J107" s="2">
        <f>geracao_kwh!J107*lcae!$J$2</f>
        <v>0</v>
      </c>
      <c r="K107" s="2">
        <f>geracao_kwh!K107*lcae!$K$2</f>
        <v>17726646339.999992</v>
      </c>
      <c r="L107" s="2">
        <f>geracao_kwh!L107*lcae!$L$2</f>
        <v>2071574400.0000007</v>
      </c>
      <c r="M107" s="2">
        <f>geracao_kwh!M107*lcae!$M$2</f>
        <v>15297895200.000004</v>
      </c>
      <c r="N107" s="2">
        <f>geracao_kwh!N107*lcae!$N$2</f>
        <v>0</v>
      </c>
      <c r="O107" s="2">
        <f>geracao_kwh!O107*lcae!$O$2</f>
        <v>0</v>
      </c>
    </row>
    <row r="108" spans="1:15" x14ac:dyDescent="0.3">
      <c r="A108" s="6">
        <v>107</v>
      </c>
      <c r="B108" s="6">
        <v>2008</v>
      </c>
      <c r="C108" s="6">
        <v>11</v>
      </c>
      <c r="D108" s="2">
        <f>geracao_kwh!D108*lcae!$D$2</f>
        <v>807017120.00000012</v>
      </c>
      <c r="E108" s="2">
        <f>geracao_kwh!E108*lcae!$E$2</f>
        <v>289133804959.99872</v>
      </c>
      <c r="F108" s="2">
        <f>geracao_kwh!F108*lcae!$F$2</f>
        <v>832691210.00000012</v>
      </c>
      <c r="G108" s="2">
        <f>geracao_kwh!G108*lcae!$G$2</f>
        <v>0</v>
      </c>
      <c r="H108" s="2">
        <f>geracao_kwh!H108*lcae!$H$2</f>
        <v>867249975420.00781</v>
      </c>
      <c r="I108" s="2">
        <f>geracao_kwh!I108*lcae!$I$2</f>
        <v>692833593269.99963</v>
      </c>
      <c r="J108" s="2">
        <f>geracao_kwh!J108*lcae!$J$2</f>
        <v>0</v>
      </c>
      <c r="K108" s="2">
        <f>geracao_kwh!K108*lcae!$K$2</f>
        <v>17103141119.999985</v>
      </c>
      <c r="L108" s="2">
        <f>geracao_kwh!L108*lcae!$L$2</f>
        <v>171989999.99999997</v>
      </c>
      <c r="M108" s="2">
        <f>geracao_kwh!M108*lcae!$M$2</f>
        <v>305591999.99999994</v>
      </c>
      <c r="N108" s="2">
        <f>geracao_kwh!N108*lcae!$N$2</f>
        <v>0</v>
      </c>
      <c r="O108" s="2">
        <f>geracao_kwh!O108*lcae!$O$2</f>
        <v>0</v>
      </c>
    </row>
    <row r="109" spans="1:15" x14ac:dyDescent="0.3">
      <c r="A109" s="6">
        <v>108</v>
      </c>
      <c r="B109" s="6">
        <v>2008</v>
      </c>
      <c r="C109" s="6">
        <v>12</v>
      </c>
      <c r="D109" s="2">
        <f>geracao_kwh!D109*lcae!$D$2</f>
        <v>1238551080.0000005</v>
      </c>
      <c r="E109" s="2">
        <f>geracao_kwh!E109*lcae!$E$2</f>
        <v>499637378240.00104</v>
      </c>
      <c r="F109" s="2">
        <f>geracao_kwh!F109*lcae!$F$2</f>
        <v>664264380.00000012</v>
      </c>
      <c r="G109" s="2">
        <f>geracao_kwh!G109*lcae!$G$2</f>
        <v>0</v>
      </c>
      <c r="H109" s="2">
        <f>geracao_kwh!H109*lcae!$H$2</f>
        <v>1050184355760.0049</v>
      </c>
      <c r="I109" s="2">
        <f>geracao_kwh!I109*lcae!$I$2</f>
        <v>660958487489.99609</v>
      </c>
      <c r="J109" s="2">
        <f>geracao_kwh!J109*lcae!$J$2</f>
        <v>0</v>
      </c>
      <c r="K109" s="2">
        <f>geracao_kwh!K109*lcae!$K$2</f>
        <v>18030983879.999981</v>
      </c>
      <c r="L109" s="2">
        <f>geracao_kwh!L109*lcae!$L$2</f>
        <v>3589614000.0000014</v>
      </c>
      <c r="M109" s="2">
        <f>geracao_kwh!M109*lcae!$M$2</f>
        <v>5655921600.0000029</v>
      </c>
      <c r="N109" s="2">
        <f>geracao_kwh!N109*lcae!$N$2</f>
        <v>0</v>
      </c>
      <c r="O109" s="2">
        <f>geracao_kwh!O109*lcae!$O$2</f>
        <v>0</v>
      </c>
    </row>
    <row r="110" spans="1:15" x14ac:dyDescent="0.3">
      <c r="A110" s="6">
        <v>109</v>
      </c>
      <c r="B110" s="6">
        <v>2009</v>
      </c>
      <c r="C110" s="6">
        <v>1</v>
      </c>
      <c r="D110" s="2">
        <f>geracao_kwh!D110*lcae!$D$2</f>
        <v>931389217.200001</v>
      </c>
      <c r="E110" s="2">
        <f>geracao_kwh!E110*lcae!$E$2</f>
        <v>422350408480.00049</v>
      </c>
      <c r="F110" s="2">
        <f>geracao_kwh!F110*lcae!$F$2</f>
        <v>567381749.99999928</v>
      </c>
      <c r="G110" s="2">
        <f>geracao_kwh!G110*lcae!$G$2</f>
        <v>0</v>
      </c>
      <c r="H110" s="2">
        <f>geracao_kwh!H110*lcae!$H$2</f>
        <v>478083186360.00195</v>
      </c>
      <c r="I110" s="2">
        <f>geracao_kwh!I110*lcae!$I$2</f>
        <v>702079506029.99548</v>
      </c>
      <c r="J110" s="2">
        <f>geracao_kwh!J110*lcae!$J$2</f>
        <v>0</v>
      </c>
      <c r="K110" s="2">
        <f>geracao_kwh!K110*lcae!$K$2</f>
        <v>16476962190.000004</v>
      </c>
      <c r="L110" s="2">
        <f>geracao_kwh!L110*lcae!$L$2</f>
        <v>1962223200.0000005</v>
      </c>
      <c r="M110" s="2">
        <f>geracao_kwh!M110*lcae!$M$2</f>
        <v>136592400</v>
      </c>
      <c r="N110" s="2">
        <f>geracao_kwh!N110*lcae!$N$2</f>
        <v>0</v>
      </c>
      <c r="O110" s="2">
        <f>geracao_kwh!O110*lcae!$O$2</f>
        <v>0</v>
      </c>
    </row>
    <row r="111" spans="1:15" x14ac:dyDescent="0.3">
      <c r="A111" s="6">
        <v>110</v>
      </c>
      <c r="B111" s="6">
        <v>2009</v>
      </c>
      <c r="C111" s="6">
        <v>2</v>
      </c>
      <c r="D111" s="2">
        <f>geracao_kwh!D111*lcae!$D$2</f>
        <v>1256963759.9999995</v>
      </c>
      <c r="E111" s="2">
        <f>geracao_kwh!E111*lcae!$E$2</f>
        <v>401511270159.99847</v>
      </c>
      <c r="F111" s="2">
        <f>geracao_kwh!F111*lcae!$F$2</f>
        <v>422171229.99999958</v>
      </c>
      <c r="G111" s="2">
        <f>geracao_kwh!G111*lcae!$G$2</f>
        <v>0</v>
      </c>
      <c r="H111" s="2">
        <f>geracao_kwh!H111*lcae!$H$2</f>
        <v>313146912060.00122</v>
      </c>
      <c r="I111" s="2">
        <f>geracao_kwh!I111*lcae!$I$2</f>
        <v>678847682519.97607</v>
      </c>
      <c r="J111" s="2">
        <f>geracao_kwh!J111*lcae!$J$2</f>
        <v>0</v>
      </c>
      <c r="K111" s="2">
        <f>geracao_kwh!K111*lcae!$K$2</f>
        <v>11760303880.000002</v>
      </c>
      <c r="L111" s="2">
        <f>geracao_kwh!L111*lcae!$L$2</f>
        <v>734983199.99999988</v>
      </c>
      <c r="M111" s="2">
        <f>geracao_kwh!M111*lcae!$M$2</f>
        <v>39931340400.000092</v>
      </c>
      <c r="N111" s="2">
        <f>geracao_kwh!N111*lcae!$N$2</f>
        <v>0</v>
      </c>
      <c r="O111" s="2">
        <f>geracao_kwh!O111*lcae!$O$2</f>
        <v>0</v>
      </c>
    </row>
    <row r="112" spans="1:15" x14ac:dyDescent="0.3">
      <c r="A112" s="6">
        <v>111</v>
      </c>
      <c r="B112" s="6">
        <v>2009</v>
      </c>
      <c r="C112" s="6">
        <v>3</v>
      </c>
      <c r="D112" s="2">
        <f>geracao_kwh!D112*lcae!$D$2</f>
        <v>1513786039.9999995</v>
      </c>
      <c r="E112" s="2">
        <f>geracao_kwh!E112*lcae!$E$2</f>
        <v>451738497210.00018</v>
      </c>
      <c r="F112" s="2">
        <f>geracao_kwh!F112*lcae!$F$2</f>
        <v>525155410.0000006</v>
      </c>
      <c r="G112" s="2">
        <f>geracao_kwh!G112*lcae!$G$2</f>
        <v>0</v>
      </c>
      <c r="H112" s="2">
        <f>geracao_kwh!H112*lcae!$H$2</f>
        <v>488793897360.00006</v>
      </c>
      <c r="I112" s="2">
        <f>geracao_kwh!I112*lcae!$I$2</f>
        <v>771237669510.00562</v>
      </c>
      <c r="J112" s="2">
        <f>geracao_kwh!J112*lcae!$J$2</f>
        <v>0</v>
      </c>
      <c r="K112" s="2">
        <f>geracao_kwh!K112*lcae!$K$2</f>
        <v>12974184600.00001</v>
      </c>
      <c r="L112" s="2">
        <f>geracao_kwh!L112*lcae!$L$2</f>
        <v>132543600.00000003</v>
      </c>
      <c r="M112" s="2">
        <f>geracao_kwh!M112*lcae!$M$2</f>
        <v>59642200800</v>
      </c>
      <c r="N112" s="2">
        <f>geracao_kwh!N112*lcae!$N$2</f>
        <v>0</v>
      </c>
      <c r="O112" s="2">
        <f>geracao_kwh!O112*lcae!$O$2</f>
        <v>0</v>
      </c>
    </row>
    <row r="113" spans="1:15" x14ac:dyDescent="0.3">
      <c r="A113" s="6">
        <v>112</v>
      </c>
      <c r="B113" s="6">
        <v>2009</v>
      </c>
      <c r="C113" s="6">
        <v>4</v>
      </c>
      <c r="D113" s="2">
        <f>geracao_kwh!D113*lcae!$D$2</f>
        <v>990582840.0000006</v>
      </c>
      <c r="E113" s="2">
        <f>geracao_kwh!E113*lcae!$E$2</f>
        <v>442671749519.99939</v>
      </c>
      <c r="F113" s="2">
        <f>geracao_kwh!F113*lcae!$F$2</f>
        <v>314669549.9999994</v>
      </c>
      <c r="G113" s="2">
        <f>geracao_kwh!G113*lcae!$G$2</f>
        <v>0</v>
      </c>
      <c r="H113" s="2">
        <f>geracao_kwh!H113*lcae!$H$2</f>
        <v>251170306379.9993</v>
      </c>
      <c r="I113" s="2">
        <f>geracao_kwh!I113*lcae!$I$2</f>
        <v>708178990890.00537</v>
      </c>
      <c r="J113" s="2">
        <f>geracao_kwh!J113*lcae!$J$2</f>
        <v>0</v>
      </c>
      <c r="K113" s="2">
        <f>geracao_kwh!K113*lcae!$K$2</f>
        <v>12363798459.999994</v>
      </c>
      <c r="L113" s="2">
        <f>geracao_kwh!L113*lcae!$L$2</f>
        <v>112467600.00000003</v>
      </c>
      <c r="M113" s="2">
        <f>geracao_kwh!M113*lcae!$M$2</f>
        <v>36610904399.999992</v>
      </c>
      <c r="N113" s="2">
        <f>geracao_kwh!N113*lcae!$N$2</f>
        <v>0</v>
      </c>
      <c r="O113" s="2">
        <f>geracao_kwh!O113*lcae!$O$2</f>
        <v>0</v>
      </c>
    </row>
    <row r="114" spans="1:15" x14ac:dyDescent="0.3">
      <c r="A114" s="6">
        <v>113</v>
      </c>
      <c r="B114" s="6">
        <v>2009</v>
      </c>
      <c r="C114" s="6">
        <v>5</v>
      </c>
      <c r="D114" s="2">
        <f>geracao_kwh!D114*lcae!$D$2</f>
        <v>2861483560.0000072</v>
      </c>
      <c r="E114" s="2">
        <f>geracao_kwh!E114*lcae!$E$2</f>
        <v>535844809500.00085</v>
      </c>
      <c r="F114" s="2">
        <f>geracao_kwh!F114*lcae!$F$2</f>
        <v>389716859.9999994</v>
      </c>
      <c r="G114" s="2">
        <f>geracao_kwh!G114*lcae!$G$2</f>
        <v>0</v>
      </c>
      <c r="H114" s="2">
        <f>geracao_kwh!H114*lcae!$H$2</f>
        <v>762015953160.00562</v>
      </c>
      <c r="I114" s="2">
        <f>geracao_kwh!I114*lcae!$I$2</f>
        <v>690462918180.00037</v>
      </c>
      <c r="J114" s="2">
        <f>geracao_kwh!J114*lcae!$J$2</f>
        <v>0</v>
      </c>
      <c r="K114" s="2">
        <f>geracao_kwh!K114*lcae!$K$2</f>
        <v>13061166169.999939</v>
      </c>
      <c r="L114" s="2">
        <f>geracao_kwh!L114*lcae!$L$2</f>
        <v>0</v>
      </c>
      <c r="M114" s="2">
        <f>geracao_kwh!M114*lcae!$M$2</f>
        <v>88614943200.000107</v>
      </c>
      <c r="N114" s="2">
        <f>geracao_kwh!N114*lcae!$N$2</f>
        <v>0</v>
      </c>
      <c r="O114" s="2">
        <f>geracao_kwh!O114*lcae!$O$2</f>
        <v>0</v>
      </c>
    </row>
    <row r="115" spans="1:15" x14ac:dyDescent="0.3">
      <c r="A115" s="6">
        <v>114</v>
      </c>
      <c r="B115" s="6">
        <v>2009</v>
      </c>
      <c r="C115" s="6">
        <v>6</v>
      </c>
      <c r="D115" s="2">
        <f>geracao_kwh!D115*lcae!$D$2</f>
        <v>1887022280</v>
      </c>
      <c r="E115" s="2">
        <f>geracao_kwh!E115*lcae!$E$2</f>
        <v>542971629199.9989</v>
      </c>
      <c r="F115" s="2">
        <f>geracao_kwh!F115*lcae!$F$2</f>
        <v>554777964.00000131</v>
      </c>
      <c r="G115" s="2">
        <f>geracao_kwh!G115*lcae!$G$2</f>
        <v>0</v>
      </c>
      <c r="H115" s="2">
        <f>geracao_kwh!H115*lcae!$H$2</f>
        <v>641013831000.00012</v>
      </c>
      <c r="I115" s="2">
        <f>geracao_kwh!I115*lcae!$I$2</f>
        <v>660042984719.99036</v>
      </c>
      <c r="J115" s="2">
        <f>geracao_kwh!J115*lcae!$J$2</f>
        <v>0</v>
      </c>
      <c r="K115" s="2">
        <f>geracao_kwh!K115*lcae!$K$2</f>
        <v>16389070879.999962</v>
      </c>
      <c r="L115" s="2">
        <f>geracao_kwh!L115*lcae!$L$2</f>
        <v>29660399.999999993</v>
      </c>
      <c r="M115" s="2">
        <f>geracao_kwh!M115*lcae!$M$2</f>
        <v>51078073200.000046</v>
      </c>
      <c r="N115" s="2">
        <f>geracao_kwh!N115*lcae!$N$2</f>
        <v>0</v>
      </c>
      <c r="O115" s="2">
        <f>geracao_kwh!O115*lcae!$O$2</f>
        <v>0</v>
      </c>
    </row>
    <row r="116" spans="1:15" x14ac:dyDescent="0.3">
      <c r="A116" s="6">
        <v>115</v>
      </c>
      <c r="B116" s="6">
        <v>2009</v>
      </c>
      <c r="C116" s="6">
        <v>7</v>
      </c>
      <c r="D116" s="2">
        <f>geracao_kwh!D116*lcae!$D$2</f>
        <v>685061519.99999988</v>
      </c>
      <c r="E116" s="2">
        <f>geracao_kwh!E116*lcae!$E$2</f>
        <v>502707725519.99988</v>
      </c>
      <c r="F116" s="2">
        <f>geracao_kwh!F116*lcae!$F$2</f>
        <v>521303120.00000018</v>
      </c>
      <c r="G116" s="2">
        <f>geracao_kwh!G116*lcae!$G$2</f>
        <v>0</v>
      </c>
      <c r="H116" s="2">
        <f>geracao_kwh!H116*lcae!$H$2</f>
        <v>310162896359.99945</v>
      </c>
      <c r="I116" s="2">
        <f>geracao_kwh!I116*lcae!$I$2</f>
        <v>716348565029.99634</v>
      </c>
      <c r="J116" s="2">
        <f>geracao_kwh!J116*lcae!$J$2</f>
        <v>0</v>
      </c>
      <c r="K116" s="2">
        <f>geracao_kwh!K116*lcae!$K$2</f>
        <v>17481398220</v>
      </c>
      <c r="L116" s="2">
        <f>geracao_kwh!L116*lcae!$L$2</f>
        <v>112845599.99999997</v>
      </c>
      <c r="M116" s="2">
        <f>geracao_kwh!M116*lcae!$M$2</f>
        <v>87065999.99999997</v>
      </c>
      <c r="N116" s="2">
        <f>geracao_kwh!N116*lcae!$N$2</f>
        <v>0</v>
      </c>
      <c r="O116" s="2">
        <f>geracao_kwh!O116*lcae!$O$2</f>
        <v>0</v>
      </c>
    </row>
    <row r="117" spans="1:15" x14ac:dyDescent="0.3">
      <c r="A117" s="6">
        <v>116</v>
      </c>
      <c r="B117" s="6">
        <v>2009</v>
      </c>
      <c r="C117" s="6">
        <v>8</v>
      </c>
      <c r="D117" s="2">
        <f>geracao_kwh!D117*lcae!$D$2</f>
        <v>1808184559.9999969</v>
      </c>
      <c r="E117" s="2">
        <f>geracao_kwh!E117*lcae!$E$2</f>
        <v>436389053099.99902</v>
      </c>
      <c r="F117" s="2">
        <f>geracao_kwh!F117*lcae!$F$2</f>
        <v>756100279.99999988</v>
      </c>
      <c r="G117" s="2">
        <f>geracao_kwh!G117*lcae!$G$2</f>
        <v>0</v>
      </c>
      <c r="H117" s="2">
        <f>geracao_kwh!H117*lcae!$H$2</f>
        <v>176505319620.00067</v>
      </c>
      <c r="I117" s="2">
        <f>geracao_kwh!I117*lcae!$I$2</f>
        <v>746021513789.99402</v>
      </c>
      <c r="J117" s="2">
        <f>geracao_kwh!J117*lcae!$J$2</f>
        <v>0</v>
      </c>
      <c r="K117" s="2">
        <f>geracao_kwh!K117*lcae!$K$2</f>
        <v>6301467640.0000057</v>
      </c>
      <c r="L117" s="2">
        <f>geracao_kwh!L117*lcae!$L$2</f>
        <v>68552400</v>
      </c>
      <c r="M117" s="2">
        <f>geracao_kwh!M117*lcae!$M$2</f>
        <v>3064320000</v>
      </c>
      <c r="N117" s="2">
        <f>geracao_kwh!N117*lcae!$N$2</f>
        <v>0</v>
      </c>
      <c r="O117" s="2">
        <f>geracao_kwh!O117*lcae!$O$2</f>
        <v>0</v>
      </c>
    </row>
    <row r="118" spans="1:15" x14ac:dyDescent="0.3">
      <c r="A118" s="6">
        <v>117</v>
      </c>
      <c r="B118" s="6">
        <v>2009</v>
      </c>
      <c r="C118" s="6">
        <v>9</v>
      </c>
      <c r="D118" s="2">
        <f>geracao_kwh!D118*lcae!$D$2</f>
        <v>1530971249.6000006</v>
      </c>
      <c r="E118" s="2">
        <f>geracao_kwh!E118*lcae!$E$2</f>
        <v>306056490740.0011</v>
      </c>
      <c r="F118" s="2">
        <f>geracao_kwh!F118*lcae!$F$2</f>
        <v>1132200419.9999993</v>
      </c>
      <c r="G118" s="2">
        <f>geracao_kwh!G118*lcae!$G$2</f>
        <v>0</v>
      </c>
      <c r="H118" s="2">
        <f>geracao_kwh!H118*lcae!$H$2</f>
        <v>178514783820.00058</v>
      </c>
      <c r="I118" s="2">
        <f>geracao_kwh!I118*lcae!$I$2</f>
        <v>731231482169.99707</v>
      </c>
      <c r="J118" s="2">
        <f>geracao_kwh!J118*lcae!$J$2</f>
        <v>0</v>
      </c>
      <c r="K118" s="2">
        <f>geracao_kwh!K118*lcae!$K$2</f>
        <v>15105829310.000006</v>
      </c>
      <c r="L118" s="2">
        <f>geracao_kwh!L118*lcae!$L$2</f>
        <v>260458800</v>
      </c>
      <c r="M118" s="2">
        <f>geracao_kwh!M118*lcae!$M$2</f>
        <v>587336400.00000012</v>
      </c>
      <c r="N118" s="2">
        <f>geracao_kwh!N118*lcae!$N$2</f>
        <v>0</v>
      </c>
      <c r="O118" s="2">
        <f>geracao_kwh!O118*lcae!$O$2</f>
        <v>0</v>
      </c>
    </row>
    <row r="119" spans="1:15" x14ac:dyDescent="0.3">
      <c r="A119" s="6">
        <v>118</v>
      </c>
      <c r="B119" s="6">
        <v>2009</v>
      </c>
      <c r="C119" s="6">
        <v>10</v>
      </c>
      <c r="D119" s="2">
        <f>geracao_kwh!D119*lcae!$D$2</f>
        <v>1397356479.9999998</v>
      </c>
      <c r="E119" s="2">
        <f>geracao_kwh!E119*lcae!$E$2</f>
        <v>391064183510.00067</v>
      </c>
      <c r="F119" s="2">
        <f>geracao_kwh!F119*lcae!$F$2</f>
        <v>1339371149.9999983</v>
      </c>
      <c r="G119" s="2">
        <f>geracao_kwh!G119*lcae!$G$2</f>
        <v>0</v>
      </c>
      <c r="H119" s="2">
        <f>geracao_kwh!H119*lcae!$H$2</f>
        <v>169274689379.99945</v>
      </c>
      <c r="I119" s="2">
        <f>geracao_kwh!I119*lcae!$I$2</f>
        <v>758965532010.00928</v>
      </c>
      <c r="J119" s="2">
        <f>geracao_kwh!J119*lcae!$J$2</f>
        <v>0</v>
      </c>
      <c r="K119" s="2">
        <f>geracao_kwh!K119*lcae!$K$2</f>
        <v>13913041220.000002</v>
      </c>
      <c r="L119" s="2">
        <f>geracao_kwh!L119*lcae!$L$2</f>
        <v>1165743599.9999998</v>
      </c>
      <c r="M119" s="2">
        <f>geracao_kwh!M119*lcae!$M$2</f>
        <v>67655271600.000015</v>
      </c>
      <c r="N119" s="2">
        <f>geracao_kwh!N119*lcae!$N$2</f>
        <v>0</v>
      </c>
      <c r="O119" s="2">
        <f>geracao_kwh!O119*lcae!$O$2</f>
        <v>0</v>
      </c>
    </row>
    <row r="120" spans="1:15" x14ac:dyDescent="0.3">
      <c r="A120" s="6">
        <v>119</v>
      </c>
      <c r="B120" s="6">
        <v>2009</v>
      </c>
      <c r="C120" s="6">
        <v>11</v>
      </c>
      <c r="D120" s="2">
        <f>geracao_kwh!D120*lcae!$D$2</f>
        <v>1353706120.0000021</v>
      </c>
      <c r="E120" s="2">
        <f>geracao_kwh!E120*lcae!$E$2</f>
        <v>380252152279.99927</v>
      </c>
      <c r="F120" s="2">
        <f>geracao_kwh!F120*lcae!$F$2</f>
        <v>1412865480.0000021</v>
      </c>
      <c r="G120" s="2">
        <f>geracao_kwh!G120*lcae!$G$2</f>
        <v>0</v>
      </c>
      <c r="H120" s="2">
        <f>geracao_kwh!H120*lcae!$H$2</f>
        <v>107387274420.00006</v>
      </c>
      <c r="I120" s="2">
        <f>geracao_kwh!I120*lcae!$I$2</f>
        <v>768964354409.99072</v>
      </c>
      <c r="J120" s="2">
        <f>geracao_kwh!J120*lcae!$J$2</f>
        <v>0</v>
      </c>
      <c r="K120" s="2">
        <f>geracao_kwh!K120*lcae!$K$2</f>
        <v>15301183299.999979</v>
      </c>
      <c r="L120" s="2">
        <f>geracao_kwh!L120*lcae!$L$2</f>
        <v>3168916799.9999995</v>
      </c>
      <c r="M120" s="2">
        <f>geracao_kwh!M120*lcae!$M$2</f>
        <v>140922079200.00003</v>
      </c>
      <c r="N120" s="2">
        <f>geracao_kwh!N120*lcae!$N$2</f>
        <v>0</v>
      </c>
      <c r="O120" s="2">
        <f>geracao_kwh!O120*lcae!$O$2</f>
        <v>0</v>
      </c>
    </row>
    <row r="121" spans="1:15" x14ac:dyDescent="0.3">
      <c r="A121" s="6">
        <v>120</v>
      </c>
      <c r="B121" s="6">
        <v>2009</v>
      </c>
      <c r="C121" s="6">
        <v>12</v>
      </c>
      <c r="D121" s="2">
        <f>geracao_kwh!D121*lcae!$D$2</f>
        <v>866264880.00000238</v>
      </c>
      <c r="E121" s="2">
        <f>geracao_kwh!E121*lcae!$E$2</f>
        <v>384411047020.00177</v>
      </c>
      <c r="F121" s="2">
        <f>geracao_kwh!F121*lcae!$F$2</f>
        <v>1298862630.0000057</v>
      </c>
      <c r="G121" s="2">
        <f>geracao_kwh!G121*lcae!$G$2</f>
        <v>0</v>
      </c>
      <c r="H121" s="2">
        <f>geracao_kwh!H121*lcae!$H$2</f>
        <v>128609436420.00015</v>
      </c>
      <c r="I121" s="2">
        <f>geracao_kwh!I121*lcae!$I$2</f>
        <v>772220104529.98926</v>
      </c>
      <c r="J121" s="2">
        <f>geracao_kwh!J121*lcae!$J$2</f>
        <v>0</v>
      </c>
      <c r="K121" s="2">
        <f>geracao_kwh!K121*lcae!$K$2</f>
        <v>17325712689.999943</v>
      </c>
      <c r="L121" s="2">
        <f>geracao_kwh!L121*lcae!$L$2</f>
        <v>1432166400.0000002</v>
      </c>
      <c r="M121" s="2">
        <f>geracao_kwh!M121*lcae!$M$2</f>
        <v>114352702799.99992</v>
      </c>
      <c r="N121" s="2">
        <f>geracao_kwh!N121*lcae!$N$2</f>
        <v>0</v>
      </c>
      <c r="O121" s="2">
        <f>geracao_kwh!O121*lcae!$O$2</f>
        <v>0</v>
      </c>
    </row>
    <row r="122" spans="1:15" x14ac:dyDescent="0.3">
      <c r="A122" s="6">
        <v>121</v>
      </c>
      <c r="B122" s="6">
        <v>2010</v>
      </c>
      <c r="C122" s="6">
        <v>1</v>
      </c>
      <c r="D122" s="2">
        <f>geracao_kwh!D122*lcae!$D$2</f>
        <v>580320000</v>
      </c>
      <c r="E122" s="2">
        <f>geracao_kwh!E122*lcae!$E$2</f>
        <v>388331503559.99884</v>
      </c>
      <c r="F122" s="2">
        <f>geracao_kwh!F122*lcae!$F$2</f>
        <v>1072820060</v>
      </c>
      <c r="G122" s="2">
        <f>geracao_kwh!G122*lcae!$G$2</f>
        <v>0</v>
      </c>
      <c r="H122" s="2">
        <f>geracao_kwh!H122*lcae!$H$2</f>
        <v>156882437820.00031</v>
      </c>
      <c r="I122" s="2">
        <f>geracao_kwh!I122*lcae!$I$2</f>
        <v>789278442107.41528</v>
      </c>
      <c r="J122" s="2">
        <f>geracao_kwh!J122*lcae!$J$2</f>
        <v>0</v>
      </c>
      <c r="K122" s="2">
        <f>geracao_kwh!K122*lcae!$K$2</f>
        <v>19027398650.000038</v>
      </c>
      <c r="L122" s="2">
        <f>geracao_kwh!L122*lcae!$L$2</f>
        <v>4233045263.9999995</v>
      </c>
      <c r="M122" s="2">
        <f>geracao_kwh!M122*lcae!$M$2</f>
        <v>97569376799.999893</v>
      </c>
      <c r="N122" s="2">
        <f>geracao_kwh!N122*lcae!$N$2</f>
        <v>0</v>
      </c>
      <c r="O122" s="2">
        <f>geracao_kwh!O122*lcae!$O$2</f>
        <v>0</v>
      </c>
    </row>
    <row r="123" spans="1:15" x14ac:dyDescent="0.3">
      <c r="A123" s="6">
        <v>122</v>
      </c>
      <c r="B123" s="6">
        <v>2010</v>
      </c>
      <c r="C123" s="6">
        <v>2</v>
      </c>
      <c r="D123" s="2">
        <f>geracao_kwh!D123*lcae!$D$2</f>
        <v>1093080560.0000005</v>
      </c>
      <c r="E123" s="2">
        <f>geracao_kwh!E123*lcae!$E$2</f>
        <v>400999699099.99969</v>
      </c>
      <c r="F123" s="2">
        <f>geracao_kwh!F123*lcae!$F$2</f>
        <v>1427451870.000001</v>
      </c>
      <c r="G123" s="2">
        <f>geracao_kwh!G123*lcae!$G$2</f>
        <v>0</v>
      </c>
      <c r="H123" s="2">
        <f>geracao_kwh!H123*lcae!$H$2</f>
        <v>292572043739.99927</v>
      </c>
      <c r="I123" s="2">
        <f>geracao_kwh!I123*lcae!$I$2</f>
        <v>742917726389.97607</v>
      </c>
      <c r="J123" s="2">
        <f>geracao_kwh!J123*lcae!$J$2</f>
        <v>0</v>
      </c>
      <c r="K123" s="2">
        <f>geracao_kwh!K123*lcae!$K$2</f>
        <v>16641818180.000053</v>
      </c>
      <c r="L123" s="2">
        <f>geracao_kwh!L123*lcae!$L$2</f>
        <v>6539240399.999999</v>
      </c>
      <c r="M123" s="2">
        <f>geracao_kwh!M123*lcae!$M$2</f>
        <v>89523537599.999969</v>
      </c>
      <c r="N123" s="2">
        <f>geracao_kwh!N123*lcae!$N$2</f>
        <v>0</v>
      </c>
      <c r="O123" s="2">
        <f>geracao_kwh!O123*lcae!$O$2</f>
        <v>0</v>
      </c>
    </row>
    <row r="124" spans="1:15" x14ac:dyDescent="0.3">
      <c r="A124" s="6">
        <v>123</v>
      </c>
      <c r="B124" s="6">
        <v>2010</v>
      </c>
      <c r="C124" s="6">
        <v>3</v>
      </c>
      <c r="D124" s="2">
        <f>geracao_kwh!D124*lcae!$D$2</f>
        <v>1173208920.000001</v>
      </c>
      <c r="E124" s="2">
        <f>geracao_kwh!E124*lcae!$E$2</f>
        <v>456412626670.00043</v>
      </c>
      <c r="F124" s="2">
        <f>geracao_kwh!F124*lcae!$F$2</f>
        <v>1412746400.0000017</v>
      </c>
      <c r="G124" s="2">
        <f>geracao_kwh!G124*lcae!$G$2</f>
        <v>0</v>
      </c>
      <c r="H124" s="2">
        <f>geracao_kwh!H124*lcae!$H$2</f>
        <v>264740787180.00046</v>
      </c>
      <c r="I124" s="2">
        <f>geracao_kwh!I124*lcae!$I$2</f>
        <v>825275942189.96533</v>
      </c>
      <c r="J124" s="2">
        <f>geracao_kwh!J124*lcae!$J$2</f>
        <v>0</v>
      </c>
      <c r="K124" s="2">
        <f>geracao_kwh!K124*lcae!$K$2</f>
        <v>19051865039.999977</v>
      </c>
      <c r="L124" s="2">
        <f>geracao_kwh!L124*lcae!$L$2</f>
        <v>1406126399.9999995</v>
      </c>
      <c r="M124" s="2">
        <f>geracao_kwh!M124*lcae!$M$2</f>
        <v>132672120000</v>
      </c>
      <c r="N124" s="2">
        <f>geracao_kwh!N124*lcae!$N$2</f>
        <v>0</v>
      </c>
      <c r="O124" s="2">
        <f>geracao_kwh!O124*lcae!$O$2</f>
        <v>0</v>
      </c>
    </row>
    <row r="125" spans="1:15" x14ac:dyDescent="0.3">
      <c r="A125" s="6">
        <v>124</v>
      </c>
      <c r="B125" s="6">
        <v>2010</v>
      </c>
      <c r="C125" s="6">
        <v>4</v>
      </c>
      <c r="D125" s="2">
        <f>geracao_kwh!D125*lcae!$D$2</f>
        <v>897007279.99999976</v>
      </c>
      <c r="E125" s="2">
        <f>geracao_kwh!E125*lcae!$E$2</f>
        <v>392206845029.99982</v>
      </c>
      <c r="F125" s="2">
        <f>geracao_kwh!F125*lcae!$F$2</f>
        <v>863919667.00000072</v>
      </c>
      <c r="G125" s="2">
        <f>geracao_kwh!G125*lcae!$G$2</f>
        <v>0</v>
      </c>
      <c r="H125" s="2">
        <f>geracao_kwh!H125*lcae!$H$2</f>
        <v>281247592500.00049</v>
      </c>
      <c r="I125" s="2">
        <f>geracao_kwh!I125*lcae!$I$2</f>
        <v>756735147209.98364</v>
      </c>
      <c r="J125" s="2">
        <f>geracao_kwh!J125*lcae!$J$2</f>
        <v>0</v>
      </c>
      <c r="K125" s="2">
        <f>geracao_kwh!K125*lcae!$K$2</f>
        <v>14693785730</v>
      </c>
      <c r="L125" s="2">
        <f>geracao_kwh!L125*lcae!$L$2</f>
        <v>626606399.99999976</v>
      </c>
      <c r="M125" s="2">
        <f>geracao_kwh!M125*lcae!$M$2</f>
        <v>136223925600.00017</v>
      </c>
      <c r="N125" s="2">
        <f>geracao_kwh!N125*lcae!$N$2</f>
        <v>0</v>
      </c>
      <c r="O125" s="2">
        <f>geracao_kwh!O125*lcae!$O$2</f>
        <v>0</v>
      </c>
    </row>
    <row r="126" spans="1:15" x14ac:dyDescent="0.3">
      <c r="A126" s="6">
        <v>125</v>
      </c>
      <c r="B126" s="6">
        <v>2010</v>
      </c>
      <c r="C126" s="6">
        <v>5</v>
      </c>
      <c r="D126" s="2">
        <f>geracao_kwh!D126*lcae!$D$2</f>
        <v>1993776199.999995</v>
      </c>
      <c r="E126" s="2">
        <f>geracao_kwh!E126*lcae!$E$2</f>
        <v>463246733949.99933</v>
      </c>
      <c r="F126" s="2">
        <f>geracao_kwh!F126*lcae!$F$2</f>
        <v>1144329755.3999989</v>
      </c>
      <c r="G126" s="2">
        <f>geracao_kwh!G126*lcae!$G$2</f>
        <v>0</v>
      </c>
      <c r="H126" s="2">
        <f>geracao_kwh!H126*lcae!$H$2</f>
        <v>596761164180.0022</v>
      </c>
      <c r="I126" s="2">
        <f>geracao_kwh!I126*lcae!$I$2</f>
        <v>750759974370.00671</v>
      </c>
      <c r="J126" s="2">
        <f>geracao_kwh!J126*lcae!$J$2</f>
        <v>0</v>
      </c>
      <c r="K126" s="2">
        <f>geracao_kwh!K126*lcae!$K$2</f>
        <v>16617453579.999989</v>
      </c>
      <c r="L126" s="2">
        <f>geracao_kwh!L126*lcae!$L$2</f>
        <v>209420400</v>
      </c>
      <c r="M126" s="2">
        <f>geracao_kwh!M126*lcae!$M$2</f>
        <v>147152560799.99991</v>
      </c>
      <c r="N126" s="2">
        <f>geracao_kwh!N126*lcae!$N$2</f>
        <v>0</v>
      </c>
      <c r="O126" s="2">
        <f>geracao_kwh!O126*lcae!$O$2</f>
        <v>0</v>
      </c>
    </row>
    <row r="127" spans="1:15" x14ac:dyDescent="0.3">
      <c r="A127" s="6">
        <v>126</v>
      </c>
      <c r="B127" s="6">
        <v>2010</v>
      </c>
      <c r="C127" s="6">
        <v>6</v>
      </c>
      <c r="D127" s="2">
        <f>geracao_kwh!D127*lcae!$D$2</f>
        <v>1974644359.9999981</v>
      </c>
      <c r="E127" s="2">
        <f>geracao_kwh!E127*lcae!$E$2</f>
        <v>510868528169.99982</v>
      </c>
      <c r="F127" s="2">
        <f>geracao_kwh!F127*lcae!$F$2</f>
        <v>1413726599.9999971</v>
      </c>
      <c r="G127" s="2">
        <f>geracao_kwh!G127*lcae!$G$2</f>
        <v>0</v>
      </c>
      <c r="H127" s="2">
        <f>geracao_kwh!H127*lcae!$H$2</f>
        <v>1028028033719.9971</v>
      </c>
      <c r="I127" s="2">
        <f>geracao_kwh!I127*lcae!$I$2</f>
        <v>695436641129.99084</v>
      </c>
      <c r="J127" s="2">
        <f>geracao_kwh!J127*lcae!$J$2</f>
        <v>0</v>
      </c>
      <c r="K127" s="2">
        <f>geracao_kwh!K127*lcae!$K$2</f>
        <v>18530701019.999882</v>
      </c>
      <c r="L127" s="2">
        <f>geracao_kwh!L127*lcae!$L$2</f>
        <v>3664525199.999999</v>
      </c>
      <c r="M127" s="2">
        <f>geracao_kwh!M127*lcae!$M$2</f>
        <v>217808371199.99991</v>
      </c>
      <c r="N127" s="2">
        <f>geracao_kwh!N127*lcae!$N$2</f>
        <v>0</v>
      </c>
      <c r="O127" s="2">
        <f>geracao_kwh!O127*lcae!$O$2</f>
        <v>0</v>
      </c>
    </row>
    <row r="128" spans="1:15" x14ac:dyDescent="0.3">
      <c r="A128" s="6">
        <v>127</v>
      </c>
      <c r="B128" s="6">
        <v>2010</v>
      </c>
      <c r="C128" s="6">
        <v>7</v>
      </c>
      <c r="D128" s="2">
        <f>geracao_kwh!D128*lcae!$D$2</f>
        <v>2625606879.9999924</v>
      </c>
      <c r="E128" s="2">
        <f>geracao_kwh!E128*lcae!$E$2</f>
        <v>426418122130.00055</v>
      </c>
      <c r="F128" s="2">
        <f>geracao_kwh!F128*lcae!$F$2</f>
        <v>1410280300.0000005</v>
      </c>
      <c r="G128" s="2">
        <f>geracao_kwh!G128*lcae!$G$2</f>
        <v>0</v>
      </c>
      <c r="H128" s="2">
        <f>geracao_kwh!H128*lcae!$H$2</f>
        <v>998878346639.9978</v>
      </c>
      <c r="I128" s="2">
        <f>geracao_kwh!I128*lcae!$I$2</f>
        <v>742273223999.98315</v>
      </c>
      <c r="J128" s="2">
        <f>geracao_kwh!J128*lcae!$J$2</f>
        <v>0</v>
      </c>
      <c r="K128" s="2">
        <f>geracao_kwh!K128*lcae!$K$2</f>
        <v>15938831220.000074</v>
      </c>
      <c r="L128" s="2">
        <f>geracao_kwh!L128*lcae!$L$2</f>
        <v>152367600.00000003</v>
      </c>
      <c r="M128" s="2">
        <f>geracao_kwh!M128*lcae!$M$2</f>
        <v>226510258799.99994</v>
      </c>
      <c r="N128" s="2">
        <f>geracao_kwh!N128*lcae!$N$2</f>
        <v>0</v>
      </c>
      <c r="O128" s="2">
        <f>geracao_kwh!O128*lcae!$O$2</f>
        <v>0</v>
      </c>
    </row>
    <row r="129" spans="1:15" x14ac:dyDescent="0.3">
      <c r="A129" s="6">
        <v>128</v>
      </c>
      <c r="B129" s="6">
        <v>2010</v>
      </c>
      <c r="C129" s="6">
        <v>8</v>
      </c>
      <c r="D129" s="2">
        <f>geracao_kwh!D129*lcae!$D$2</f>
        <v>3129149399.9999943</v>
      </c>
      <c r="E129" s="2">
        <f>geracao_kwh!E129*lcae!$E$2</f>
        <v>591489909010.00012</v>
      </c>
      <c r="F129" s="2">
        <f>geracao_kwh!F129*lcae!$F$2</f>
        <v>2031468880.9999862</v>
      </c>
      <c r="G129" s="2">
        <f>geracao_kwh!G129*lcae!$G$2</f>
        <v>0</v>
      </c>
      <c r="H129" s="2">
        <f>geracao_kwh!H129*lcae!$H$2</f>
        <v>1638473781779.9802</v>
      </c>
      <c r="I129" s="2">
        <f>geracao_kwh!I129*lcae!$I$2</f>
        <v>711921554399.99829</v>
      </c>
      <c r="J129" s="2">
        <f>geracao_kwh!J129*lcae!$J$2</f>
        <v>0</v>
      </c>
      <c r="K129" s="2">
        <f>geracao_kwh!K129*lcae!$K$2</f>
        <v>13960478740.000015</v>
      </c>
      <c r="L129" s="2">
        <f>geracao_kwh!L129*lcae!$L$2</f>
        <v>43247316000.000023</v>
      </c>
      <c r="M129" s="2">
        <f>geracao_kwh!M129*lcae!$M$2</f>
        <v>305207019600.00024</v>
      </c>
      <c r="N129" s="2">
        <f>geracao_kwh!N129*lcae!$N$2</f>
        <v>0</v>
      </c>
      <c r="O129" s="2">
        <f>geracao_kwh!O129*lcae!$O$2</f>
        <v>0</v>
      </c>
    </row>
    <row r="130" spans="1:15" x14ac:dyDescent="0.3">
      <c r="A130" s="6">
        <v>129</v>
      </c>
      <c r="B130" s="6">
        <v>2010</v>
      </c>
      <c r="C130" s="6">
        <v>9</v>
      </c>
      <c r="D130" s="2">
        <f>geracao_kwh!D130*lcae!$D$2</f>
        <v>3145439439.9999919</v>
      </c>
      <c r="E130" s="2">
        <f>geracao_kwh!E130*lcae!$E$2</f>
        <v>607662565510.00232</v>
      </c>
      <c r="F130" s="2">
        <f>geracao_kwh!F130*lcae!$F$2</f>
        <v>2511139150.0000048</v>
      </c>
      <c r="G130" s="2">
        <f>geracao_kwh!G130*lcae!$G$2</f>
        <v>0</v>
      </c>
      <c r="H130" s="2">
        <f>geracao_kwh!H130*lcae!$H$2</f>
        <v>1921813754940</v>
      </c>
      <c r="I130" s="2">
        <f>geracao_kwh!I130*lcae!$I$2</f>
        <v>681199946699.98816</v>
      </c>
      <c r="J130" s="2">
        <f>geracao_kwh!J130*lcae!$J$2</f>
        <v>0</v>
      </c>
      <c r="K130" s="2">
        <f>geracao_kwh!K130*lcae!$K$2</f>
        <v>17337629659.99995</v>
      </c>
      <c r="L130" s="2">
        <f>geracao_kwh!L130*lcae!$L$2</f>
        <v>63897456000.000015</v>
      </c>
      <c r="M130" s="2">
        <f>geracao_kwh!M130*lcae!$M$2</f>
        <v>339900859200.00043</v>
      </c>
      <c r="N130" s="2">
        <f>geracao_kwh!N130*lcae!$N$2</f>
        <v>0</v>
      </c>
      <c r="O130" s="2">
        <f>geracao_kwh!O130*lcae!$O$2</f>
        <v>0</v>
      </c>
    </row>
    <row r="131" spans="1:15" x14ac:dyDescent="0.3">
      <c r="A131" s="6">
        <v>130</v>
      </c>
      <c r="B131" s="6">
        <v>2010</v>
      </c>
      <c r="C131" s="6">
        <v>10</v>
      </c>
      <c r="D131" s="2">
        <f>geracao_kwh!D131*lcae!$D$2</f>
        <v>2992826199.9999976</v>
      </c>
      <c r="E131" s="2">
        <f>geracao_kwh!E131*lcae!$E$2</f>
        <v>576833317060.00085</v>
      </c>
      <c r="F131" s="2">
        <f>geracao_kwh!F131*lcae!$F$2</f>
        <v>1848094949.9999888</v>
      </c>
      <c r="G131" s="2">
        <f>geracao_kwh!G131*lcae!$G$2</f>
        <v>0</v>
      </c>
      <c r="H131" s="2">
        <f>geracao_kwh!H131*lcae!$H$2</f>
        <v>1729197622800.0005</v>
      </c>
      <c r="I131" s="2">
        <f>geracao_kwh!I131*lcae!$I$2</f>
        <v>713678968170.00928</v>
      </c>
      <c r="J131" s="2">
        <f>geracao_kwh!J131*lcae!$J$2</f>
        <v>0</v>
      </c>
      <c r="K131" s="2">
        <f>geracao_kwh!K131*lcae!$K$2</f>
        <v>14585703729.999971</v>
      </c>
      <c r="L131" s="2">
        <f>geracao_kwh!L131*lcae!$L$2</f>
        <v>6865756800</v>
      </c>
      <c r="M131" s="2">
        <f>geracao_kwh!M131*lcae!$M$2</f>
        <v>268546798800.00009</v>
      </c>
      <c r="N131" s="2">
        <f>geracao_kwh!N131*lcae!$N$2</f>
        <v>0</v>
      </c>
      <c r="O131" s="2">
        <f>geracao_kwh!O131*lcae!$O$2</f>
        <v>0</v>
      </c>
    </row>
    <row r="132" spans="1:15" x14ac:dyDescent="0.3">
      <c r="A132" s="6">
        <v>131</v>
      </c>
      <c r="B132" s="6">
        <v>2010</v>
      </c>
      <c r="C132" s="6">
        <v>11</v>
      </c>
      <c r="D132" s="2">
        <f>geracao_kwh!D132*lcae!$D$2</f>
        <v>3056439359.9999948</v>
      </c>
      <c r="E132" s="2">
        <f>geracao_kwh!E132*lcae!$E$2</f>
        <v>651083082649.99854</v>
      </c>
      <c r="F132" s="2">
        <f>geracao_kwh!F132*lcae!$F$2</f>
        <v>2053116649.9999862</v>
      </c>
      <c r="G132" s="2">
        <f>geracao_kwh!G132*lcae!$G$2</f>
        <v>0</v>
      </c>
      <c r="H132" s="2">
        <f>geracao_kwh!H132*lcae!$H$2</f>
        <v>1768224477419.9985</v>
      </c>
      <c r="I132" s="2">
        <f>geracao_kwh!I132*lcae!$I$2</f>
        <v>704837094569.99927</v>
      </c>
      <c r="J132" s="2">
        <f>geracao_kwh!J132*lcae!$J$2</f>
        <v>0</v>
      </c>
      <c r="K132" s="2">
        <f>geracao_kwh!K132*lcae!$K$2</f>
        <v>5640220039.9999943</v>
      </c>
      <c r="L132" s="2">
        <f>geracao_kwh!L132*lcae!$L$2</f>
        <v>10759022399.999996</v>
      </c>
      <c r="M132" s="2">
        <f>geracao_kwh!M132*lcae!$M$2</f>
        <v>333503990400.00006</v>
      </c>
      <c r="N132" s="2">
        <f>geracao_kwh!N132*lcae!$N$2</f>
        <v>0</v>
      </c>
      <c r="O132" s="2">
        <f>geracao_kwh!O132*lcae!$O$2</f>
        <v>0</v>
      </c>
    </row>
    <row r="133" spans="1:15" x14ac:dyDescent="0.3">
      <c r="A133" s="6">
        <v>132</v>
      </c>
      <c r="B133" s="6">
        <v>2010</v>
      </c>
      <c r="C133" s="6">
        <v>12</v>
      </c>
      <c r="D133" s="2">
        <f>geracao_kwh!D133*lcae!$D$2</f>
        <v>1317377879.9999998</v>
      </c>
      <c r="E133" s="2">
        <f>geracao_kwh!E133*lcae!$E$2</f>
        <v>575852807529.99976</v>
      </c>
      <c r="F133" s="2">
        <f>geracao_kwh!F133*lcae!$F$2</f>
        <v>1626730170.000001</v>
      </c>
      <c r="G133" s="2">
        <f>geracao_kwh!G133*lcae!$G$2</f>
        <v>0</v>
      </c>
      <c r="H133" s="2">
        <f>geracao_kwh!H133*lcae!$H$2</f>
        <v>1116116909099.9966</v>
      </c>
      <c r="I133" s="2">
        <f>geracao_kwh!I133*lcae!$I$2</f>
        <v>764339038050.00037</v>
      </c>
      <c r="J133" s="2">
        <f>geracao_kwh!J133*lcae!$J$2</f>
        <v>0</v>
      </c>
      <c r="K133" s="2">
        <f>geracao_kwh!K133*lcae!$K$2</f>
        <v>16775142280</v>
      </c>
      <c r="L133" s="2">
        <f>geracao_kwh!L133*lcae!$L$2</f>
        <v>4733324399.9999981</v>
      </c>
      <c r="M133" s="2">
        <f>geracao_kwh!M133*lcae!$M$2</f>
        <v>231674436000</v>
      </c>
      <c r="N133" s="2">
        <f>geracao_kwh!N133*lcae!$N$2</f>
        <v>0</v>
      </c>
      <c r="O133" s="2">
        <f>geracao_kwh!O133*lcae!$O$2</f>
        <v>0</v>
      </c>
    </row>
    <row r="134" spans="1:15" x14ac:dyDescent="0.3">
      <c r="A134" s="6">
        <v>133</v>
      </c>
      <c r="B134" s="6">
        <v>2011</v>
      </c>
      <c r="C134" s="6">
        <v>1</v>
      </c>
      <c r="D134" s="2">
        <f>geracao_kwh!D134*lcae!$D$2</f>
        <v>415129000.00000012</v>
      </c>
      <c r="E134" s="2">
        <f>geracao_kwh!E134*lcae!$E$2</f>
        <v>385902957440.00012</v>
      </c>
      <c r="F134" s="2">
        <f>geracao_kwh!F134*lcae!$F$2</f>
        <v>921638899.99999475</v>
      </c>
      <c r="G134" s="2">
        <f>geracao_kwh!G134*lcae!$G$2</f>
        <v>0</v>
      </c>
      <c r="H134" s="2">
        <f>geracao_kwh!H134*lcae!$H$2</f>
        <v>424311767280.00055</v>
      </c>
      <c r="I134" s="2">
        <f>geracao_kwh!I134*lcae!$I$2</f>
        <v>814448169990.01172</v>
      </c>
      <c r="J134" s="2">
        <f>geracao_kwh!J134*lcae!$J$2</f>
        <v>0</v>
      </c>
      <c r="K134" s="2">
        <f>geracao_kwh!K134*lcae!$K$2</f>
        <v>17919932550.000008</v>
      </c>
      <c r="L134" s="2">
        <f>geracao_kwh!L134*lcae!$L$2</f>
        <v>353875200</v>
      </c>
      <c r="M134" s="2">
        <f>geracao_kwh!M134*lcae!$M$2</f>
        <v>153061532400.00003</v>
      </c>
      <c r="N134" s="2">
        <f>geracao_kwh!N134*lcae!$N$2</f>
        <v>0</v>
      </c>
      <c r="O134" s="2">
        <f>geracao_kwh!O134*lcae!$O$2</f>
        <v>0</v>
      </c>
    </row>
    <row r="135" spans="1:15" x14ac:dyDescent="0.3">
      <c r="A135" s="6">
        <v>134</v>
      </c>
      <c r="B135" s="6">
        <v>2011</v>
      </c>
      <c r="C135" s="6">
        <v>2</v>
      </c>
      <c r="D135" s="2">
        <f>geracao_kwh!D135*lcae!$D$2</f>
        <v>637825822.40000093</v>
      </c>
      <c r="E135" s="2">
        <f>geracao_kwh!E135*lcae!$E$2</f>
        <v>470691381160.00256</v>
      </c>
      <c r="F135" s="2">
        <f>geracao_kwh!F135*lcae!$F$2</f>
        <v>826088899.99999797</v>
      </c>
      <c r="G135" s="2">
        <f>geracao_kwh!G135*lcae!$G$2</f>
        <v>0</v>
      </c>
      <c r="H135" s="2">
        <f>geracao_kwh!H135*lcae!$H$2</f>
        <v>407160423900.0014</v>
      </c>
      <c r="I135" s="2">
        <f>geracao_kwh!I135*lcae!$I$2</f>
        <v>770047036919.98889</v>
      </c>
      <c r="J135" s="2">
        <f>geracao_kwh!J135*lcae!$J$2</f>
        <v>0</v>
      </c>
      <c r="K135" s="2">
        <f>geracao_kwh!K135*lcae!$K$2</f>
        <v>15543798919.999975</v>
      </c>
      <c r="L135" s="2">
        <f>geracao_kwh!L135*lcae!$L$2</f>
        <v>24679200</v>
      </c>
      <c r="M135" s="2">
        <f>geracao_kwh!M135*lcae!$M$2</f>
        <v>109222075199.99994</v>
      </c>
      <c r="N135" s="2">
        <f>geracao_kwh!N135*lcae!$N$2</f>
        <v>0</v>
      </c>
      <c r="O135" s="2">
        <f>geracao_kwh!O135*lcae!$O$2</f>
        <v>0</v>
      </c>
    </row>
    <row r="136" spans="1:15" x14ac:dyDescent="0.3">
      <c r="A136" s="6">
        <v>135</v>
      </c>
      <c r="B136" s="6">
        <v>2011</v>
      </c>
      <c r="C136" s="6">
        <v>3</v>
      </c>
      <c r="D136" s="2">
        <f>geracao_kwh!D136*lcae!$D$2</f>
        <v>529601280</v>
      </c>
      <c r="E136" s="2">
        <f>geracao_kwh!E136*lcae!$E$2</f>
        <v>270933352689.99911</v>
      </c>
      <c r="F136" s="2">
        <f>geracao_kwh!F136*lcae!$F$2</f>
        <v>982851739.99999845</v>
      </c>
      <c r="G136" s="2">
        <f>geracao_kwh!G136*lcae!$G$2</f>
        <v>0</v>
      </c>
      <c r="H136" s="2">
        <f>geracao_kwh!H136*lcae!$H$2</f>
        <v>383933759759.99597</v>
      </c>
      <c r="I136" s="2">
        <f>geracao_kwh!I136*lcae!$I$2</f>
        <v>824104629452.99182</v>
      </c>
      <c r="J136" s="2">
        <f>geracao_kwh!J136*lcae!$J$2</f>
        <v>0</v>
      </c>
      <c r="K136" s="2">
        <f>geracao_kwh!K136*lcae!$K$2</f>
        <v>17850885780.00005</v>
      </c>
      <c r="L136" s="2">
        <f>geracao_kwh!L136*lcae!$L$2</f>
        <v>9877963200.0000191</v>
      </c>
      <c r="M136" s="2">
        <f>geracao_kwh!M136*lcae!$M$2</f>
        <v>108824377200.00009</v>
      </c>
      <c r="N136" s="2">
        <f>geracao_kwh!N136*lcae!$N$2</f>
        <v>0</v>
      </c>
      <c r="O136" s="2">
        <f>geracao_kwh!O136*lcae!$O$2</f>
        <v>0</v>
      </c>
    </row>
    <row r="137" spans="1:15" x14ac:dyDescent="0.3">
      <c r="A137" s="6">
        <v>136</v>
      </c>
      <c r="B137" s="6">
        <v>2011</v>
      </c>
      <c r="C137" s="6">
        <v>4</v>
      </c>
      <c r="D137" s="2">
        <f>geracao_kwh!D137*lcae!$D$2</f>
        <v>141064559.99999997</v>
      </c>
      <c r="E137" s="2">
        <f>geracao_kwh!E137*lcae!$E$2</f>
        <v>317532515300.00409</v>
      </c>
      <c r="F137" s="2">
        <f>geracao_kwh!F137*lcae!$F$2</f>
        <v>554947900.00000072</v>
      </c>
      <c r="G137" s="2">
        <f>geracao_kwh!G137*lcae!$G$2</f>
        <v>0</v>
      </c>
      <c r="H137" s="2">
        <f>geracao_kwh!H137*lcae!$H$2</f>
        <v>216724793940.00098</v>
      </c>
      <c r="I137" s="2">
        <f>geracao_kwh!I137*lcae!$I$2</f>
        <v>793166224829.97913</v>
      </c>
      <c r="J137" s="2">
        <f>geracao_kwh!J137*lcae!$J$2</f>
        <v>0</v>
      </c>
      <c r="K137" s="2">
        <f>geracao_kwh!K137*lcae!$K$2</f>
        <v>15713788480</v>
      </c>
      <c r="L137" s="2">
        <f>geracao_kwh!L137*lcae!$L$2</f>
        <v>3694908000</v>
      </c>
      <c r="M137" s="2">
        <f>geracao_kwh!M137*lcae!$M$2</f>
        <v>142477708799.99994</v>
      </c>
      <c r="N137" s="2">
        <f>geracao_kwh!N137*lcae!$N$2</f>
        <v>0</v>
      </c>
      <c r="O137" s="2">
        <f>geracao_kwh!O137*lcae!$O$2</f>
        <v>0</v>
      </c>
    </row>
    <row r="138" spans="1:15" x14ac:dyDescent="0.3">
      <c r="A138" s="6">
        <v>137</v>
      </c>
      <c r="B138" s="6">
        <v>2011</v>
      </c>
      <c r="C138" s="6">
        <v>5</v>
      </c>
      <c r="D138" s="2">
        <f>geracao_kwh!D138*lcae!$D$2</f>
        <v>2352910040.0000052</v>
      </c>
      <c r="E138" s="2">
        <f>geracao_kwh!E138*lcae!$E$2</f>
        <v>443012429859.99969</v>
      </c>
      <c r="F138" s="2">
        <f>geracao_kwh!F138*lcae!$F$2</f>
        <v>859270749.99999464</v>
      </c>
      <c r="G138" s="2">
        <f>geracao_kwh!G138*lcae!$G$2</f>
        <v>0</v>
      </c>
      <c r="H138" s="2">
        <f>geracao_kwh!H138*lcae!$H$2</f>
        <v>449860461660.00165</v>
      </c>
      <c r="I138" s="2">
        <f>geracao_kwh!I138*lcae!$I$2</f>
        <v>781247293680.02966</v>
      </c>
      <c r="J138" s="2">
        <f>geracao_kwh!J138*lcae!$J$2</f>
        <v>0</v>
      </c>
      <c r="K138" s="2">
        <f>geracao_kwh!K138*lcae!$K$2</f>
        <v>15961597210.000055</v>
      </c>
      <c r="L138" s="2">
        <f>geracao_kwh!L138*lcae!$L$2</f>
        <v>9039651600.0000057</v>
      </c>
      <c r="M138" s="2">
        <f>geracao_kwh!M138*lcae!$M$2</f>
        <v>227548070399.99991</v>
      </c>
      <c r="N138" s="2">
        <f>geracao_kwh!N138*lcae!$N$2</f>
        <v>0</v>
      </c>
      <c r="O138" s="2">
        <f>geracao_kwh!O138*lcae!$O$2</f>
        <v>0</v>
      </c>
    </row>
    <row r="139" spans="1:15" x14ac:dyDescent="0.3">
      <c r="A139" s="6">
        <v>138</v>
      </c>
      <c r="B139" s="6">
        <v>2011</v>
      </c>
      <c r="C139" s="6">
        <v>6</v>
      </c>
      <c r="D139" s="2">
        <f>geracao_kwh!D139*lcae!$D$2</f>
        <v>3045287959.9999995</v>
      </c>
      <c r="E139" s="2">
        <f>geracao_kwh!E139*lcae!$E$2</f>
        <v>532466834899.99988</v>
      </c>
      <c r="F139" s="2">
        <f>geracao_kwh!F139*lcae!$F$2</f>
        <v>1469159899.999995</v>
      </c>
      <c r="G139" s="2">
        <f>geracao_kwh!G139*lcae!$G$2</f>
        <v>0</v>
      </c>
      <c r="H139" s="2">
        <f>geracao_kwh!H139*lcae!$H$2</f>
        <v>641644809660.00256</v>
      </c>
      <c r="I139" s="2">
        <f>geracao_kwh!I139*lcae!$I$2</f>
        <v>735887909610.00525</v>
      </c>
      <c r="J139" s="2">
        <f>geracao_kwh!J139*lcae!$J$2</f>
        <v>0</v>
      </c>
      <c r="K139" s="2">
        <f>geracao_kwh!K139*lcae!$K$2</f>
        <v>18369171859.999989</v>
      </c>
      <c r="L139" s="2">
        <f>geracao_kwh!L139*lcae!$L$2</f>
        <v>5815605600</v>
      </c>
      <c r="M139" s="2">
        <f>geracao_kwh!M139*lcae!$M$2</f>
        <v>236520110400.00006</v>
      </c>
      <c r="N139" s="2">
        <f>geracao_kwh!N139*lcae!$N$2</f>
        <v>0</v>
      </c>
      <c r="O139" s="2">
        <f>geracao_kwh!O139*lcae!$O$2</f>
        <v>0</v>
      </c>
    </row>
    <row r="140" spans="1:15" x14ac:dyDescent="0.3">
      <c r="A140" s="6">
        <v>139</v>
      </c>
      <c r="B140" s="6">
        <v>2011</v>
      </c>
      <c r="C140" s="6">
        <v>7</v>
      </c>
      <c r="D140" s="2">
        <f>geracao_kwh!D140*lcae!$D$2</f>
        <v>3235343800.0000072</v>
      </c>
      <c r="E140" s="2">
        <f>geracao_kwh!E140*lcae!$E$2</f>
        <v>484712087860.00012</v>
      </c>
      <c r="F140" s="2">
        <f>geracao_kwh!F140*lcae!$F$2</f>
        <v>1951729390.0000069</v>
      </c>
      <c r="G140" s="2">
        <f>geracao_kwh!G140*lcae!$G$2</f>
        <v>0</v>
      </c>
      <c r="H140" s="2">
        <f>geracao_kwh!H140*lcae!$H$2</f>
        <v>658972196820.01306</v>
      </c>
      <c r="I140" s="2">
        <f>geracao_kwh!I140*lcae!$I$2</f>
        <v>771234454410.00256</v>
      </c>
      <c r="J140" s="2">
        <f>geracao_kwh!J140*lcae!$J$2</f>
        <v>0</v>
      </c>
      <c r="K140" s="2">
        <f>geracao_kwh!K140*lcae!$K$2</f>
        <v>18498612210.000004</v>
      </c>
      <c r="L140" s="2">
        <f>geracao_kwh!L140*lcae!$L$2</f>
        <v>856615200.00000012</v>
      </c>
      <c r="M140" s="2">
        <f>geracao_kwh!M140*lcae!$M$2</f>
        <v>247276604400.00021</v>
      </c>
      <c r="N140" s="2">
        <f>geracao_kwh!N140*lcae!$N$2</f>
        <v>0</v>
      </c>
      <c r="O140" s="2">
        <f>geracao_kwh!O140*lcae!$O$2</f>
        <v>0</v>
      </c>
    </row>
    <row r="141" spans="1:15" x14ac:dyDescent="0.3">
      <c r="A141" s="6">
        <v>140</v>
      </c>
      <c r="B141" s="6">
        <v>2011</v>
      </c>
      <c r="C141" s="6">
        <v>8</v>
      </c>
      <c r="D141" s="2">
        <f>geracao_kwh!D141*lcae!$D$2</f>
        <v>2617086680.0000072</v>
      </c>
      <c r="E141" s="2">
        <f>geracao_kwh!E141*lcae!$E$2</f>
        <v>481906925500.00012</v>
      </c>
      <c r="F141" s="2">
        <f>geracao_kwh!F141*lcae!$F$2</f>
        <v>3117446540.0000334</v>
      </c>
      <c r="G141" s="2">
        <f>geracao_kwh!G141*lcae!$G$2</f>
        <v>0</v>
      </c>
      <c r="H141" s="2">
        <f>geracao_kwh!H141*lcae!$H$2</f>
        <v>580141310400.00012</v>
      </c>
      <c r="I141" s="2">
        <f>geracao_kwh!I141*lcae!$I$2</f>
        <v>810664626029.99146</v>
      </c>
      <c r="J141" s="2">
        <f>geracao_kwh!J141*lcae!$J$2</f>
        <v>0</v>
      </c>
      <c r="K141" s="2">
        <f>geracao_kwh!K141*lcae!$K$2</f>
        <v>15882182420.00001</v>
      </c>
      <c r="L141" s="2">
        <f>geracao_kwh!L141*lcae!$L$2</f>
        <v>899623199.99999976</v>
      </c>
      <c r="M141" s="2">
        <f>geracao_kwh!M141*lcae!$M$2</f>
        <v>271563011999.99969</v>
      </c>
      <c r="N141" s="2">
        <f>geracao_kwh!N141*lcae!$N$2</f>
        <v>0</v>
      </c>
      <c r="O141" s="2">
        <f>geracao_kwh!O141*lcae!$O$2</f>
        <v>0</v>
      </c>
    </row>
    <row r="142" spans="1:15" x14ac:dyDescent="0.3">
      <c r="A142" s="6">
        <v>141</v>
      </c>
      <c r="B142" s="6">
        <v>2011</v>
      </c>
      <c r="C142" s="6">
        <v>9</v>
      </c>
      <c r="D142" s="2">
        <f>geracao_kwh!D142*lcae!$D$2</f>
        <v>1534597479.9999974</v>
      </c>
      <c r="E142" s="2">
        <f>geracao_kwh!E142*lcae!$E$2</f>
        <v>437277590750.00006</v>
      </c>
      <c r="F142" s="2">
        <f>geracao_kwh!F142*lcae!$F$2</f>
        <v>3204938620.0000029</v>
      </c>
      <c r="G142" s="2">
        <f>geracao_kwh!G142*lcae!$G$2</f>
        <v>0</v>
      </c>
      <c r="H142" s="2">
        <f>geracao_kwh!H142*lcae!$H$2</f>
        <v>517416726420.00336</v>
      </c>
      <c r="I142" s="2">
        <f>geracao_kwh!I142*lcae!$I$2</f>
        <v>783472797449.99036</v>
      </c>
      <c r="J142" s="2">
        <f>geracao_kwh!J142*lcae!$J$2</f>
        <v>0</v>
      </c>
      <c r="K142" s="2">
        <f>geracao_kwh!K142*lcae!$K$2</f>
        <v>15008057220.000046</v>
      </c>
      <c r="L142" s="2">
        <f>geracao_kwh!L142*lcae!$L$2</f>
        <v>6531932400.0000019</v>
      </c>
      <c r="M142" s="2">
        <f>geracao_kwh!M142*lcae!$M$2</f>
        <v>281921463599.99994</v>
      </c>
      <c r="N142" s="2">
        <f>geracao_kwh!N142*lcae!$N$2</f>
        <v>0</v>
      </c>
      <c r="O142" s="2">
        <f>geracao_kwh!O142*lcae!$O$2</f>
        <v>0</v>
      </c>
    </row>
    <row r="143" spans="1:15" x14ac:dyDescent="0.3">
      <c r="A143" s="6">
        <v>142</v>
      </c>
      <c r="B143" s="6">
        <v>2011</v>
      </c>
      <c r="C143" s="6">
        <v>10</v>
      </c>
      <c r="D143" s="2">
        <f>geracao_kwh!D143*lcae!$D$2</f>
        <v>754832519.99999988</v>
      </c>
      <c r="E143" s="2">
        <f>geracao_kwh!E143*lcae!$E$2</f>
        <v>593883300009.99805</v>
      </c>
      <c r="F143" s="2">
        <f>geracao_kwh!F143*lcae!$F$2</f>
        <v>3421046589.99999</v>
      </c>
      <c r="G143" s="2">
        <f>geracao_kwh!G143*lcae!$G$2</f>
        <v>0</v>
      </c>
      <c r="H143" s="2">
        <f>geracao_kwh!H143*lcae!$H$2</f>
        <v>687099378780.00171</v>
      </c>
      <c r="I143" s="2">
        <f>geracao_kwh!I143*lcae!$I$2</f>
        <v>792381424799.9856</v>
      </c>
      <c r="J143" s="2">
        <f>geracao_kwh!J143*lcae!$J$2</f>
        <v>0</v>
      </c>
      <c r="K143" s="2">
        <f>geracao_kwh!K143*lcae!$K$2</f>
        <v>15342630810.000004</v>
      </c>
      <c r="L143" s="2">
        <f>geracao_kwh!L143*lcae!$L$2</f>
        <v>1960946399.9999993</v>
      </c>
      <c r="M143" s="2">
        <f>geracao_kwh!M143*lcae!$M$2</f>
        <v>285625166400.00012</v>
      </c>
      <c r="N143" s="2">
        <f>geracao_kwh!N143*lcae!$N$2</f>
        <v>0</v>
      </c>
      <c r="O143" s="2">
        <f>geracao_kwh!O143*lcae!$O$2</f>
        <v>0</v>
      </c>
    </row>
    <row r="144" spans="1:15" x14ac:dyDescent="0.3">
      <c r="A144" s="6">
        <v>143</v>
      </c>
      <c r="B144" s="6">
        <v>2011</v>
      </c>
      <c r="C144" s="6">
        <v>11</v>
      </c>
      <c r="D144" s="2">
        <f>geracao_kwh!D144*lcae!$D$2</f>
        <v>711801999.99999964</v>
      </c>
      <c r="E144" s="2">
        <f>geracao_kwh!E144*lcae!$E$2</f>
        <v>624290336669.99963</v>
      </c>
      <c r="F144" s="2">
        <f>geracao_kwh!F144*lcae!$F$2</f>
        <v>3827382390.000001</v>
      </c>
      <c r="G144" s="2">
        <f>geracao_kwh!G144*lcae!$G$2</f>
        <v>0</v>
      </c>
      <c r="H144" s="2">
        <f>geracao_kwh!H144*lcae!$H$2</f>
        <v>682965278099.99768</v>
      </c>
      <c r="I144" s="2">
        <f>geracao_kwh!I144*lcae!$I$2</f>
        <v>768610038629.98987</v>
      </c>
      <c r="J144" s="2">
        <f>geracao_kwh!J144*lcae!$J$2</f>
        <v>0</v>
      </c>
      <c r="K144" s="2">
        <f>geracao_kwh!K144*lcae!$K$2</f>
        <v>18327128039.999958</v>
      </c>
      <c r="L144" s="2">
        <f>geracao_kwh!L144*lcae!$L$2</f>
        <v>5652141600.0000038</v>
      </c>
      <c r="M144" s="2">
        <f>geracao_kwh!M144*lcae!$M$2</f>
        <v>250966178399.99954</v>
      </c>
      <c r="N144" s="2">
        <f>geracao_kwh!N144*lcae!$N$2</f>
        <v>0</v>
      </c>
      <c r="O144" s="2">
        <f>geracao_kwh!O144*lcae!$O$2</f>
        <v>0</v>
      </c>
    </row>
    <row r="145" spans="1:15" x14ac:dyDescent="0.3">
      <c r="A145" s="6">
        <v>144</v>
      </c>
      <c r="B145" s="6">
        <v>2011</v>
      </c>
      <c r="C145" s="6">
        <v>12</v>
      </c>
      <c r="D145" s="2">
        <f>geracao_kwh!D145*lcae!$D$2</f>
        <v>389385879.99999988</v>
      </c>
      <c r="E145" s="2">
        <f>geracao_kwh!E145*lcae!$E$2</f>
        <v>617743806679.9978</v>
      </c>
      <c r="F145" s="2">
        <f>geracao_kwh!F145*lcae!$F$2</f>
        <v>3621128419.9999928</v>
      </c>
      <c r="G145" s="2">
        <f>geracao_kwh!G145*lcae!$G$2</f>
        <v>0</v>
      </c>
      <c r="H145" s="2">
        <f>geracao_kwh!H145*lcae!$H$2</f>
        <v>673576015679.99951</v>
      </c>
      <c r="I145" s="2">
        <f>geracao_kwh!I145*lcae!$I$2</f>
        <v>808119565469.99646</v>
      </c>
      <c r="J145" s="2">
        <f>geracao_kwh!J145*lcae!$J$2</f>
        <v>0</v>
      </c>
      <c r="K145" s="2">
        <f>geracao_kwh!K145*lcae!$K$2</f>
        <v>19136143520.000076</v>
      </c>
      <c r="L145" s="2">
        <f>geracao_kwh!L145*lcae!$L$2</f>
        <v>14766779999.99999</v>
      </c>
      <c r="M145" s="2">
        <f>geracao_kwh!M145*lcae!$M$2</f>
        <v>242429737200.00049</v>
      </c>
      <c r="N145" s="2">
        <f>geracao_kwh!N145*lcae!$N$2</f>
        <v>0</v>
      </c>
      <c r="O145" s="2">
        <f>geracao_kwh!O145*lcae!$O$2</f>
        <v>0</v>
      </c>
    </row>
    <row r="146" spans="1:15" x14ac:dyDescent="0.3">
      <c r="A146" s="6">
        <v>145</v>
      </c>
      <c r="B146" s="6">
        <v>2012</v>
      </c>
      <c r="C146" s="6">
        <v>1</v>
      </c>
      <c r="D146" s="2">
        <f>geracao_kwh!D146*lcae!$D$2</f>
        <v>0</v>
      </c>
      <c r="E146" s="2">
        <f>geracao_kwh!E146*lcae!$E$2</f>
        <v>555862687379.99927</v>
      </c>
      <c r="F146" s="2">
        <f>geracao_kwh!F146*lcae!$F$2</f>
        <v>3325436256.9999957</v>
      </c>
      <c r="G146" s="2">
        <f>geracao_kwh!G146*lcae!$G$2</f>
        <v>0</v>
      </c>
      <c r="H146" s="2">
        <f>geracao_kwh!H146*lcae!$H$2</f>
        <v>368837375040.00653</v>
      </c>
      <c r="I146" s="2">
        <f>geracao_kwh!I146*lcae!$I$2</f>
        <v>831959812739.98608</v>
      </c>
      <c r="J146" s="2">
        <f>geracao_kwh!J146*lcae!$J$2</f>
        <v>0</v>
      </c>
      <c r="K146" s="2">
        <f>geracao_kwh!K146*lcae!$K$2</f>
        <v>18326722440.000031</v>
      </c>
      <c r="L146" s="2">
        <f>geracao_kwh!L146*lcae!$L$2</f>
        <v>13999389599.999989</v>
      </c>
      <c r="M146" s="2">
        <f>geracao_kwh!M146*lcae!$M$2</f>
        <v>150360025200.00034</v>
      </c>
      <c r="N146" s="2">
        <f>geracao_kwh!N146*lcae!$N$2</f>
        <v>0</v>
      </c>
      <c r="O146" s="2">
        <f>geracao_kwh!O146*lcae!$O$2</f>
        <v>0</v>
      </c>
    </row>
    <row r="147" spans="1:15" x14ac:dyDescent="0.3">
      <c r="A147" s="6">
        <v>146</v>
      </c>
      <c r="B147" s="6">
        <v>2012</v>
      </c>
      <c r="C147" s="6">
        <v>2</v>
      </c>
      <c r="D147" s="2">
        <f>geracao_kwh!D147*lcae!$D$2</f>
        <v>589671160.00000131</v>
      </c>
      <c r="E147" s="2">
        <f>geracao_kwh!E147*lcae!$E$2</f>
        <v>478253775999.99841</v>
      </c>
      <c r="F147" s="2">
        <f>geracao_kwh!F147*lcae!$F$2</f>
        <v>2463889115.9999924</v>
      </c>
      <c r="G147" s="2">
        <f>geracao_kwh!G147*lcae!$G$2</f>
        <v>0</v>
      </c>
      <c r="H147" s="2">
        <f>geracao_kwh!H147*lcae!$H$2</f>
        <v>549011173320.00403</v>
      </c>
      <c r="I147" s="2">
        <f>geracao_kwh!I147*lcae!$I$2</f>
        <v>825583091339.99475</v>
      </c>
      <c r="J147" s="2">
        <f>geracao_kwh!J147*lcae!$J$2</f>
        <v>0</v>
      </c>
      <c r="K147" s="2">
        <f>geracao_kwh!K147*lcae!$K$2</f>
        <v>15008953179.999989</v>
      </c>
      <c r="L147" s="2">
        <f>geracao_kwh!L147*lcae!$L$2</f>
        <v>18026744399.999996</v>
      </c>
      <c r="M147" s="2">
        <f>geracao_kwh!M147*lcae!$M$2</f>
        <v>109441659600</v>
      </c>
      <c r="N147" s="2">
        <f>geracao_kwh!N147*lcae!$N$2</f>
        <v>0</v>
      </c>
      <c r="O147" s="2">
        <f>geracao_kwh!O147*lcae!$O$2</f>
        <v>0</v>
      </c>
    </row>
    <row r="148" spans="1:15" x14ac:dyDescent="0.3">
      <c r="A148" s="6">
        <v>147</v>
      </c>
      <c r="B148" s="6">
        <v>2012</v>
      </c>
      <c r="C148" s="6">
        <v>3</v>
      </c>
      <c r="D148" s="2">
        <f>geracao_kwh!D148*lcae!$D$2</f>
        <v>940398679.99999964</v>
      </c>
      <c r="E148" s="2">
        <f>geracao_kwh!E148*lcae!$E$2</f>
        <v>562781819600.00073</v>
      </c>
      <c r="F148" s="2">
        <f>geracao_kwh!F148*lcae!$F$2</f>
        <v>2301169064.999999</v>
      </c>
      <c r="G148" s="2">
        <f>geracao_kwh!G148*lcae!$G$2</f>
        <v>0</v>
      </c>
      <c r="H148" s="2">
        <f>geracao_kwh!H148*lcae!$H$2</f>
        <v>831622914360.00037</v>
      </c>
      <c r="I148" s="2">
        <f>geracao_kwh!I148*lcae!$I$2</f>
        <v>895071261545.98914</v>
      </c>
      <c r="J148" s="2">
        <f>geracao_kwh!J148*lcae!$J$2</f>
        <v>0</v>
      </c>
      <c r="K148" s="2">
        <f>geracao_kwh!K148*lcae!$K$2</f>
        <v>6671437890.0000019</v>
      </c>
      <c r="L148" s="2">
        <f>geracao_kwh!L148*lcae!$L$2</f>
        <v>7597623600.0000019</v>
      </c>
      <c r="M148" s="2">
        <f>geracao_kwh!M148*lcae!$M$2</f>
        <v>152749354800.00021</v>
      </c>
      <c r="N148" s="2">
        <f>geracao_kwh!N148*lcae!$N$2</f>
        <v>0</v>
      </c>
      <c r="O148" s="2">
        <f>geracao_kwh!O148*lcae!$O$2</f>
        <v>0</v>
      </c>
    </row>
    <row r="149" spans="1:15" x14ac:dyDescent="0.3">
      <c r="A149" s="6">
        <v>148</v>
      </c>
      <c r="B149" s="6">
        <v>2012</v>
      </c>
      <c r="C149" s="6">
        <v>4</v>
      </c>
      <c r="D149" s="2">
        <f>geracao_kwh!D149*lcae!$D$2</f>
        <v>2540063760.0000014</v>
      </c>
      <c r="E149" s="2">
        <f>geracao_kwh!E149*lcae!$E$2</f>
        <v>508627709589.99982</v>
      </c>
      <c r="F149" s="2">
        <f>geracao_kwh!F149*lcae!$F$2</f>
        <v>2428236278.0000072</v>
      </c>
      <c r="G149" s="2">
        <f>geracao_kwh!G149*lcae!$G$2</f>
        <v>0</v>
      </c>
      <c r="H149" s="2">
        <f>geracao_kwh!H149*lcae!$H$2</f>
        <v>1446244627139.9946</v>
      </c>
      <c r="I149" s="2">
        <f>geracao_kwh!I149*lcae!$I$2</f>
        <v>775370537529.00037</v>
      </c>
      <c r="J149" s="2">
        <f>geracao_kwh!J149*lcae!$J$2</f>
        <v>0</v>
      </c>
      <c r="K149" s="2">
        <f>geracao_kwh!K149*lcae!$K$2</f>
        <v>18287949940.000008</v>
      </c>
      <c r="L149" s="2">
        <f>geracao_kwh!L149*lcae!$L$2</f>
        <v>45860480399.999969</v>
      </c>
      <c r="M149" s="2">
        <f>geracao_kwh!M149*lcae!$M$2</f>
        <v>208439397600.00006</v>
      </c>
      <c r="N149" s="2">
        <f>geracao_kwh!N149*lcae!$N$2</f>
        <v>0</v>
      </c>
      <c r="O149" s="2">
        <f>geracao_kwh!O149*lcae!$O$2</f>
        <v>0</v>
      </c>
    </row>
    <row r="150" spans="1:15" x14ac:dyDescent="0.3">
      <c r="A150" s="6">
        <v>149</v>
      </c>
      <c r="B150" s="6">
        <v>2012</v>
      </c>
      <c r="C150" s="6">
        <v>5</v>
      </c>
      <c r="D150" s="2">
        <f>geracao_kwh!D150*lcae!$D$2</f>
        <v>5938917400.0000067</v>
      </c>
      <c r="E150" s="2">
        <f>geracao_kwh!E150*lcae!$E$2</f>
        <v>532589857800.0011</v>
      </c>
      <c r="F150" s="2">
        <f>geracao_kwh!F150*lcae!$F$2</f>
        <v>2788221942.999999</v>
      </c>
      <c r="G150" s="2">
        <f>geracao_kwh!G150*lcae!$G$2</f>
        <v>0</v>
      </c>
      <c r="H150" s="2">
        <f>geracao_kwh!H150*lcae!$H$2</f>
        <v>1413033044400.0078</v>
      </c>
      <c r="I150" s="2">
        <f>geracao_kwh!I150*lcae!$I$2</f>
        <v>764055650756.99426</v>
      </c>
      <c r="J150" s="2">
        <f>geracao_kwh!J150*lcae!$J$2</f>
        <v>0</v>
      </c>
      <c r="K150" s="2">
        <f>geracao_kwh!K150*lcae!$K$2</f>
        <v>19200077389.999958</v>
      </c>
      <c r="L150" s="2">
        <f>geracao_kwh!L150*lcae!$L$2</f>
        <v>7149298800</v>
      </c>
      <c r="M150" s="2">
        <f>geracao_kwh!M150*lcae!$M$2</f>
        <v>262192946400.00021</v>
      </c>
      <c r="N150" s="2">
        <f>geracao_kwh!N150*lcae!$N$2</f>
        <v>0</v>
      </c>
      <c r="O150" s="2">
        <f>geracao_kwh!O150*lcae!$O$2</f>
        <v>0</v>
      </c>
    </row>
    <row r="151" spans="1:15" x14ac:dyDescent="0.3">
      <c r="A151" s="6">
        <v>150</v>
      </c>
      <c r="B151" s="6">
        <v>2012</v>
      </c>
      <c r="C151" s="6">
        <v>6</v>
      </c>
      <c r="D151" s="2">
        <f>geracao_kwh!D151*lcae!$D$2</f>
        <v>6695013837.1999998</v>
      </c>
      <c r="E151" s="2">
        <f>geracao_kwh!E151*lcae!$E$2</f>
        <v>461941169689.99915</v>
      </c>
      <c r="F151" s="2">
        <f>geracao_kwh!F151*lcae!$F$2</f>
        <v>2588949258.9999914</v>
      </c>
      <c r="G151" s="2">
        <f>geracao_kwh!G151*lcae!$G$2</f>
        <v>0</v>
      </c>
      <c r="H151" s="2">
        <f>geracao_kwh!H151*lcae!$H$2</f>
        <v>464323500899.99945</v>
      </c>
      <c r="I151" s="2">
        <f>geracao_kwh!I151*lcae!$I$2</f>
        <v>744325265480.99658</v>
      </c>
      <c r="J151" s="2">
        <f>geracao_kwh!J151*lcae!$J$2</f>
        <v>0</v>
      </c>
      <c r="K151" s="2">
        <f>geracao_kwh!K151*lcae!$K$2</f>
        <v>18532524659.999767</v>
      </c>
      <c r="L151" s="2">
        <f>geracao_kwh!L151*lcae!$L$2</f>
        <v>12164686800.000008</v>
      </c>
      <c r="M151" s="2">
        <f>geracao_kwh!M151*lcae!$M$2</f>
        <v>253737094800.00006</v>
      </c>
      <c r="N151" s="2">
        <f>geracao_kwh!N151*lcae!$N$2</f>
        <v>0</v>
      </c>
      <c r="O151" s="2">
        <f>geracao_kwh!O151*lcae!$O$2</f>
        <v>0</v>
      </c>
    </row>
    <row r="152" spans="1:15" x14ac:dyDescent="0.3">
      <c r="A152" s="6">
        <v>151</v>
      </c>
      <c r="B152" s="6">
        <v>2012</v>
      </c>
      <c r="C152" s="6">
        <v>7</v>
      </c>
      <c r="D152" s="2">
        <f>geracao_kwh!D152*lcae!$D$2</f>
        <v>8889960559.9999809</v>
      </c>
      <c r="E152" s="2">
        <f>geracao_kwh!E152*lcae!$E$2</f>
        <v>579009000569.99988</v>
      </c>
      <c r="F152" s="2">
        <f>geracao_kwh!F152*lcae!$F$2</f>
        <v>3610246952.0000014</v>
      </c>
      <c r="G152" s="2">
        <f>geracao_kwh!G152*lcae!$G$2</f>
        <v>0</v>
      </c>
      <c r="H152" s="2">
        <f>geracao_kwh!H152*lcae!$H$2</f>
        <v>244339323660.00003</v>
      </c>
      <c r="I152" s="2">
        <f>geracao_kwh!I152*lcae!$I$2</f>
        <v>777177225152.99194</v>
      </c>
      <c r="J152" s="2">
        <f>geracao_kwh!J152*lcae!$J$2</f>
        <v>0</v>
      </c>
      <c r="K152" s="2">
        <f>geracao_kwh!K152*lcae!$K$2</f>
        <v>19208501259.999912</v>
      </c>
      <c r="L152" s="2">
        <f>geracao_kwh!L152*lcae!$L$2</f>
        <v>15334242000.000021</v>
      </c>
      <c r="M152" s="2">
        <f>geracao_kwh!M152*lcae!$M$2</f>
        <v>205808744399.9996</v>
      </c>
      <c r="N152" s="2">
        <f>geracao_kwh!N152*lcae!$N$2</f>
        <v>0</v>
      </c>
      <c r="O152" s="2">
        <f>geracao_kwh!O152*lcae!$O$2</f>
        <v>0</v>
      </c>
    </row>
    <row r="153" spans="1:15" x14ac:dyDescent="0.3">
      <c r="A153" s="6">
        <v>152</v>
      </c>
      <c r="B153" s="6">
        <v>2012</v>
      </c>
      <c r="C153" s="6">
        <v>8</v>
      </c>
      <c r="D153" s="2">
        <f>geracao_kwh!D153*lcae!$D$2</f>
        <v>11434940420.799969</v>
      </c>
      <c r="E153" s="2">
        <f>geracao_kwh!E153*lcae!$E$2</f>
        <v>801359498939.99768</v>
      </c>
      <c r="F153" s="2">
        <f>geracao_kwh!F153*lcae!$F$2</f>
        <v>4441656843.00002</v>
      </c>
      <c r="G153" s="2">
        <f>geracao_kwh!G153*lcae!$G$2</f>
        <v>0</v>
      </c>
      <c r="H153" s="2">
        <f>geracao_kwh!H153*lcae!$H$2</f>
        <v>751719860424.00037</v>
      </c>
      <c r="I153" s="2">
        <f>geracao_kwh!I153*lcae!$I$2</f>
        <v>788885299213.20715</v>
      </c>
      <c r="J153" s="2">
        <f>geracao_kwh!J153*lcae!$J$2</f>
        <v>0</v>
      </c>
      <c r="K153" s="2">
        <f>geracao_kwh!K153*lcae!$K$2</f>
        <v>19124235519.999931</v>
      </c>
      <c r="L153" s="2">
        <f>geracao_kwh!L153*lcae!$L$2</f>
        <v>5945472120.0000019</v>
      </c>
      <c r="M153" s="2">
        <f>geracao_kwh!M153*lcae!$M$2</f>
        <v>228887022000.00021</v>
      </c>
      <c r="N153" s="2">
        <f>geracao_kwh!N153*lcae!$N$2</f>
        <v>0</v>
      </c>
      <c r="O153" s="2">
        <f>geracao_kwh!O153*lcae!$O$2</f>
        <v>0</v>
      </c>
    </row>
    <row r="154" spans="1:15" x14ac:dyDescent="0.3">
      <c r="A154" s="6">
        <v>153</v>
      </c>
      <c r="B154" s="6">
        <v>2012</v>
      </c>
      <c r="C154" s="6">
        <v>9</v>
      </c>
      <c r="D154" s="2">
        <f>geracao_kwh!D154*lcae!$D$2</f>
        <v>12113467496.000031</v>
      </c>
      <c r="E154" s="2">
        <f>geracao_kwh!E154*lcae!$E$2</f>
        <v>752636524639.9989</v>
      </c>
      <c r="F154" s="2">
        <f>geracao_kwh!F154*lcae!$F$2</f>
        <v>4606775731.9999905</v>
      </c>
      <c r="G154" s="2">
        <f>geracao_kwh!G154*lcae!$G$2</f>
        <v>0</v>
      </c>
      <c r="H154" s="2">
        <f>geracao_kwh!H154*lcae!$H$2</f>
        <v>1906499146014.0029</v>
      </c>
      <c r="I154" s="2">
        <f>geracao_kwh!I154*lcae!$I$2</f>
        <v>724011134762.99609</v>
      </c>
      <c r="J154" s="2">
        <f>geracao_kwh!J154*lcae!$J$2</f>
        <v>0</v>
      </c>
      <c r="K154" s="2">
        <f>geracao_kwh!K154*lcae!$K$2</f>
        <v>18250801790.000023</v>
      </c>
      <c r="L154" s="2">
        <f>geracao_kwh!L154*lcae!$L$2</f>
        <v>628209960.00000024</v>
      </c>
      <c r="M154" s="2">
        <f>geracao_kwh!M154*lcae!$M$2</f>
        <v>232148203559.99976</v>
      </c>
      <c r="N154" s="2">
        <f>geracao_kwh!N154*lcae!$N$2</f>
        <v>0</v>
      </c>
      <c r="O154" s="2">
        <f>geracao_kwh!O154*lcae!$O$2</f>
        <v>0</v>
      </c>
    </row>
    <row r="155" spans="1:15" x14ac:dyDescent="0.3">
      <c r="A155" s="6">
        <v>154</v>
      </c>
      <c r="B155" s="6">
        <v>2012</v>
      </c>
      <c r="C155" s="6">
        <v>10</v>
      </c>
      <c r="D155" s="2">
        <f>geracao_kwh!D155*lcae!$D$2</f>
        <v>13460321217.19998</v>
      </c>
      <c r="E155" s="2">
        <f>geracao_kwh!E155*lcae!$E$2</f>
        <v>811173957594.00049</v>
      </c>
      <c r="F155" s="2">
        <f>geracao_kwh!F155*lcae!$F$2</f>
        <v>4468670804.0000105</v>
      </c>
      <c r="G155" s="2">
        <f>geracao_kwh!G155*lcae!$G$2</f>
        <v>0</v>
      </c>
      <c r="H155" s="2">
        <f>geracao_kwh!H155*lcae!$H$2</f>
        <v>2312537232132.0049</v>
      </c>
      <c r="I155" s="2">
        <f>geracao_kwh!I155*lcae!$I$2</f>
        <v>740800858034.99194</v>
      </c>
      <c r="J155" s="2">
        <f>geracao_kwh!J155*lcae!$J$2</f>
        <v>0</v>
      </c>
      <c r="K155" s="2">
        <f>geracao_kwh!K155*lcae!$K$2</f>
        <v>19208873059.999981</v>
      </c>
      <c r="L155" s="2">
        <f>geracao_kwh!L155*lcae!$L$2</f>
        <v>377774748119.99933</v>
      </c>
      <c r="M155" s="2">
        <f>geracao_kwh!M155*lcae!$M$2</f>
        <v>416764779479.99811</v>
      </c>
      <c r="N155" s="2">
        <f>geracao_kwh!N155*lcae!$N$2</f>
        <v>0</v>
      </c>
      <c r="O155" s="2">
        <f>geracao_kwh!O155*lcae!$O$2</f>
        <v>0</v>
      </c>
    </row>
    <row r="156" spans="1:15" x14ac:dyDescent="0.3">
      <c r="A156" s="6">
        <v>155</v>
      </c>
      <c r="B156" s="6">
        <v>2012</v>
      </c>
      <c r="C156" s="6">
        <v>11</v>
      </c>
      <c r="D156" s="2">
        <f>geracao_kwh!D156*lcae!$D$2</f>
        <v>11398673051.999998</v>
      </c>
      <c r="E156" s="2">
        <f>geracao_kwh!E156*lcae!$E$2</f>
        <v>744239481985.99963</v>
      </c>
      <c r="F156" s="2">
        <f>geracao_kwh!F156*lcae!$F$2</f>
        <v>3876134730.0000277</v>
      </c>
      <c r="G156" s="2">
        <f>geracao_kwh!G156*lcae!$G$2</f>
        <v>0</v>
      </c>
      <c r="H156" s="2">
        <f>geracao_kwh!H156*lcae!$H$2</f>
        <v>2420234612459.9995</v>
      </c>
      <c r="I156" s="2">
        <f>geracao_kwh!I156*lcae!$I$2</f>
        <v>667728349532.99536</v>
      </c>
      <c r="J156" s="2">
        <f>geracao_kwh!J156*lcae!$J$2</f>
        <v>0</v>
      </c>
      <c r="K156" s="2">
        <f>geracao_kwh!K156*lcae!$K$2</f>
        <v>18612642880.000027</v>
      </c>
      <c r="L156" s="2">
        <f>geracao_kwh!L156*lcae!$L$2</f>
        <v>932639746248.00208</v>
      </c>
      <c r="M156" s="2">
        <f>geracao_kwh!M156*lcae!$M$2</f>
        <v>767940676440.0072</v>
      </c>
      <c r="N156" s="2">
        <f>geracao_kwh!N156*lcae!$N$2</f>
        <v>0</v>
      </c>
      <c r="O156" s="2">
        <f>geracao_kwh!O156*lcae!$O$2</f>
        <v>0</v>
      </c>
    </row>
    <row r="157" spans="1:15" x14ac:dyDescent="0.3">
      <c r="A157" s="6">
        <v>156</v>
      </c>
      <c r="B157" s="6">
        <v>2012</v>
      </c>
      <c r="C157" s="6">
        <v>12</v>
      </c>
      <c r="D157" s="2">
        <f>geracao_kwh!D157*lcae!$D$2</f>
        <v>7785586379.9999857</v>
      </c>
      <c r="E157" s="2">
        <f>geracao_kwh!E157*lcae!$E$2</f>
        <v>676640271306.99866</v>
      </c>
      <c r="F157" s="2">
        <f>geracao_kwh!F157*lcae!$F$2</f>
        <v>4360199726.9999847</v>
      </c>
      <c r="G157" s="2">
        <f>geracao_kwh!G157*lcae!$G$2</f>
        <v>0</v>
      </c>
      <c r="H157" s="2">
        <f>geracao_kwh!H157*lcae!$H$2</f>
        <v>2246546816604.0049</v>
      </c>
      <c r="I157" s="2">
        <f>geracao_kwh!I157*lcae!$I$2</f>
        <v>732230875529.99744</v>
      </c>
      <c r="J157" s="2">
        <f>geracao_kwh!J157*lcae!$J$2</f>
        <v>0</v>
      </c>
      <c r="K157" s="2">
        <f>geracao_kwh!K157*lcae!$K$2</f>
        <v>18080553009.999977</v>
      </c>
      <c r="L157" s="2">
        <f>geracao_kwh!L157*lcae!$L$2</f>
        <v>1080819264839.9956</v>
      </c>
      <c r="M157" s="2">
        <f>geracao_kwh!M157*lcae!$M$2</f>
        <v>707385197399.99585</v>
      </c>
      <c r="N157" s="2">
        <f>geracao_kwh!N157*lcae!$N$2</f>
        <v>0</v>
      </c>
      <c r="O157" s="2">
        <f>geracao_kwh!O157*lcae!$O$2</f>
        <v>0</v>
      </c>
    </row>
    <row r="158" spans="1:15" x14ac:dyDescent="0.3">
      <c r="A158" s="6">
        <v>157</v>
      </c>
      <c r="B158" s="6">
        <v>2013</v>
      </c>
      <c r="C158" s="6">
        <v>1</v>
      </c>
      <c r="D158" s="2">
        <f>geracao_kwh!D158*lcae!$D$2</f>
        <v>3605660916</v>
      </c>
      <c r="E158" s="2">
        <f>geracao_kwh!E158*lcae!$E$2</f>
        <v>1064563406906.9976</v>
      </c>
      <c r="F158" s="2">
        <f>geracao_kwh!F158*lcae!$F$2</f>
        <v>3848267357.9999838</v>
      </c>
      <c r="G158" s="2">
        <f>geracao_kwh!G158*lcae!$G$2</f>
        <v>0</v>
      </c>
      <c r="H158" s="2">
        <f>geracao_kwh!H158*lcae!$H$2</f>
        <v>2005982796834.0007</v>
      </c>
      <c r="I158" s="2">
        <f>geracao_kwh!I158*lcae!$I$2</f>
        <v>722886315942.00269</v>
      </c>
      <c r="J158" s="2">
        <f>geracao_kwh!J158*lcae!$J$2</f>
        <v>0</v>
      </c>
      <c r="K158" s="2">
        <f>geracao_kwh!K158*lcae!$K$2</f>
        <v>13557110970.000006</v>
      </c>
      <c r="L158" s="2">
        <f>geracao_kwh!L158*lcae!$L$2</f>
        <v>1053491164320.0006</v>
      </c>
      <c r="M158" s="2">
        <f>geracao_kwh!M158*lcae!$M$2</f>
        <v>601232273040.00342</v>
      </c>
      <c r="N158" s="2">
        <f>geracao_kwh!N158*lcae!$N$2</f>
        <v>0</v>
      </c>
      <c r="O158" s="2">
        <f>geracao_kwh!O158*lcae!$O$2</f>
        <v>0</v>
      </c>
    </row>
    <row r="159" spans="1:15" x14ac:dyDescent="0.3">
      <c r="A159" s="6">
        <v>158</v>
      </c>
      <c r="B159" s="6">
        <v>2013</v>
      </c>
      <c r="C159" s="6">
        <v>2</v>
      </c>
      <c r="D159" s="2">
        <f>geracao_kwh!D159*lcae!$D$2</f>
        <v>2799309239.999999</v>
      </c>
      <c r="E159" s="2">
        <f>geracao_kwh!E159*lcae!$E$2</f>
        <v>971280592282.00623</v>
      </c>
      <c r="F159" s="2">
        <f>geracao_kwh!F159*lcae!$F$2</f>
        <v>3879477302.9999886</v>
      </c>
      <c r="G159" s="2">
        <f>geracao_kwh!G159*lcae!$G$2</f>
        <v>0</v>
      </c>
      <c r="H159" s="2">
        <f>geracao_kwh!H159*lcae!$H$2</f>
        <v>1944948343464.0046</v>
      </c>
      <c r="I159" s="2">
        <f>geracao_kwh!I159*lcae!$I$2</f>
        <v>692794256678.99951</v>
      </c>
      <c r="J159" s="2">
        <f>geracao_kwh!J159*lcae!$J$2</f>
        <v>0</v>
      </c>
      <c r="K159" s="2">
        <f>geracao_kwh!K159*lcae!$K$2</f>
        <v>11640045430.000008</v>
      </c>
      <c r="L159" s="2">
        <f>geracao_kwh!L159*lcae!$L$2</f>
        <v>841177412879.99841</v>
      </c>
      <c r="M159" s="2">
        <f>geracao_kwh!M159*lcae!$M$2</f>
        <v>435455004600.00061</v>
      </c>
      <c r="N159" s="2">
        <f>geracao_kwh!N159*lcae!$N$2</f>
        <v>0</v>
      </c>
      <c r="O159" s="2">
        <f>geracao_kwh!O159*lcae!$O$2</f>
        <v>0</v>
      </c>
    </row>
    <row r="160" spans="1:15" x14ac:dyDescent="0.3">
      <c r="A160" s="6">
        <v>159</v>
      </c>
      <c r="B160" s="6">
        <v>2013</v>
      </c>
      <c r="C160" s="6">
        <v>3</v>
      </c>
      <c r="D160" s="2">
        <f>geracao_kwh!D160*lcae!$D$2</f>
        <v>4183724479.9999924</v>
      </c>
      <c r="E160" s="2">
        <f>geracao_kwh!E160*lcae!$E$2</f>
        <v>989115246118.99609</v>
      </c>
      <c r="F160" s="2">
        <f>geracao_kwh!F160*lcae!$F$2</f>
        <v>3929676646.9999862</v>
      </c>
      <c r="G160" s="2">
        <f>geracao_kwh!G160*lcae!$G$2</f>
        <v>0</v>
      </c>
      <c r="H160" s="2">
        <f>geracao_kwh!H160*lcae!$H$2</f>
        <v>1879427547306.009</v>
      </c>
      <c r="I160" s="2">
        <f>geracao_kwh!I160*lcae!$I$2</f>
        <v>765098632410.0022</v>
      </c>
      <c r="J160" s="2">
        <f>geracao_kwh!J160*lcae!$J$2</f>
        <v>0</v>
      </c>
      <c r="K160" s="2">
        <f>geracao_kwh!K160*lcae!$K$2</f>
        <v>16739093539.999996</v>
      </c>
      <c r="L160" s="2">
        <f>geracao_kwh!L160*lcae!$L$2</f>
        <v>760743715199.98889</v>
      </c>
      <c r="M160" s="2">
        <f>geracao_kwh!M160*lcae!$M$2</f>
        <v>436635721200.00085</v>
      </c>
      <c r="N160" s="2">
        <f>geracao_kwh!N160*lcae!$N$2</f>
        <v>0</v>
      </c>
      <c r="O160" s="2">
        <f>geracao_kwh!O160*lcae!$O$2</f>
        <v>0</v>
      </c>
    </row>
    <row r="161" spans="1:15" x14ac:dyDescent="0.3">
      <c r="A161" s="6">
        <v>160</v>
      </c>
      <c r="B161" s="6">
        <v>2013</v>
      </c>
      <c r="C161" s="6">
        <v>4</v>
      </c>
      <c r="D161" s="2">
        <f>geracao_kwh!D161*lcae!$D$2</f>
        <v>9328115160.0000076</v>
      </c>
      <c r="E161" s="2">
        <f>geracao_kwh!E161*lcae!$E$2</f>
        <v>949235201915.00146</v>
      </c>
      <c r="F161" s="2">
        <f>geracao_kwh!F161*lcae!$F$2</f>
        <v>2990844311</v>
      </c>
      <c r="G161" s="2">
        <f>geracao_kwh!G161*lcae!$G$2</f>
        <v>0</v>
      </c>
      <c r="H161" s="2">
        <f>geracao_kwh!H161*lcae!$H$2</f>
        <v>1687385440458.0027</v>
      </c>
      <c r="I161" s="2">
        <f>geracao_kwh!I161*lcae!$I$2</f>
        <v>725433844652.99438</v>
      </c>
      <c r="J161" s="2">
        <f>geracao_kwh!J161*lcae!$J$2</f>
        <v>0</v>
      </c>
      <c r="K161" s="2">
        <f>geracao_kwh!K161*lcae!$K$2</f>
        <v>15284257560.000088</v>
      </c>
      <c r="L161" s="2">
        <f>geracao_kwh!L161*lcae!$L$2</f>
        <v>679111202279.99963</v>
      </c>
      <c r="M161" s="2">
        <f>geracao_kwh!M161*lcae!$M$2</f>
        <v>401988019440.00067</v>
      </c>
      <c r="N161" s="2">
        <f>geracao_kwh!N161*lcae!$N$2</f>
        <v>0</v>
      </c>
      <c r="O161" s="2">
        <f>geracao_kwh!O161*lcae!$O$2</f>
        <v>0</v>
      </c>
    </row>
    <row r="162" spans="1:15" x14ac:dyDescent="0.3">
      <c r="A162" s="6">
        <v>161</v>
      </c>
      <c r="B162" s="6">
        <v>2013</v>
      </c>
      <c r="C162" s="6">
        <v>5</v>
      </c>
      <c r="D162" s="2">
        <f>geracao_kwh!D162*lcae!$D$2</f>
        <v>16776094140.000006</v>
      </c>
      <c r="E162" s="2">
        <f>geracao_kwh!E162*lcae!$E$2</f>
        <v>1112069704746.0002</v>
      </c>
      <c r="F162" s="2">
        <f>geracao_kwh!F162*lcae!$F$2</f>
        <v>3154555365.0000033</v>
      </c>
      <c r="G162" s="2">
        <f>geracao_kwh!G162*lcae!$G$2</f>
        <v>0</v>
      </c>
      <c r="H162" s="2">
        <f>geracao_kwh!H162*lcae!$H$2</f>
        <v>2049028994412.0078</v>
      </c>
      <c r="I162" s="2">
        <f>geracao_kwh!I162*lcae!$I$2</f>
        <v>701122837505.9989</v>
      </c>
      <c r="J162" s="2">
        <f>geracao_kwh!J162*lcae!$J$2</f>
        <v>0</v>
      </c>
      <c r="K162" s="2">
        <f>geracao_kwh!K162*lcae!$K$2</f>
        <v>7067425559.9999981</v>
      </c>
      <c r="L162" s="2">
        <f>geracao_kwh!L162*lcae!$L$2</f>
        <v>901208361479.9989</v>
      </c>
      <c r="M162" s="2">
        <f>geracao_kwh!M162*lcae!$M$2</f>
        <v>479743289844.00092</v>
      </c>
      <c r="N162" s="2">
        <f>geracao_kwh!N162*lcae!$N$2</f>
        <v>0</v>
      </c>
      <c r="O162" s="2">
        <f>geracao_kwh!O162*lcae!$O$2</f>
        <v>0</v>
      </c>
    </row>
    <row r="163" spans="1:15" x14ac:dyDescent="0.3">
      <c r="A163" s="6">
        <v>162</v>
      </c>
      <c r="B163" s="6">
        <v>2013</v>
      </c>
      <c r="C163" s="6">
        <v>6</v>
      </c>
      <c r="D163" s="2">
        <f>geracao_kwh!D163*lcae!$D$2</f>
        <v>16824386799.999994</v>
      </c>
      <c r="E163" s="2">
        <f>geracao_kwh!E163*lcae!$E$2</f>
        <v>1252317030964.999</v>
      </c>
      <c r="F163" s="2">
        <f>geracao_kwh!F163*lcae!$F$2</f>
        <v>3247013808.9999948</v>
      </c>
      <c r="G163" s="2">
        <f>geracao_kwh!G163*lcae!$G$2</f>
        <v>0</v>
      </c>
      <c r="H163" s="2">
        <f>geracao_kwh!H163*lcae!$H$2</f>
        <v>1806017029578.0078</v>
      </c>
      <c r="I163" s="2">
        <f>geracao_kwh!I163*lcae!$I$2</f>
        <v>664549078283.99524</v>
      </c>
      <c r="J163" s="2">
        <f>geracao_kwh!J163*lcae!$J$2</f>
        <v>0</v>
      </c>
      <c r="K163" s="2">
        <f>geracao_kwh!K163*lcae!$K$2</f>
        <v>17600589369.999992</v>
      </c>
      <c r="L163" s="2">
        <f>geracao_kwh!L163*lcae!$L$2</f>
        <v>826480105920.00293</v>
      </c>
      <c r="M163" s="2">
        <f>geracao_kwh!M163*lcae!$M$2</f>
        <v>320718634320.00012</v>
      </c>
      <c r="N163" s="2">
        <f>geracao_kwh!N163*lcae!$N$2</f>
        <v>0</v>
      </c>
      <c r="O163" s="2">
        <f>geracao_kwh!O163*lcae!$O$2</f>
        <v>0</v>
      </c>
    </row>
    <row r="164" spans="1:15" x14ac:dyDescent="0.3">
      <c r="A164" s="6">
        <v>163</v>
      </c>
      <c r="B164" s="6">
        <v>2013</v>
      </c>
      <c r="C164" s="6">
        <v>7</v>
      </c>
      <c r="D164" s="2">
        <f>geracao_kwh!D164*lcae!$D$2</f>
        <v>19446253839.999981</v>
      </c>
      <c r="E164" s="2">
        <f>geracao_kwh!E164*lcae!$E$2</f>
        <v>1309115726919.0012</v>
      </c>
      <c r="F164" s="2">
        <f>geracao_kwh!F164*lcae!$F$2</f>
        <v>3862388582.0000148</v>
      </c>
      <c r="G164" s="2">
        <f>geracao_kwh!G164*lcae!$G$2</f>
        <v>0</v>
      </c>
      <c r="H164" s="2">
        <f>geracao_kwh!H164*lcae!$H$2</f>
        <v>1775092624073.998</v>
      </c>
      <c r="I164" s="2">
        <f>geracao_kwh!I164*lcae!$I$2</f>
        <v>723664794740.97986</v>
      </c>
      <c r="J164" s="2">
        <f>geracao_kwh!J164*lcae!$J$2</f>
        <v>0</v>
      </c>
      <c r="K164" s="2">
        <f>geracao_kwh!K164*lcae!$K$2</f>
        <v>17040334219.999981</v>
      </c>
      <c r="L164" s="2">
        <f>geracao_kwh!L164*lcae!$L$2</f>
        <v>143010587159.99985</v>
      </c>
      <c r="M164" s="2">
        <f>geracao_kwh!M164*lcae!$M$2</f>
        <v>203275378320.00003</v>
      </c>
      <c r="N164" s="2">
        <f>geracao_kwh!N164*lcae!$N$2</f>
        <v>0</v>
      </c>
      <c r="O164" s="2">
        <f>geracao_kwh!O164*lcae!$O$2</f>
        <v>0</v>
      </c>
    </row>
    <row r="165" spans="1:15" x14ac:dyDescent="0.3">
      <c r="A165" s="6">
        <v>164</v>
      </c>
      <c r="B165" s="6">
        <v>2013</v>
      </c>
      <c r="C165" s="6">
        <v>8</v>
      </c>
      <c r="D165" s="2">
        <f>geracao_kwh!D165*lcae!$D$2</f>
        <v>25070602783.200035</v>
      </c>
      <c r="E165" s="2">
        <f>geracao_kwh!E165*lcae!$E$2</f>
        <v>1316774597137.9998</v>
      </c>
      <c r="F165" s="2">
        <f>geracao_kwh!F165*lcae!$F$2</f>
        <v>5328668280.0000191</v>
      </c>
      <c r="G165" s="2">
        <f>geracao_kwh!G165*lcae!$G$2</f>
        <v>0</v>
      </c>
      <c r="H165" s="2">
        <f>geracao_kwh!H165*lcae!$H$2</f>
        <v>1978114362246.0012</v>
      </c>
      <c r="I165" s="2">
        <f>geracao_kwh!I165*lcae!$I$2</f>
        <v>736133431324.19702</v>
      </c>
      <c r="J165" s="2">
        <f>geracao_kwh!J165*lcae!$J$2</f>
        <v>0</v>
      </c>
      <c r="K165" s="2">
        <f>geracao_kwh!K165*lcae!$K$2</f>
        <v>17502871490.000034</v>
      </c>
      <c r="L165" s="2">
        <f>geracao_kwh!L165*lcae!$L$2</f>
        <v>19610228400</v>
      </c>
      <c r="M165" s="2">
        <f>geracao_kwh!M165*lcae!$M$2</f>
        <v>200479062000.00015</v>
      </c>
      <c r="N165" s="2">
        <f>geracao_kwh!N165*lcae!$N$2</f>
        <v>0</v>
      </c>
      <c r="O165" s="2">
        <f>geracao_kwh!O165*lcae!$O$2</f>
        <v>0</v>
      </c>
    </row>
    <row r="166" spans="1:15" x14ac:dyDescent="0.3">
      <c r="A166" s="6">
        <v>165</v>
      </c>
      <c r="B166" s="6">
        <v>2013</v>
      </c>
      <c r="C166" s="6">
        <v>9</v>
      </c>
      <c r="D166" s="2">
        <f>geracao_kwh!D166*lcae!$D$2</f>
        <v>25089222667.599998</v>
      </c>
      <c r="E166" s="2">
        <f>geracao_kwh!E166*lcae!$E$2</f>
        <v>1242662742320.9976</v>
      </c>
      <c r="F166" s="2">
        <f>geracao_kwh!F166*lcae!$F$2</f>
        <v>5781045218.0000238</v>
      </c>
      <c r="G166" s="2">
        <f>geracao_kwh!G166*lcae!$G$2</f>
        <v>0</v>
      </c>
      <c r="H166" s="2">
        <f>geracao_kwh!H166*lcae!$H$2</f>
        <v>1772699869169.998</v>
      </c>
      <c r="I166" s="2">
        <f>geracao_kwh!I166*lcae!$I$2</f>
        <v>721711148634.00659</v>
      </c>
      <c r="J166" s="2">
        <f>geracao_kwh!J166*lcae!$J$2</f>
        <v>0</v>
      </c>
      <c r="K166" s="2">
        <f>geracao_kwh!K166*lcae!$K$2</f>
        <v>17638760750.000011</v>
      </c>
      <c r="L166" s="2">
        <f>geracao_kwh!L166*lcae!$L$2</f>
        <v>363477180360</v>
      </c>
      <c r="M166" s="2">
        <f>geracao_kwh!M166*lcae!$M$2</f>
        <v>193885156920.00015</v>
      </c>
      <c r="N166" s="2">
        <f>geracao_kwh!N166*lcae!$N$2</f>
        <v>0</v>
      </c>
      <c r="O166" s="2">
        <f>geracao_kwh!O166*lcae!$O$2</f>
        <v>0</v>
      </c>
    </row>
    <row r="167" spans="1:15" x14ac:dyDescent="0.3">
      <c r="A167" s="6">
        <v>166</v>
      </c>
      <c r="B167" s="6">
        <v>2013</v>
      </c>
      <c r="C167" s="6">
        <v>10</v>
      </c>
      <c r="D167" s="2">
        <f>geracao_kwh!D167*lcae!$D$2</f>
        <v>26242086400.399979</v>
      </c>
      <c r="E167" s="2">
        <f>geracao_kwh!E167*lcae!$E$2</f>
        <v>1272061150360.0017</v>
      </c>
      <c r="F167" s="2">
        <f>geracao_kwh!F167*lcae!$F$2</f>
        <v>6399942106.9999647</v>
      </c>
      <c r="G167" s="2">
        <f>geracao_kwh!G167*lcae!$G$2</f>
        <v>0</v>
      </c>
      <c r="H167" s="2">
        <f>geracao_kwh!H167*lcae!$H$2</f>
        <v>1712631464001.0125</v>
      </c>
      <c r="I167" s="2">
        <f>geracao_kwh!I167*lcae!$I$2</f>
        <v>759750786438.01196</v>
      </c>
      <c r="J167" s="2">
        <f>geracao_kwh!J167*lcae!$J$2</f>
        <v>0</v>
      </c>
      <c r="K167" s="2">
        <f>geracao_kwh!K167*lcae!$K$2</f>
        <v>19030969229.999977</v>
      </c>
      <c r="L167" s="2">
        <f>geracao_kwh!L167*lcae!$L$2</f>
        <v>562282875840.00073</v>
      </c>
      <c r="M167" s="2">
        <f>geracao_kwh!M167*lcae!$M$2</f>
        <v>249945005520.00015</v>
      </c>
      <c r="N167" s="2">
        <f>geracao_kwh!N167*lcae!$N$2</f>
        <v>0</v>
      </c>
      <c r="O167" s="2">
        <f>geracao_kwh!O167*lcae!$O$2</f>
        <v>0</v>
      </c>
    </row>
    <row r="168" spans="1:15" x14ac:dyDescent="0.3">
      <c r="A168" s="6">
        <v>167</v>
      </c>
      <c r="B168" s="6">
        <v>2013</v>
      </c>
      <c r="C168" s="6">
        <v>11</v>
      </c>
      <c r="D168" s="2">
        <f>geracao_kwh!D168*lcae!$D$2</f>
        <v>23253511995.999985</v>
      </c>
      <c r="E168" s="2">
        <f>geracao_kwh!E168*lcae!$E$2</f>
        <v>1411894766282.0051</v>
      </c>
      <c r="F168" s="2">
        <f>geracao_kwh!F168*lcae!$F$2</f>
        <v>6473676118.0000343</v>
      </c>
      <c r="G168" s="2">
        <f>geracao_kwh!G168*lcae!$G$2</f>
        <v>0</v>
      </c>
      <c r="H168" s="2">
        <f>geracao_kwh!H168*lcae!$H$2</f>
        <v>1802867915790.0059</v>
      </c>
      <c r="I168" s="2">
        <f>geracao_kwh!I168*lcae!$I$2</f>
        <v>727089736421.96045</v>
      </c>
      <c r="J168" s="2">
        <f>geracao_kwh!J168*lcae!$J$2</f>
        <v>0</v>
      </c>
      <c r="K168" s="2">
        <f>geracao_kwh!K168*lcae!$K$2</f>
        <v>18604666079.999985</v>
      </c>
      <c r="L168" s="2">
        <f>geracao_kwh!L168*lcae!$L$2</f>
        <v>679865185439.99829</v>
      </c>
      <c r="M168" s="2">
        <f>geracao_kwh!M168*lcae!$M$2</f>
        <v>244722121559.99951</v>
      </c>
      <c r="N168" s="2">
        <f>geracao_kwh!N168*lcae!$N$2</f>
        <v>0</v>
      </c>
      <c r="O168" s="2">
        <f>geracao_kwh!O168*lcae!$O$2</f>
        <v>0</v>
      </c>
    </row>
    <row r="169" spans="1:15" x14ac:dyDescent="0.3">
      <c r="A169" s="6">
        <v>168</v>
      </c>
      <c r="B169" s="6">
        <v>2013</v>
      </c>
      <c r="C169" s="6">
        <v>12</v>
      </c>
      <c r="D169" s="2">
        <f>geracao_kwh!D169*lcae!$D$2</f>
        <v>16805410856.00001</v>
      </c>
      <c r="E169" s="2">
        <f>geracao_kwh!E169*lcae!$E$2</f>
        <v>1221345264138.9988</v>
      </c>
      <c r="F169" s="2">
        <f>geracao_kwh!F169*lcae!$F$2</f>
        <v>5278388452.9999962</v>
      </c>
      <c r="G169" s="2">
        <f>geracao_kwh!G169*lcae!$G$2</f>
        <v>0</v>
      </c>
      <c r="H169" s="2">
        <f>geracao_kwh!H169*lcae!$H$2</f>
        <v>1757466334958.397</v>
      </c>
      <c r="I169" s="2">
        <f>geracao_kwh!I169*lcae!$I$2</f>
        <v>748335891156.00037</v>
      </c>
      <c r="J169" s="2">
        <f>geracao_kwh!J169*lcae!$J$2</f>
        <v>0</v>
      </c>
      <c r="K169" s="2">
        <f>geracao_kwh!K169*lcae!$K$2</f>
        <v>17806644439.999992</v>
      </c>
      <c r="L169" s="2">
        <f>geracao_kwh!L169*lcae!$L$2</f>
        <v>471471460320.00067</v>
      </c>
      <c r="M169" s="2">
        <f>geracao_kwh!M169*lcae!$M$2</f>
        <v>271020854999.9989</v>
      </c>
      <c r="N169" s="2">
        <f>geracao_kwh!N169*lcae!$N$2</f>
        <v>0</v>
      </c>
      <c r="O169" s="2">
        <f>geracao_kwh!O169*lcae!$O$2</f>
        <v>0</v>
      </c>
    </row>
    <row r="170" spans="1:15" x14ac:dyDescent="0.3">
      <c r="A170" s="6">
        <v>169</v>
      </c>
      <c r="B170" s="6">
        <v>2014</v>
      </c>
      <c r="C170" s="6">
        <v>1</v>
      </c>
      <c r="D170" s="2">
        <f>geracao_kwh!D170*lcae!$D$2</f>
        <v>7563549042.4000006</v>
      </c>
      <c r="E170" s="2">
        <f>geracao_kwh!E170*lcae!$E$2</f>
        <v>1389789756355.0054</v>
      </c>
      <c r="F170" s="2">
        <f>geracao_kwh!F170*lcae!$F$2</f>
        <v>6085482392.1060104</v>
      </c>
      <c r="G170" s="2">
        <f>geracao_kwh!G170*lcae!$G$2</f>
        <v>0</v>
      </c>
      <c r="H170" s="2">
        <f>geracao_kwh!H170*lcae!$H$2</f>
        <v>1913142206579.4185</v>
      </c>
      <c r="I170" s="2">
        <f>geracao_kwh!I170*lcae!$I$2</f>
        <v>828535545348.00195</v>
      </c>
      <c r="J170" s="2">
        <f>geracao_kwh!J170*lcae!$J$2</f>
        <v>0</v>
      </c>
      <c r="K170" s="2">
        <f>geracao_kwh!K170*lcae!$K$2</f>
        <v>19163429194.000008</v>
      </c>
      <c r="L170" s="2">
        <f>geracao_kwh!L170*lcae!$L$2</f>
        <v>846869518319.9978</v>
      </c>
      <c r="M170" s="2">
        <f>geracao_kwh!M170*lcae!$M$2</f>
        <v>347584781711.99915</v>
      </c>
      <c r="N170" s="2">
        <f>geracao_kwh!N170*lcae!$N$2</f>
        <v>0</v>
      </c>
      <c r="O170" s="2">
        <f>geracao_kwh!O170*lcae!$O$2</f>
        <v>0</v>
      </c>
    </row>
    <row r="171" spans="1:15" x14ac:dyDescent="0.3">
      <c r="A171" s="6">
        <v>170</v>
      </c>
      <c r="B171" s="6">
        <v>2014</v>
      </c>
      <c r="C171" s="6">
        <v>2</v>
      </c>
      <c r="D171" s="2">
        <f>geracao_kwh!D171*lcae!$D$2</f>
        <v>7097696772.4000053</v>
      </c>
      <c r="E171" s="2">
        <f>geracao_kwh!E171*lcae!$E$2</f>
        <v>1364715872419.9021</v>
      </c>
      <c r="F171" s="2">
        <f>geracao_kwh!F171*lcae!$F$2</f>
        <v>5556570339.8400402</v>
      </c>
      <c r="G171" s="2">
        <f>geracao_kwh!G171*lcae!$G$2</f>
        <v>0</v>
      </c>
      <c r="H171" s="2">
        <f>geracao_kwh!H171*lcae!$H$2</f>
        <v>2130042441367.8093</v>
      </c>
      <c r="I171" s="2">
        <f>geracao_kwh!I171*lcae!$I$2</f>
        <v>711108644756.99634</v>
      </c>
      <c r="J171" s="2">
        <f>geracao_kwh!J171*lcae!$J$2</f>
        <v>0</v>
      </c>
      <c r="K171" s="2">
        <f>geracao_kwh!K171*lcae!$K$2</f>
        <v>16712669064.000021</v>
      </c>
      <c r="L171" s="2">
        <f>geracao_kwh!L171*lcae!$L$2</f>
        <v>1009903924680.0004</v>
      </c>
      <c r="M171" s="2">
        <f>geracao_kwh!M171*lcae!$M$2</f>
        <v>523858223615.99847</v>
      </c>
      <c r="N171" s="2">
        <f>geracao_kwh!N171*lcae!$N$2</f>
        <v>0</v>
      </c>
      <c r="O171" s="2">
        <f>geracao_kwh!O171*lcae!$O$2</f>
        <v>0</v>
      </c>
    </row>
    <row r="172" spans="1:15" x14ac:dyDescent="0.3">
      <c r="A172" s="6">
        <v>171</v>
      </c>
      <c r="B172" s="6">
        <v>2014</v>
      </c>
      <c r="C172" s="6">
        <v>3</v>
      </c>
      <c r="D172" s="2">
        <f>geracao_kwh!D172*lcae!$D$2</f>
        <v>10019307511.200039</v>
      </c>
      <c r="E172" s="2">
        <f>geracao_kwh!E172*lcae!$E$2</f>
        <v>1694694205404.1965</v>
      </c>
      <c r="F172" s="2">
        <f>geracao_kwh!F172*lcae!$F$2</f>
        <v>5810619447.7935743</v>
      </c>
      <c r="G172" s="2">
        <f>geracao_kwh!G172*lcae!$G$2</f>
        <v>0</v>
      </c>
      <c r="H172" s="2">
        <f>geracao_kwh!H172*lcae!$H$2</f>
        <v>2608773744011.3843</v>
      </c>
      <c r="I172" s="2">
        <f>geracao_kwh!I172*lcae!$I$2</f>
        <v>748282578812.98547</v>
      </c>
      <c r="J172" s="2">
        <f>geracao_kwh!J172*lcae!$J$2</f>
        <v>0</v>
      </c>
      <c r="K172" s="2">
        <f>geracao_kwh!K172*lcae!$K$2</f>
        <v>18477401436.000019</v>
      </c>
      <c r="L172" s="2">
        <f>geracao_kwh!L172*lcae!$L$2</f>
        <v>1049911111200.0052</v>
      </c>
      <c r="M172" s="2">
        <f>geracao_kwh!M172*lcae!$M$2</f>
        <v>493602992399.99872</v>
      </c>
      <c r="N172" s="2">
        <f>geracao_kwh!N172*lcae!$N$2</f>
        <v>0</v>
      </c>
      <c r="O172" s="2">
        <f>geracao_kwh!O172*lcae!$O$2</f>
        <v>0</v>
      </c>
    </row>
    <row r="173" spans="1:15" x14ac:dyDescent="0.3">
      <c r="A173" s="6">
        <v>172</v>
      </c>
      <c r="B173" s="6">
        <v>2014</v>
      </c>
      <c r="C173" s="6">
        <v>4</v>
      </c>
      <c r="D173" s="2">
        <f>geracao_kwh!D173*lcae!$D$2</f>
        <v>15565670993.600006</v>
      </c>
      <c r="E173" s="2">
        <f>geracao_kwh!E173*lcae!$E$2</f>
        <v>1486784995696.001</v>
      </c>
      <c r="F173" s="2">
        <f>geracao_kwh!F173*lcae!$F$2</f>
        <v>5367410234.3236656</v>
      </c>
      <c r="G173" s="2">
        <f>geracao_kwh!G173*lcae!$G$2</f>
        <v>0</v>
      </c>
      <c r="H173" s="2">
        <f>geracao_kwh!H173*lcae!$H$2</f>
        <v>2356576404497.9941</v>
      </c>
      <c r="I173" s="2">
        <f>geracao_kwh!I173*lcae!$I$2</f>
        <v>702205122905.99792</v>
      </c>
      <c r="J173" s="2">
        <f>geracao_kwh!J173*lcae!$J$2</f>
        <v>0</v>
      </c>
      <c r="K173" s="2">
        <f>geracao_kwh!K173*lcae!$K$2</f>
        <v>12768433860.000002</v>
      </c>
      <c r="L173" s="2">
        <f>geracao_kwh!L173*lcae!$L$2</f>
        <v>1012773911520.0052</v>
      </c>
      <c r="M173" s="2">
        <f>geracao_kwh!M173*lcae!$M$2</f>
        <v>532900288200.00031</v>
      </c>
      <c r="N173" s="2">
        <f>geracao_kwh!N173*lcae!$N$2</f>
        <v>0</v>
      </c>
      <c r="O173" s="2">
        <f>geracao_kwh!O173*lcae!$O$2</f>
        <v>0</v>
      </c>
    </row>
    <row r="174" spans="1:15" x14ac:dyDescent="0.3">
      <c r="A174" s="6">
        <v>173</v>
      </c>
      <c r="B174" s="6">
        <v>2014</v>
      </c>
      <c r="C174" s="6">
        <v>5</v>
      </c>
      <c r="D174" s="2">
        <f>geracao_kwh!D174*lcae!$D$2</f>
        <v>25058134308.596981</v>
      </c>
      <c r="E174" s="2">
        <f>geracao_kwh!E174*lcae!$E$2</f>
        <v>1504620523906.5022</v>
      </c>
      <c r="F174" s="2">
        <f>geracao_kwh!F174*lcae!$F$2</f>
        <v>5512584820.0976086</v>
      </c>
      <c r="G174" s="2">
        <f>geracao_kwh!G174*lcae!$G$2</f>
        <v>0</v>
      </c>
      <c r="H174" s="2">
        <f>geracao_kwh!H174*lcae!$H$2</f>
        <v>3164007367787.3926</v>
      </c>
      <c r="I174" s="2">
        <f>geracao_kwh!I174*lcae!$I$2</f>
        <v>672289648786.35034</v>
      </c>
      <c r="J174" s="2">
        <f>geracao_kwh!J174*lcae!$J$2</f>
        <v>0</v>
      </c>
      <c r="K174" s="2">
        <f>geracao_kwh!K174*lcae!$K$2</f>
        <v>18169617222.900017</v>
      </c>
      <c r="L174" s="2">
        <f>geracao_kwh!L174*lcae!$L$2</f>
        <v>943721298995.99829</v>
      </c>
      <c r="M174" s="2">
        <f>geracao_kwh!M174*lcae!$M$2</f>
        <v>581246091206.66394</v>
      </c>
      <c r="N174" s="2">
        <f>geracao_kwh!N174*lcae!$N$2</f>
        <v>0</v>
      </c>
      <c r="O174" s="2">
        <f>geracao_kwh!O174*lcae!$O$2</f>
        <v>0</v>
      </c>
    </row>
    <row r="175" spans="1:15" x14ac:dyDescent="0.3">
      <c r="A175" s="6">
        <v>174</v>
      </c>
      <c r="B175" s="6">
        <v>2014</v>
      </c>
      <c r="C175" s="6">
        <v>6</v>
      </c>
      <c r="D175" s="2">
        <f>geracao_kwh!D175*lcae!$D$2</f>
        <v>27388302492.998749</v>
      </c>
      <c r="E175" s="2">
        <f>geracao_kwh!E175*lcae!$E$2</f>
        <v>1428326094495.3027</v>
      </c>
      <c r="F175" s="2">
        <f>geracao_kwh!F175*lcae!$F$2</f>
        <v>9448400296.7107067</v>
      </c>
      <c r="G175" s="2">
        <f>geracao_kwh!G175*lcae!$G$2</f>
        <v>0</v>
      </c>
      <c r="H175" s="2">
        <f>geracao_kwh!H175*lcae!$H$2</f>
        <v>2818690131681.0142</v>
      </c>
      <c r="I175" s="2">
        <f>geracao_kwh!I175*lcae!$I$2</f>
        <v>629207019813.17834</v>
      </c>
      <c r="J175" s="2">
        <f>geracao_kwh!J175*lcae!$J$2</f>
        <v>0</v>
      </c>
      <c r="K175" s="2">
        <f>geracao_kwh!K175*lcae!$K$2</f>
        <v>18087616842.100121</v>
      </c>
      <c r="L175" s="2">
        <f>geracao_kwh!L175*lcae!$L$2</f>
        <v>786394591836.00024</v>
      </c>
      <c r="M175" s="2">
        <f>geracao_kwh!M175*lcae!$M$2</f>
        <v>477958583526.66614</v>
      </c>
      <c r="N175" s="2">
        <f>geracao_kwh!N175*lcae!$N$2</f>
        <v>0</v>
      </c>
      <c r="O175" s="2">
        <f>geracao_kwh!O175*lcae!$O$2</f>
        <v>0</v>
      </c>
    </row>
    <row r="176" spans="1:15" x14ac:dyDescent="0.3">
      <c r="A176" s="6">
        <v>175</v>
      </c>
      <c r="B176" s="6">
        <v>2014</v>
      </c>
      <c r="C176" s="6">
        <v>7</v>
      </c>
      <c r="D176" s="2">
        <f>geracao_kwh!D176*lcae!$D$2</f>
        <v>23681599401.200062</v>
      </c>
      <c r="E176" s="2">
        <f>geracao_kwh!E176*lcae!$E$2</f>
        <v>1354916790327.1016</v>
      </c>
      <c r="F176" s="2">
        <f>geracao_kwh!F176*lcae!$F$2</f>
        <v>12932708575.320173</v>
      </c>
      <c r="G176" s="2">
        <f>geracao_kwh!G176*lcae!$G$2</f>
        <v>0</v>
      </c>
      <c r="H176" s="2">
        <f>geracao_kwh!H176*lcae!$H$2</f>
        <v>3075601515965.9771</v>
      </c>
      <c r="I176" s="2">
        <f>geracao_kwh!I176*lcae!$I$2</f>
        <v>652358679104.98743</v>
      </c>
      <c r="J176" s="2">
        <f>geracao_kwh!J176*lcae!$J$2</f>
        <v>0</v>
      </c>
      <c r="K176" s="2">
        <f>geracao_kwh!K176*lcae!$K$2</f>
        <v>12049214397.999996</v>
      </c>
      <c r="L176" s="2">
        <f>geracao_kwh!L176*lcae!$L$2</f>
        <v>960846782279.99976</v>
      </c>
      <c r="M176" s="2">
        <f>geracao_kwh!M176*lcae!$M$2</f>
        <v>540369530400.00171</v>
      </c>
      <c r="N176" s="2">
        <f>geracao_kwh!N176*lcae!$N$2</f>
        <v>0</v>
      </c>
      <c r="O176" s="2">
        <f>geracao_kwh!O176*lcae!$O$2</f>
        <v>0</v>
      </c>
    </row>
    <row r="177" spans="1:15" x14ac:dyDescent="0.3">
      <c r="A177" s="6">
        <v>176</v>
      </c>
      <c r="B177" s="6">
        <v>2014</v>
      </c>
      <c r="C177" s="6">
        <v>8</v>
      </c>
      <c r="D177" s="2">
        <f>geracao_kwh!D177*lcae!$D$2</f>
        <v>32870035536.000061</v>
      </c>
      <c r="E177" s="2">
        <f>geracao_kwh!E177*lcae!$E$2</f>
        <v>1412734682559.1965</v>
      </c>
      <c r="F177" s="2">
        <f>geracao_kwh!F177*lcae!$F$2</f>
        <v>15291703387.134457</v>
      </c>
      <c r="G177" s="2">
        <f>geracao_kwh!G177*lcae!$G$2</f>
        <v>0</v>
      </c>
      <c r="H177" s="2">
        <f>geracao_kwh!H177*lcae!$H$2</f>
        <v>3221291149253.9854</v>
      </c>
      <c r="I177" s="2">
        <f>geracao_kwh!I177*lcae!$I$2</f>
        <v>634113188225.99304</v>
      </c>
      <c r="J177" s="2">
        <f>geracao_kwh!J177*lcae!$J$2</f>
        <v>0</v>
      </c>
      <c r="K177" s="2">
        <f>geracao_kwh!K177*lcae!$K$2</f>
        <v>8199228739.0000105</v>
      </c>
      <c r="L177" s="2">
        <f>geracao_kwh!L177*lcae!$L$2</f>
        <v>1438445513400.0071</v>
      </c>
      <c r="M177" s="2">
        <f>geracao_kwh!M177*lcae!$M$2</f>
        <v>639271767959.99634</v>
      </c>
      <c r="N177" s="2">
        <f>geracao_kwh!N177*lcae!$N$2</f>
        <v>0</v>
      </c>
      <c r="O177" s="2">
        <f>geracao_kwh!O177*lcae!$O$2</f>
        <v>0</v>
      </c>
    </row>
    <row r="178" spans="1:15" x14ac:dyDescent="0.3">
      <c r="A178" s="6">
        <v>177</v>
      </c>
      <c r="B178" s="6">
        <v>2014</v>
      </c>
      <c r="C178" s="6">
        <v>9</v>
      </c>
      <c r="D178" s="2">
        <f>geracao_kwh!D178*lcae!$D$2</f>
        <v>27973557872.000088</v>
      </c>
      <c r="E178" s="2">
        <f>geracao_kwh!E178*lcae!$E$2</f>
        <v>1253960843535.3997</v>
      </c>
      <c r="F178" s="2">
        <f>geracao_kwh!F178*lcae!$F$2</f>
        <v>14799856015.060839</v>
      </c>
      <c r="G178" s="2">
        <f>geracao_kwh!G178*lcae!$G$2</f>
        <v>0</v>
      </c>
      <c r="H178" s="2">
        <f>geracao_kwh!H178*lcae!$H$2</f>
        <v>2720272007915.9956</v>
      </c>
      <c r="I178" s="2">
        <f>geracao_kwh!I178*lcae!$I$2</f>
        <v>649655555555.98254</v>
      </c>
      <c r="J178" s="2">
        <f>geracao_kwh!J178*lcae!$J$2</f>
        <v>0</v>
      </c>
      <c r="K178" s="2">
        <f>geracao_kwh!K178*lcae!$K$2</f>
        <v>18892358433.000004</v>
      </c>
      <c r="L178" s="2">
        <f>geracao_kwh!L178*lcae!$L$2</f>
        <v>1376207138795.9976</v>
      </c>
      <c r="M178" s="2">
        <f>geracao_kwh!M178*lcae!$M$2</f>
        <v>655771843439.98926</v>
      </c>
      <c r="N178" s="2">
        <f>geracao_kwh!N178*lcae!$N$2</f>
        <v>0</v>
      </c>
      <c r="O178" s="2">
        <f>geracao_kwh!O178*lcae!$O$2</f>
        <v>0</v>
      </c>
    </row>
    <row r="179" spans="1:15" x14ac:dyDescent="0.3">
      <c r="A179" s="6">
        <v>178</v>
      </c>
      <c r="B179" s="6">
        <v>2014</v>
      </c>
      <c r="C179" s="6">
        <v>10</v>
      </c>
      <c r="D179" s="2">
        <f>geracao_kwh!D179*lcae!$D$2</f>
        <v>28575425912.800179</v>
      </c>
      <c r="E179" s="2">
        <f>geracao_kwh!E179*lcae!$E$2</f>
        <v>1369123263507.9983</v>
      </c>
      <c r="F179" s="2">
        <f>geracao_kwh!F179*lcae!$F$2</f>
        <v>17584024864.462002</v>
      </c>
      <c r="G179" s="2">
        <f>geracao_kwh!G179*lcae!$G$2</f>
        <v>0</v>
      </c>
      <c r="H179" s="2">
        <f>geracao_kwh!H179*lcae!$H$2</f>
        <v>3027633816546.0391</v>
      </c>
      <c r="I179" s="2">
        <f>geracao_kwh!I179*lcae!$I$2</f>
        <v>678474109908.00146</v>
      </c>
      <c r="J179" s="2">
        <f>geracao_kwh!J179*lcae!$J$2</f>
        <v>0</v>
      </c>
      <c r="K179" s="2">
        <f>geracao_kwh!K179*lcae!$K$2</f>
        <v>19459539710.000019</v>
      </c>
      <c r="L179" s="2">
        <f>geracao_kwh!L179*lcae!$L$2</f>
        <v>1386977774280.0015</v>
      </c>
      <c r="M179" s="2">
        <f>geracao_kwh!M179*lcae!$M$2</f>
        <v>691840075079.99744</v>
      </c>
      <c r="N179" s="2">
        <f>geracao_kwh!N179*lcae!$N$2</f>
        <v>0</v>
      </c>
      <c r="O179" s="2">
        <f>geracao_kwh!O179*lcae!$O$2</f>
        <v>0</v>
      </c>
    </row>
    <row r="180" spans="1:15" x14ac:dyDescent="0.3">
      <c r="A180" s="6">
        <v>179</v>
      </c>
      <c r="B180" s="6">
        <v>2014</v>
      </c>
      <c r="C180" s="6">
        <v>11</v>
      </c>
      <c r="D180" s="2">
        <f>geracao_kwh!D180*lcae!$D$2</f>
        <v>24224880055.999958</v>
      </c>
      <c r="E180" s="2">
        <f>geracao_kwh!E180*lcae!$E$2</f>
        <v>1482169688999.9961</v>
      </c>
      <c r="F180" s="2">
        <f>geracao_kwh!F180*lcae!$F$2</f>
        <v>14554657067.610594</v>
      </c>
      <c r="G180" s="2">
        <f>geracao_kwh!G180*lcae!$G$2</f>
        <v>0</v>
      </c>
      <c r="H180" s="2">
        <f>geracao_kwh!H180*lcae!$H$2</f>
        <v>3010458877088.3936</v>
      </c>
      <c r="I180" s="2">
        <f>geracao_kwh!I180*lcae!$I$2</f>
        <v>651783334818.00549</v>
      </c>
      <c r="J180" s="2">
        <f>geracao_kwh!J180*lcae!$J$2</f>
        <v>0</v>
      </c>
      <c r="K180" s="2">
        <f>geracao_kwh!K180*lcae!$K$2</f>
        <v>18201868632.999996</v>
      </c>
      <c r="L180" s="2">
        <f>geracao_kwh!L180*lcae!$L$2</f>
        <v>1399356973560.0022</v>
      </c>
      <c r="M180" s="2">
        <f>geracao_kwh!M180*lcae!$M$2</f>
        <v>639974915160</v>
      </c>
      <c r="N180" s="2">
        <f>geracao_kwh!N180*lcae!$N$2</f>
        <v>0</v>
      </c>
      <c r="O180" s="2">
        <f>geracao_kwh!O180*lcae!$O$2</f>
        <v>0</v>
      </c>
    </row>
    <row r="181" spans="1:15" x14ac:dyDescent="0.3">
      <c r="A181" s="6">
        <v>180</v>
      </c>
      <c r="B181" s="6">
        <v>2014</v>
      </c>
      <c r="C181" s="6">
        <v>12</v>
      </c>
      <c r="D181" s="2">
        <f>geracao_kwh!D181*lcae!$D$2</f>
        <v>21667344025.600056</v>
      </c>
      <c r="E181" s="2">
        <f>geracao_kwh!E181*lcae!$E$2</f>
        <v>1615723664254.7031</v>
      </c>
      <c r="F181" s="2">
        <f>geracao_kwh!F181*lcae!$F$2</f>
        <v>15518661167.02474</v>
      </c>
      <c r="G181" s="2">
        <f>geracao_kwh!G181*lcae!$G$2</f>
        <v>0</v>
      </c>
      <c r="H181" s="2">
        <f>geracao_kwh!H181*lcae!$H$2</f>
        <v>3206815809499.79</v>
      </c>
      <c r="I181" s="2">
        <f>geracao_kwh!I181*lcae!$I$2</f>
        <v>664070756643.01086</v>
      </c>
      <c r="J181" s="2">
        <f>geracao_kwh!J181*lcae!$J$2</f>
        <v>0</v>
      </c>
      <c r="K181" s="2">
        <f>geracao_kwh!K181*lcae!$K$2</f>
        <v>19401433220.000034</v>
      </c>
      <c r="L181" s="2">
        <f>geracao_kwh!L181*lcae!$L$2</f>
        <v>1323668685360.0103</v>
      </c>
      <c r="M181" s="2">
        <f>geracao_kwh!M181*lcae!$M$2</f>
        <v>590929524359.99475</v>
      </c>
      <c r="N181" s="2">
        <f>geracao_kwh!N181*lcae!$N$2</f>
        <v>0</v>
      </c>
      <c r="O181" s="2">
        <f>geracao_kwh!O181*lcae!$O$2</f>
        <v>0</v>
      </c>
    </row>
    <row r="182" spans="1:15" x14ac:dyDescent="0.3">
      <c r="A182" s="6">
        <v>181</v>
      </c>
      <c r="B182" s="6">
        <v>2015</v>
      </c>
      <c r="C182" s="6">
        <v>1</v>
      </c>
      <c r="D182" s="2">
        <f>geracao_kwh!D182*lcae!$D$2</f>
        <v>8418372715.9999971</v>
      </c>
      <c r="E182" s="2">
        <f>geracao_kwh!E182*lcae!$E$2</f>
        <v>1744089959311.7026</v>
      </c>
      <c r="F182" s="2">
        <f>geracao_kwh!F182*lcae!$F$2</f>
        <v>17312831148.900932</v>
      </c>
      <c r="G182" s="2">
        <f>geracao_kwh!G182*lcae!$G$2</f>
        <v>0</v>
      </c>
      <c r="H182" s="2">
        <f>geracao_kwh!H182*lcae!$H$2</f>
        <v>3105482223348.0098</v>
      </c>
      <c r="I182" s="2">
        <f>geracao_kwh!I182*lcae!$I$2</f>
        <v>759700637472.00427</v>
      </c>
      <c r="J182" s="2">
        <f>geracao_kwh!J182*lcae!$J$2</f>
        <v>0</v>
      </c>
      <c r="K182" s="2">
        <f>geracao_kwh!K182*lcae!$K$2</f>
        <v>18859586148</v>
      </c>
      <c r="L182" s="2">
        <f>geracao_kwh!L182*lcae!$L$2</f>
        <v>1188298043520.0034</v>
      </c>
      <c r="M182" s="2">
        <f>geracao_kwh!M182*lcae!$M$2</f>
        <v>590013300239.99292</v>
      </c>
      <c r="N182" s="2">
        <f>geracao_kwh!N182*lcae!$N$2</f>
        <v>0</v>
      </c>
      <c r="O182" s="2">
        <f>geracao_kwh!O182*lcae!$O$2</f>
        <v>0</v>
      </c>
    </row>
    <row r="183" spans="1:15" x14ac:dyDescent="0.3">
      <c r="A183" s="6">
        <v>182</v>
      </c>
      <c r="B183" s="6">
        <v>2015</v>
      </c>
      <c r="C183" s="6">
        <v>2</v>
      </c>
      <c r="D183" s="2">
        <f>geracao_kwh!D183*lcae!$D$2</f>
        <v>7845597910.8000126</v>
      </c>
      <c r="E183" s="2">
        <f>geracao_kwh!E183*lcae!$E$2</f>
        <v>1425087880816.595</v>
      </c>
      <c r="F183" s="2">
        <f>geracao_kwh!F183*lcae!$F$2</f>
        <v>13924980029.701174</v>
      </c>
      <c r="G183" s="2">
        <f>geracao_kwh!G183*lcae!$G$2</f>
        <v>0</v>
      </c>
      <c r="H183" s="2">
        <f>geracao_kwh!H183*lcae!$H$2</f>
        <v>2912396372256.6128</v>
      </c>
      <c r="I183" s="2">
        <f>geracao_kwh!I183*lcae!$I$2</f>
        <v>668185211663.23792</v>
      </c>
      <c r="J183" s="2">
        <f>geracao_kwh!J183*lcae!$J$2</f>
        <v>0</v>
      </c>
      <c r="K183" s="2">
        <f>geracao_kwh!K183*lcae!$K$2</f>
        <v>14891238777.999996</v>
      </c>
      <c r="L183" s="2">
        <f>geracao_kwh!L183*lcae!$L$2</f>
        <v>1150567358640.0039</v>
      </c>
      <c r="M183" s="2">
        <f>geracao_kwh!M183*lcae!$M$2</f>
        <v>607597264427.96375</v>
      </c>
      <c r="N183" s="2">
        <f>geracao_kwh!N183*lcae!$N$2</f>
        <v>0</v>
      </c>
      <c r="O183" s="2">
        <f>geracao_kwh!O183*lcae!$O$2</f>
        <v>0</v>
      </c>
    </row>
    <row r="184" spans="1:15" x14ac:dyDescent="0.3">
      <c r="A184" s="6">
        <v>183</v>
      </c>
      <c r="B184" s="6">
        <v>2015</v>
      </c>
      <c r="C184" s="6">
        <v>3</v>
      </c>
      <c r="D184" s="2">
        <f>geracao_kwh!D184*lcae!$D$2</f>
        <v>10467921148.493176</v>
      </c>
      <c r="E184" s="2">
        <f>geracao_kwh!E184*lcae!$E$2</f>
        <v>1638177928186.8044</v>
      </c>
      <c r="F184" s="2">
        <f>geracao_kwh!F184*lcae!$F$2</f>
        <v>13034222215.985474</v>
      </c>
      <c r="G184" s="2">
        <f>geracao_kwh!G184*lcae!$G$2</f>
        <v>0</v>
      </c>
      <c r="H184" s="2">
        <f>geracao_kwh!H184*lcae!$H$2</f>
        <v>3289044670721.9937</v>
      </c>
      <c r="I184" s="2">
        <f>geracao_kwh!I184*lcae!$I$2</f>
        <v>727444272605.7251</v>
      </c>
      <c r="J184" s="2">
        <f>geracao_kwh!J184*lcae!$J$2</f>
        <v>0</v>
      </c>
      <c r="K184" s="2">
        <f>geracao_kwh!K184*lcae!$K$2</f>
        <v>17078280777.999979</v>
      </c>
      <c r="L184" s="2">
        <f>geracao_kwh!L184*lcae!$L$2</f>
        <v>1210445364240.0039</v>
      </c>
      <c r="M184" s="2">
        <f>geracao_kwh!M184*lcae!$M$2</f>
        <v>716931631415.96228</v>
      </c>
      <c r="N184" s="2">
        <f>geracao_kwh!N184*lcae!$N$2</f>
        <v>0</v>
      </c>
      <c r="O184" s="2">
        <f>geracao_kwh!O184*lcae!$O$2</f>
        <v>0</v>
      </c>
    </row>
    <row r="185" spans="1:15" x14ac:dyDescent="0.3">
      <c r="A185" s="6">
        <v>184</v>
      </c>
      <c r="B185" s="6">
        <v>2015</v>
      </c>
      <c r="C185" s="6">
        <v>4</v>
      </c>
      <c r="D185" s="2">
        <f>geracao_kwh!D185*lcae!$D$2</f>
        <v>22934037462.697945</v>
      </c>
      <c r="E185" s="2">
        <f>geracao_kwh!E185*lcae!$E$2</f>
        <v>1399163685919.9988</v>
      </c>
      <c r="F185" s="2">
        <f>geracao_kwh!F185*lcae!$F$2</f>
        <v>11120654734.018158</v>
      </c>
      <c r="G185" s="2">
        <f>geracao_kwh!G185*lcae!$G$2</f>
        <v>0</v>
      </c>
      <c r="H185" s="2">
        <f>geracao_kwh!H185*lcae!$H$2</f>
        <v>2957411668283.9941</v>
      </c>
      <c r="I185" s="2">
        <f>geracao_kwh!I185*lcae!$I$2</f>
        <v>639903295395.24573</v>
      </c>
      <c r="J185" s="2">
        <f>geracao_kwh!J185*lcae!$J$2</f>
        <v>0</v>
      </c>
      <c r="K185" s="2">
        <f>geracao_kwh!K185*lcae!$K$2</f>
        <v>18133913966.999992</v>
      </c>
      <c r="L185" s="2">
        <f>geracao_kwh!L185*lcae!$L$2</f>
        <v>810971565600.00317</v>
      </c>
      <c r="M185" s="2">
        <f>geracao_kwh!M185*lcae!$M$2</f>
        <v>501006702840.00122</v>
      </c>
      <c r="N185" s="2">
        <f>geracao_kwh!N185*lcae!$N$2</f>
        <v>0</v>
      </c>
      <c r="O185" s="2">
        <f>geracao_kwh!O185*lcae!$O$2</f>
        <v>0</v>
      </c>
    </row>
    <row r="186" spans="1:15" x14ac:dyDescent="0.3">
      <c r="A186" s="6">
        <v>185</v>
      </c>
      <c r="B186" s="6">
        <v>2015</v>
      </c>
      <c r="C186" s="6">
        <v>5</v>
      </c>
      <c r="D186" s="2">
        <f>geracao_kwh!D186*lcae!$D$2</f>
        <v>31679451684.40028</v>
      </c>
      <c r="E186" s="2">
        <f>geracao_kwh!E186*lcae!$E$2</f>
        <v>1314121629820.9993</v>
      </c>
      <c r="F186" s="2">
        <f>geracao_kwh!F186*lcae!$F$2</f>
        <v>18279534576.795109</v>
      </c>
      <c r="G186" s="2">
        <f>geracao_kwh!G186*lcae!$G$2</f>
        <v>0</v>
      </c>
      <c r="H186" s="2">
        <f>geracao_kwh!H186*lcae!$H$2</f>
        <v>2919564866376.0229</v>
      </c>
      <c r="I186" s="2">
        <f>geracao_kwh!I186*lcae!$I$2</f>
        <v>643794020814.00891</v>
      </c>
      <c r="J186" s="2">
        <f>geracao_kwh!J186*lcae!$J$2</f>
        <v>0</v>
      </c>
      <c r="K186" s="2">
        <f>geracao_kwh!K186*lcae!$K$2</f>
        <v>14555813895.999981</v>
      </c>
      <c r="L186" s="2">
        <f>geracao_kwh!L186*lcae!$L$2</f>
        <v>759797120040.00232</v>
      </c>
      <c r="M186" s="2">
        <f>geracao_kwh!M186*lcae!$M$2</f>
        <v>402966675719.99896</v>
      </c>
      <c r="N186" s="2">
        <f>geracao_kwh!N186*lcae!$N$2</f>
        <v>0</v>
      </c>
      <c r="O186" s="2">
        <f>geracao_kwh!O186*lcae!$O$2</f>
        <v>0</v>
      </c>
    </row>
    <row r="187" spans="1:15" x14ac:dyDescent="0.3">
      <c r="A187" s="6">
        <v>186</v>
      </c>
      <c r="B187" s="6">
        <v>2015</v>
      </c>
      <c r="C187" s="6">
        <v>6</v>
      </c>
      <c r="D187" s="2">
        <f>geracao_kwh!D187*lcae!$D$2</f>
        <v>33771912839.599773</v>
      </c>
      <c r="E187" s="2">
        <f>geracao_kwh!E187*lcae!$E$2</f>
        <v>1432867128693.0015</v>
      </c>
      <c r="F187" s="2">
        <f>geracao_kwh!F187*lcae!$F$2</f>
        <v>19228730774.888256</v>
      </c>
      <c r="G187" s="2">
        <f>geracao_kwh!G187*lcae!$G$2</f>
        <v>0</v>
      </c>
      <c r="H187" s="2">
        <f>geracao_kwh!H187*lcae!$H$2</f>
        <v>2884525217380.7769</v>
      </c>
      <c r="I187" s="2">
        <f>geracao_kwh!I187*lcae!$I$2</f>
        <v>588377096243.9978</v>
      </c>
      <c r="J187" s="2">
        <f>geracao_kwh!J187*lcae!$J$2</f>
        <v>0</v>
      </c>
      <c r="K187" s="2">
        <f>geracao_kwh!K187*lcae!$K$2</f>
        <v>12790689119.000017</v>
      </c>
      <c r="L187" s="2">
        <f>geracao_kwh!L187*lcae!$L$2</f>
        <v>880966112879.99768</v>
      </c>
      <c r="M187" s="2">
        <f>geracao_kwh!M187*lcae!$M$2</f>
        <v>612558309551.99622</v>
      </c>
      <c r="N187" s="2">
        <f>geracao_kwh!N187*lcae!$N$2</f>
        <v>0</v>
      </c>
      <c r="O187" s="2">
        <f>geracao_kwh!O187*lcae!$O$2</f>
        <v>0</v>
      </c>
    </row>
    <row r="188" spans="1:15" x14ac:dyDescent="0.3">
      <c r="A188" s="6">
        <v>187</v>
      </c>
      <c r="B188" s="6">
        <v>2015</v>
      </c>
      <c r="C188" s="6">
        <v>7</v>
      </c>
      <c r="D188" s="2">
        <f>geracao_kwh!D188*lcae!$D$2</f>
        <v>35033774557.600021</v>
      </c>
      <c r="E188" s="2">
        <f>geracao_kwh!E188*lcae!$E$2</f>
        <v>1572191552932.0005</v>
      </c>
      <c r="F188" s="2">
        <f>geracao_kwh!F188*lcae!$F$2</f>
        <v>22798647438.145687</v>
      </c>
      <c r="G188" s="2">
        <f>geracao_kwh!G188*lcae!$G$2</f>
        <v>970294.99999999953</v>
      </c>
      <c r="H188" s="2">
        <f>geracao_kwh!H188*lcae!$H$2</f>
        <v>2534423938019.999</v>
      </c>
      <c r="I188" s="2">
        <f>geracao_kwh!I188*lcae!$I$2</f>
        <v>630964362965.99463</v>
      </c>
      <c r="J188" s="2">
        <f>geracao_kwh!J188*lcae!$J$2</f>
        <v>0</v>
      </c>
      <c r="K188" s="2">
        <f>geracao_kwh!K188*lcae!$K$2</f>
        <v>17651531352.000008</v>
      </c>
      <c r="L188" s="2">
        <f>geracao_kwh!L188*lcae!$L$2</f>
        <v>668408286000.00073</v>
      </c>
      <c r="M188" s="2">
        <f>geracao_kwh!M188*lcae!$M$2</f>
        <v>412255693919.99957</v>
      </c>
      <c r="N188" s="2">
        <f>geracao_kwh!N188*lcae!$N$2</f>
        <v>0</v>
      </c>
      <c r="O188" s="2">
        <f>geracao_kwh!O188*lcae!$O$2</f>
        <v>0</v>
      </c>
    </row>
    <row r="189" spans="1:15" x14ac:dyDescent="0.3">
      <c r="A189" s="6">
        <v>188</v>
      </c>
      <c r="B189" s="6">
        <v>2015</v>
      </c>
      <c r="C189" s="6">
        <v>8</v>
      </c>
      <c r="D189" s="2">
        <f>geracao_kwh!D189*lcae!$D$2</f>
        <v>42907831049.199875</v>
      </c>
      <c r="E189" s="2">
        <f>geracao_kwh!E189*lcae!$E$2</f>
        <v>1459668689479.0046</v>
      </c>
      <c r="F189" s="2">
        <f>geracao_kwh!F189*lcae!$F$2</f>
        <v>30397460467.397163</v>
      </c>
      <c r="G189" s="2">
        <f>geracao_kwh!G189*lcae!$G$2</f>
        <v>47455875.00000003</v>
      </c>
      <c r="H189" s="2">
        <f>geracao_kwh!H189*lcae!$H$2</f>
        <v>2660364004908.6064</v>
      </c>
      <c r="I189" s="2">
        <f>geracao_kwh!I189*lcae!$I$2</f>
        <v>631925000426.99207</v>
      </c>
      <c r="J189" s="2">
        <f>geracao_kwh!J189*lcae!$J$2</f>
        <v>0</v>
      </c>
      <c r="K189" s="2">
        <f>geracao_kwh!K189*lcae!$K$2</f>
        <v>17651496511.999973</v>
      </c>
      <c r="L189" s="2">
        <f>geracao_kwh!L189*lcae!$L$2</f>
        <v>733786835544.00061</v>
      </c>
      <c r="M189" s="2">
        <f>geracao_kwh!M189*lcae!$M$2</f>
        <v>268569978600.00009</v>
      </c>
      <c r="N189" s="2">
        <f>geracao_kwh!N189*lcae!$N$2</f>
        <v>0</v>
      </c>
      <c r="O189" s="2">
        <f>geracao_kwh!O189*lcae!$O$2</f>
        <v>0</v>
      </c>
    </row>
    <row r="190" spans="1:15" x14ac:dyDescent="0.3">
      <c r="A190" s="6">
        <v>189</v>
      </c>
      <c r="B190" s="6">
        <v>2015</v>
      </c>
      <c r="C190" s="6">
        <v>9</v>
      </c>
      <c r="D190" s="2">
        <f>geracao_kwh!D190*lcae!$D$2</f>
        <v>39716179983.999611</v>
      </c>
      <c r="E190" s="2">
        <f>geracao_kwh!E190*lcae!$E$2</f>
        <v>1478892782367.0005</v>
      </c>
      <c r="F190" s="2">
        <f>geracao_kwh!F190*lcae!$F$2</f>
        <v>25972694561.623013</v>
      </c>
      <c r="G190" s="2">
        <f>geracao_kwh!G190*lcae!$G$2</f>
        <v>62979863.99999997</v>
      </c>
      <c r="H190" s="2">
        <f>geracao_kwh!H190*lcae!$H$2</f>
        <v>2947369335587.9849</v>
      </c>
      <c r="I190" s="2">
        <f>geracao_kwh!I190*lcae!$I$2</f>
        <v>637068650882.99304</v>
      </c>
      <c r="J190" s="2">
        <f>geracao_kwh!J190*lcae!$J$2</f>
        <v>0</v>
      </c>
      <c r="K190" s="2">
        <f>geracao_kwh!K190*lcae!$K$2</f>
        <v>14755967005</v>
      </c>
      <c r="L190" s="2">
        <f>geracao_kwh!L190*lcae!$L$2</f>
        <v>840346799880.00391</v>
      </c>
      <c r="M190" s="2">
        <f>geracao_kwh!M190*lcae!$M$2</f>
        <v>152627532119.99963</v>
      </c>
      <c r="N190" s="2">
        <f>geracao_kwh!N190*lcae!$N$2</f>
        <v>0</v>
      </c>
      <c r="O190" s="2">
        <f>geracao_kwh!O190*lcae!$O$2</f>
        <v>0</v>
      </c>
    </row>
    <row r="191" spans="1:15" x14ac:dyDescent="0.3">
      <c r="A191" s="6">
        <v>190</v>
      </c>
      <c r="B191" s="6">
        <v>2015</v>
      </c>
      <c r="C191" s="6">
        <v>10</v>
      </c>
      <c r="D191" s="2">
        <f>geracao_kwh!D191*lcae!$D$2</f>
        <v>39907240188.40007</v>
      </c>
      <c r="E191" s="2">
        <f>geracao_kwh!E191*lcae!$E$2</f>
        <v>1530958285857.0017</v>
      </c>
      <c r="F191" s="2">
        <f>geracao_kwh!F191*lcae!$F$2</f>
        <v>29524036959.711449</v>
      </c>
      <c r="G191" s="2">
        <f>geracao_kwh!G191*lcae!$G$2</f>
        <v>74538823.000000015</v>
      </c>
      <c r="H191" s="2">
        <f>geracao_kwh!H191*lcae!$H$2</f>
        <v>2869830372761.998</v>
      </c>
      <c r="I191" s="2">
        <f>geracao_kwh!I191*lcae!$I$2</f>
        <v>698531978066.99805</v>
      </c>
      <c r="J191" s="2">
        <f>geracao_kwh!J191*lcae!$J$2</f>
        <v>0</v>
      </c>
      <c r="K191" s="2">
        <f>geracao_kwh!K191*lcae!$K$2</f>
        <v>6681598300.0000105</v>
      </c>
      <c r="L191" s="2">
        <f>geracao_kwh!L191*lcae!$L$2</f>
        <v>946829332679.99902</v>
      </c>
      <c r="M191" s="2">
        <f>geracao_kwh!M191*lcae!$M$2</f>
        <v>190767176879.99979</v>
      </c>
      <c r="N191" s="2">
        <f>geracao_kwh!N191*lcae!$N$2</f>
        <v>0</v>
      </c>
      <c r="O191" s="2">
        <f>geracao_kwh!O191*lcae!$O$2</f>
        <v>0</v>
      </c>
    </row>
    <row r="192" spans="1:15" x14ac:dyDescent="0.3">
      <c r="A192" s="6">
        <v>191</v>
      </c>
      <c r="B192" s="6">
        <v>2015</v>
      </c>
      <c r="C192" s="6">
        <v>11</v>
      </c>
      <c r="D192" s="2">
        <f>geracao_kwh!D192*lcae!$D$2</f>
        <v>33576831636.400257</v>
      </c>
      <c r="E192" s="2">
        <f>geracao_kwh!E192*lcae!$E$2</f>
        <v>1389708900579.9954</v>
      </c>
      <c r="F192" s="2">
        <f>geracao_kwh!F192*lcae!$F$2</f>
        <v>24987436928.237873</v>
      </c>
      <c r="G192" s="2">
        <f>geracao_kwh!G192*lcae!$G$2</f>
        <v>70244241</v>
      </c>
      <c r="H192" s="2">
        <f>geracao_kwh!H192*lcae!$H$2</f>
        <v>2694598877610.0049</v>
      </c>
      <c r="I192" s="2">
        <f>geracao_kwh!I192*lcae!$I$2</f>
        <v>669639612578.99951</v>
      </c>
      <c r="J192" s="2">
        <f>geracao_kwh!J192*lcae!$J$2</f>
        <v>0</v>
      </c>
      <c r="K192" s="2">
        <f>geracao_kwh!K192*lcae!$K$2</f>
        <v>18519488467.999989</v>
      </c>
      <c r="L192" s="2">
        <f>geracao_kwh!L192*lcae!$L$2</f>
        <v>871835067600.00012</v>
      </c>
      <c r="M192" s="2">
        <f>geracao_kwh!M192*lcae!$M$2</f>
        <v>242681777519.99936</v>
      </c>
      <c r="N192" s="2">
        <f>geracao_kwh!N192*lcae!$N$2</f>
        <v>0</v>
      </c>
      <c r="O192" s="2">
        <f>geracao_kwh!O192*lcae!$O$2</f>
        <v>0</v>
      </c>
    </row>
    <row r="193" spans="1:15" x14ac:dyDescent="0.3">
      <c r="A193" s="6">
        <v>192</v>
      </c>
      <c r="B193" s="6">
        <v>2015</v>
      </c>
      <c r="C193" s="6">
        <v>12</v>
      </c>
      <c r="D193" s="2">
        <f>geracao_kwh!D193*lcae!$D$2</f>
        <v>23986096315.999878</v>
      </c>
      <c r="E193" s="2">
        <f>geracao_kwh!E193*lcae!$E$2</f>
        <v>1503681610430.9946</v>
      </c>
      <c r="F193" s="2">
        <f>geracao_kwh!F193*lcae!$F$2</f>
        <v>26667218421.518551</v>
      </c>
      <c r="G193" s="2">
        <f>geracao_kwh!G193*lcae!$G$2</f>
        <v>63855773.999999888</v>
      </c>
      <c r="H193" s="2">
        <f>geracao_kwh!H193*lcae!$H$2</f>
        <v>2710121076089.9736</v>
      </c>
      <c r="I193" s="2">
        <f>geracao_kwh!I193*lcae!$I$2</f>
        <v>704746288322.99951</v>
      </c>
      <c r="J193" s="2">
        <f>geracao_kwh!J193*lcae!$J$2</f>
        <v>0</v>
      </c>
      <c r="K193" s="2">
        <f>geracao_kwh!K193*lcae!$K$2</f>
        <v>19369706368.999992</v>
      </c>
      <c r="L193" s="2">
        <f>geracao_kwh!L193*lcae!$L$2</f>
        <v>760625245800.00269</v>
      </c>
      <c r="M193" s="2">
        <f>geracao_kwh!M193*lcae!$M$2</f>
        <v>169253298480.00015</v>
      </c>
      <c r="N193" s="2">
        <f>geracao_kwh!N193*lcae!$N$2</f>
        <v>0</v>
      </c>
      <c r="O193" s="2">
        <f>geracao_kwh!O193*lcae!$O$2</f>
        <v>0</v>
      </c>
    </row>
    <row r="194" spans="1:15" x14ac:dyDescent="0.3">
      <c r="A194" s="6">
        <v>193</v>
      </c>
      <c r="B194" s="6">
        <v>2016</v>
      </c>
      <c r="C194" s="6">
        <v>1</v>
      </c>
      <c r="D194" s="2">
        <f>geracao_kwh!D194*lcae!$D$2</f>
        <v>11245280259.200212</v>
      </c>
      <c r="E194" s="2">
        <f>geracao_kwh!E194*lcae!$E$2</f>
        <v>1275320850803.9949</v>
      </c>
      <c r="F194" s="2">
        <f>geracao_kwh!F194*lcae!$F$2</f>
        <v>16529490910.763622</v>
      </c>
      <c r="G194" s="2">
        <f>geracao_kwh!G194*lcae!$G$2</f>
        <v>54557024.000000067</v>
      </c>
      <c r="H194" s="2">
        <f>geracao_kwh!H194*lcae!$H$2</f>
        <v>2545828195806.0054</v>
      </c>
      <c r="I194" s="2">
        <f>geracao_kwh!I194*lcae!$I$2</f>
        <v>743937501211.80457</v>
      </c>
      <c r="J194" s="2">
        <f>geracao_kwh!J194*lcae!$J$2</f>
        <v>0</v>
      </c>
      <c r="K194" s="2">
        <f>geracao_kwh!K194*lcae!$K$2</f>
        <v>19378291660.000023</v>
      </c>
      <c r="L194" s="2">
        <f>geracao_kwh!L194*lcae!$L$2</f>
        <v>754202950199.9978</v>
      </c>
      <c r="M194" s="2">
        <f>geracao_kwh!M194*lcae!$M$2</f>
        <v>127829609879.99973</v>
      </c>
      <c r="N194" s="2">
        <f>geracao_kwh!N194*lcae!$N$2</f>
        <v>0</v>
      </c>
      <c r="O194" s="2">
        <f>geracao_kwh!O194*lcae!$O$2</f>
        <v>0</v>
      </c>
    </row>
    <row r="195" spans="1:15" x14ac:dyDescent="0.3">
      <c r="A195" s="6">
        <v>194</v>
      </c>
      <c r="B195" s="6">
        <v>2016</v>
      </c>
      <c r="C195" s="6">
        <v>2</v>
      </c>
      <c r="D195" s="2">
        <f>geracao_kwh!D195*lcae!$D$2</f>
        <v>12501331700.00034</v>
      </c>
      <c r="E195" s="2">
        <f>geracao_kwh!E195*lcae!$E$2</f>
        <v>1279438123963.9971</v>
      </c>
      <c r="F195" s="2">
        <f>geracao_kwh!F195*lcae!$F$2</f>
        <v>22903091938.999985</v>
      </c>
      <c r="G195" s="2">
        <f>geracao_kwh!G195*lcae!$G$2</f>
        <v>65620451</v>
      </c>
      <c r="H195" s="2">
        <f>geracao_kwh!H195*lcae!$H$2</f>
        <v>2019245579856.0076</v>
      </c>
      <c r="I195" s="2">
        <f>geracao_kwh!I195*lcae!$I$2</f>
        <v>760344169281.90771</v>
      </c>
      <c r="J195" s="2">
        <f>geracao_kwh!J195*lcae!$J$2</f>
        <v>0</v>
      </c>
      <c r="K195" s="2">
        <f>geracao_kwh!K195*lcae!$K$2</f>
        <v>18026374860.000019</v>
      </c>
      <c r="L195" s="2">
        <f>geracao_kwh!L195*lcae!$L$2</f>
        <v>506562250655.99957</v>
      </c>
      <c r="M195" s="2">
        <f>geracao_kwh!M195*lcae!$M$2</f>
        <v>62188350840.000084</v>
      </c>
      <c r="N195" s="2">
        <f>geracao_kwh!N195*lcae!$N$2</f>
        <v>0</v>
      </c>
      <c r="O195" s="2">
        <f>geracao_kwh!O195*lcae!$O$2</f>
        <v>0</v>
      </c>
    </row>
    <row r="196" spans="1:15" x14ac:dyDescent="0.3">
      <c r="A196" s="6">
        <v>195</v>
      </c>
      <c r="B196" s="6">
        <v>2016</v>
      </c>
      <c r="C196" s="6">
        <v>3</v>
      </c>
      <c r="D196" s="2">
        <f>geracao_kwh!D196*lcae!$D$2</f>
        <v>19239556283.999996</v>
      </c>
      <c r="E196" s="2">
        <f>geracao_kwh!E196*lcae!$E$2</f>
        <v>1497206479769</v>
      </c>
      <c r="F196" s="2">
        <f>geracao_kwh!F196*lcae!$F$2</f>
        <v>24907636728.00013</v>
      </c>
      <c r="G196" s="2">
        <f>geracao_kwh!G196*lcae!$G$2</f>
        <v>71783254.000000075</v>
      </c>
      <c r="H196" s="2">
        <f>geracao_kwh!H196*lcae!$H$2</f>
        <v>1659895395263.981</v>
      </c>
      <c r="I196" s="2">
        <f>geracao_kwh!I196*lcae!$I$2</f>
        <v>811943836120.18726</v>
      </c>
      <c r="J196" s="2">
        <f>geracao_kwh!J196*lcae!$J$2</f>
        <v>0</v>
      </c>
      <c r="K196" s="2">
        <f>geracao_kwh!K196*lcae!$K$2</f>
        <v>19312627255.999992</v>
      </c>
      <c r="L196" s="2">
        <f>geracao_kwh!L196*lcae!$L$2</f>
        <v>315043200359.99951</v>
      </c>
      <c r="M196" s="2">
        <f>geracao_kwh!M196*lcae!$M$2</f>
        <v>37557429839.999992</v>
      </c>
      <c r="N196" s="2">
        <f>geracao_kwh!N196*lcae!$N$2</f>
        <v>0</v>
      </c>
      <c r="O196" s="2">
        <f>geracao_kwh!O196*lcae!$O$2</f>
        <v>0</v>
      </c>
    </row>
    <row r="197" spans="1:15" x14ac:dyDescent="0.3">
      <c r="A197" s="6">
        <v>196</v>
      </c>
      <c r="B197" s="6">
        <v>2016</v>
      </c>
      <c r="C197" s="6">
        <v>4</v>
      </c>
      <c r="D197" s="2">
        <f>geracao_kwh!D197*lcae!$D$2</f>
        <v>32649216236.000038</v>
      </c>
      <c r="E197" s="2">
        <f>geracao_kwh!E197*lcae!$E$2</f>
        <v>1399647142894.0002</v>
      </c>
      <c r="F197" s="2">
        <f>geracao_kwh!F197*lcae!$F$2</f>
        <v>27843045229.999725</v>
      </c>
      <c r="G197" s="2">
        <f>geracao_kwh!G197*lcae!$G$2</f>
        <v>39429451.999999985</v>
      </c>
      <c r="H197" s="2">
        <f>geracao_kwh!H197*lcae!$H$2</f>
        <v>1597361458634.9985</v>
      </c>
      <c r="I197" s="2">
        <f>geracao_kwh!I197*lcae!$I$2</f>
        <v>754192928512.79993</v>
      </c>
      <c r="J197" s="2">
        <f>geracao_kwh!J197*lcae!$J$2</f>
        <v>0</v>
      </c>
      <c r="K197" s="2">
        <f>geracao_kwh!K197*lcae!$K$2</f>
        <v>18559460842</v>
      </c>
      <c r="L197" s="2">
        <f>geracao_kwh!L197*lcae!$L$2</f>
        <v>479892853439.99731</v>
      </c>
      <c r="M197" s="2">
        <f>geracao_kwh!M197*lcae!$M$2</f>
        <v>61711992719.999939</v>
      </c>
      <c r="N197" s="2">
        <f>geracao_kwh!N197*lcae!$N$2</f>
        <v>0</v>
      </c>
      <c r="O197" s="2">
        <f>geracao_kwh!O197*lcae!$O$2</f>
        <v>0</v>
      </c>
    </row>
    <row r="198" spans="1:15" x14ac:dyDescent="0.3">
      <c r="A198" s="6">
        <v>197</v>
      </c>
      <c r="B198" s="6">
        <v>2016</v>
      </c>
      <c r="C198" s="6">
        <v>5</v>
      </c>
      <c r="D198" s="2">
        <f>geracao_kwh!D198*lcae!$D$2</f>
        <v>39499427656.000076</v>
      </c>
      <c r="E198" s="2">
        <f>geracao_kwh!E198*lcae!$E$2</f>
        <v>1333219757870.0017</v>
      </c>
      <c r="F198" s="2">
        <f>geracao_kwh!F198*lcae!$F$2</f>
        <v>29189228146.000408</v>
      </c>
      <c r="G198" s="2">
        <f>geracao_kwh!G198*lcae!$G$2</f>
        <v>49637995.999999948</v>
      </c>
      <c r="H198" s="2">
        <f>geracao_kwh!H198*lcae!$H$2</f>
        <v>1382899328820.002</v>
      </c>
      <c r="I198" s="2">
        <f>geracao_kwh!I198*lcae!$I$2</f>
        <v>721697885075.99451</v>
      </c>
      <c r="J198" s="2">
        <f>geracao_kwh!J198*lcae!$J$2</f>
        <v>0</v>
      </c>
      <c r="K198" s="2">
        <f>geracao_kwh!K198*lcae!$K$2</f>
        <v>19439218578.000004</v>
      </c>
      <c r="L198" s="2">
        <f>geracao_kwh!L198*lcae!$L$2</f>
        <v>252173989199.99954</v>
      </c>
      <c r="M198" s="2">
        <f>geracao_kwh!M198*lcae!$M$2</f>
        <v>93490190976.000183</v>
      </c>
      <c r="N198" s="2">
        <f>geracao_kwh!N198*lcae!$N$2</f>
        <v>0</v>
      </c>
      <c r="O198" s="2">
        <f>geracao_kwh!O198*lcae!$O$2</f>
        <v>0</v>
      </c>
    </row>
    <row r="199" spans="1:15" x14ac:dyDescent="0.3">
      <c r="A199" s="6">
        <v>198</v>
      </c>
      <c r="B199" s="6">
        <v>2016</v>
      </c>
      <c r="C199" s="6">
        <v>6</v>
      </c>
      <c r="D199" s="2">
        <f>geracao_kwh!D199*lcae!$D$2</f>
        <v>41681875975.999992</v>
      </c>
      <c r="E199" s="2">
        <f>geracao_kwh!E199*lcae!$E$2</f>
        <v>1588109731208.0015</v>
      </c>
      <c r="F199" s="2">
        <f>geracao_kwh!F199*lcae!$F$2</f>
        <v>32898556106.000149</v>
      </c>
      <c r="G199" s="2">
        <f>geracao_kwh!G199*lcae!$G$2</f>
        <v>47363553.999999978</v>
      </c>
      <c r="H199" s="2">
        <f>geracao_kwh!H199*lcae!$H$2</f>
        <v>1465501427981.9998</v>
      </c>
      <c r="I199" s="2">
        <f>geracao_kwh!I199*lcae!$I$2</f>
        <v>677985108801.00208</v>
      </c>
      <c r="J199" s="2">
        <f>geracao_kwh!J199*lcae!$J$2</f>
        <v>0</v>
      </c>
      <c r="K199" s="2">
        <f>geracao_kwh!K199*lcae!$K$2</f>
        <v>16240247075</v>
      </c>
      <c r="L199" s="2">
        <f>geracao_kwh!L199*lcae!$L$2</f>
        <v>244488754439.99951</v>
      </c>
      <c r="M199" s="2">
        <f>geracao_kwh!M199*lcae!$M$2</f>
        <v>112683727799.99983</v>
      </c>
      <c r="N199" s="2">
        <f>geracao_kwh!N199*lcae!$N$2</f>
        <v>0</v>
      </c>
      <c r="O199" s="2">
        <f>geracao_kwh!O199*lcae!$O$2</f>
        <v>0</v>
      </c>
    </row>
    <row r="200" spans="1:15" x14ac:dyDescent="0.3">
      <c r="A200" s="6">
        <v>199</v>
      </c>
      <c r="B200" s="6">
        <v>2016</v>
      </c>
      <c r="C200" s="6">
        <v>7</v>
      </c>
      <c r="D200" s="2">
        <f>geracao_kwh!D200*lcae!$D$2</f>
        <v>47935561180.000183</v>
      </c>
      <c r="E200" s="2">
        <f>geracao_kwh!E200*lcae!$E$2</f>
        <v>1360151862069.0073</v>
      </c>
      <c r="F200" s="2">
        <f>geracao_kwh!F200*lcae!$F$2</f>
        <v>40274091728.000221</v>
      </c>
      <c r="G200" s="2">
        <f>geracao_kwh!G200*lcae!$G$2</f>
        <v>53813295.999999963</v>
      </c>
      <c r="H200" s="2">
        <f>geracao_kwh!H200*lcae!$H$2</f>
        <v>1442813399099.9915</v>
      </c>
      <c r="I200" s="2">
        <f>geracao_kwh!I200*lcae!$I$2</f>
        <v>691227384812.98572</v>
      </c>
      <c r="J200" s="2">
        <f>geracao_kwh!J200*lcae!$J$2</f>
        <v>0</v>
      </c>
      <c r="K200" s="2">
        <f>geracao_kwh!K200*lcae!$K$2</f>
        <v>14868698246.99999</v>
      </c>
      <c r="L200" s="2">
        <f>geracao_kwh!L200*lcae!$L$2</f>
        <v>130209039239.99898</v>
      </c>
      <c r="M200" s="2">
        <f>geracao_kwh!M200*lcae!$M$2</f>
        <v>128126618759.99997</v>
      </c>
      <c r="N200" s="2">
        <f>geracao_kwh!N200*lcae!$N$2</f>
        <v>0</v>
      </c>
      <c r="O200" s="2">
        <f>geracao_kwh!O200*lcae!$O$2</f>
        <v>0</v>
      </c>
    </row>
    <row r="201" spans="1:15" x14ac:dyDescent="0.3">
      <c r="A201" s="6">
        <v>200</v>
      </c>
      <c r="B201" s="6">
        <v>2016</v>
      </c>
      <c r="C201" s="6">
        <v>8</v>
      </c>
      <c r="D201" s="2">
        <f>geracao_kwh!D201*lcae!$D$2</f>
        <v>45447491700.000153</v>
      </c>
      <c r="E201" s="2">
        <f>geracao_kwh!E201*lcae!$E$2</f>
        <v>1281092791979.001</v>
      </c>
      <c r="F201" s="2">
        <f>geracao_kwh!F201*lcae!$F$2</f>
        <v>41135940637.999832</v>
      </c>
      <c r="G201" s="2">
        <f>geracao_kwh!G201*lcae!$G$2</f>
        <v>63126020.999999963</v>
      </c>
      <c r="H201" s="2">
        <f>geracao_kwh!H201*lcae!$H$2</f>
        <v>1859288130125.9973</v>
      </c>
      <c r="I201" s="2">
        <f>geracao_kwh!I201*lcae!$I$2</f>
        <v>684179554337.98865</v>
      </c>
      <c r="J201" s="2">
        <f>geracao_kwh!J201*lcae!$J$2</f>
        <v>0</v>
      </c>
      <c r="K201" s="2">
        <f>geracao_kwh!K201*lcae!$K$2</f>
        <v>19249480458.000027</v>
      </c>
      <c r="L201" s="2">
        <f>geracao_kwh!L201*lcae!$L$2</f>
        <v>240375490319.99994</v>
      </c>
      <c r="M201" s="2">
        <f>geracao_kwh!M201*lcae!$M$2</f>
        <v>134344428120.0004</v>
      </c>
      <c r="N201" s="2">
        <f>geracao_kwh!N201*lcae!$N$2</f>
        <v>0</v>
      </c>
      <c r="O201" s="2">
        <f>geracao_kwh!O201*lcae!$O$2</f>
        <v>0</v>
      </c>
    </row>
    <row r="202" spans="1:15" x14ac:dyDescent="0.3">
      <c r="A202" s="6">
        <v>201</v>
      </c>
      <c r="B202" s="6">
        <v>2016</v>
      </c>
      <c r="C202" s="6">
        <v>9</v>
      </c>
      <c r="D202" s="2">
        <f>geracao_kwh!D202*lcae!$D$2</f>
        <v>45946284228.000023</v>
      </c>
      <c r="E202" s="2">
        <f>geracao_kwh!E202*lcae!$E$2</f>
        <v>1193852356696.9983</v>
      </c>
      <c r="F202" s="2">
        <f>geracao_kwh!F202*lcae!$F$2</f>
        <v>43244826819.999847</v>
      </c>
      <c r="G202" s="2">
        <f>geracao_kwh!G202*lcae!$G$2</f>
        <v>67543539.99999997</v>
      </c>
      <c r="H202" s="2">
        <f>geracao_kwh!H202*lcae!$H$2</f>
        <v>1993910575787.9927</v>
      </c>
      <c r="I202" s="2">
        <f>geracao_kwh!I202*lcae!$I$2</f>
        <v>649880670600.0033</v>
      </c>
      <c r="J202" s="2">
        <f>geracao_kwh!J202*lcae!$J$2</f>
        <v>0</v>
      </c>
      <c r="K202" s="2">
        <f>geracao_kwh!K202*lcae!$K$2</f>
        <v>18894598463.000004</v>
      </c>
      <c r="L202" s="2">
        <f>geracao_kwh!L202*lcae!$L$2</f>
        <v>356825879760.00024</v>
      </c>
      <c r="M202" s="2">
        <f>geracao_kwh!M202*lcae!$M$2</f>
        <v>123967341119.99985</v>
      </c>
      <c r="N202" s="2">
        <f>geracao_kwh!N202*lcae!$N$2</f>
        <v>0</v>
      </c>
      <c r="O202" s="2">
        <f>geracao_kwh!O202*lcae!$O$2</f>
        <v>0</v>
      </c>
    </row>
    <row r="203" spans="1:15" x14ac:dyDescent="0.3">
      <c r="A203" s="6">
        <v>202</v>
      </c>
      <c r="B203" s="6">
        <v>2016</v>
      </c>
      <c r="C203" s="6">
        <v>10</v>
      </c>
      <c r="D203" s="2">
        <f>geracao_kwh!D203*lcae!$D$2</f>
        <v>43666341217.200165</v>
      </c>
      <c r="E203" s="2">
        <f>geracao_kwh!E203*lcae!$E$2</f>
        <v>1027438165754.002</v>
      </c>
      <c r="F203" s="2">
        <f>geracao_kwh!F203*lcae!$F$2</f>
        <v>44164473872.999886</v>
      </c>
      <c r="G203" s="2">
        <f>geracao_kwh!G203*lcae!$G$2</f>
        <v>70686409.999999911</v>
      </c>
      <c r="H203" s="2">
        <f>geracao_kwh!H203*lcae!$H$2</f>
        <v>2273331387211.1626</v>
      </c>
      <c r="I203" s="2">
        <f>geracao_kwh!I203*lcae!$I$2</f>
        <v>676343533088.98975</v>
      </c>
      <c r="J203" s="2">
        <f>geracao_kwh!J203*lcae!$J$2</f>
        <v>0</v>
      </c>
      <c r="K203" s="2">
        <f>geracao_kwh!K203*lcae!$K$2</f>
        <v>19438082105.000027</v>
      </c>
      <c r="L203" s="2">
        <f>geracao_kwh!L203*lcae!$L$2</f>
        <v>484052814000.00031</v>
      </c>
      <c r="M203" s="2">
        <f>geracao_kwh!M203*lcae!$M$2</f>
        <v>91703305679.999832</v>
      </c>
      <c r="N203" s="2">
        <f>geracao_kwh!N203*lcae!$N$2</f>
        <v>0</v>
      </c>
      <c r="O203" s="2">
        <f>geracao_kwh!O203*lcae!$O$2</f>
        <v>0</v>
      </c>
    </row>
    <row r="204" spans="1:15" x14ac:dyDescent="0.3">
      <c r="A204" s="6">
        <v>203</v>
      </c>
      <c r="B204" s="6">
        <v>2016</v>
      </c>
      <c r="C204" s="6">
        <v>11</v>
      </c>
      <c r="D204" s="2">
        <f>geracao_kwh!D204*lcae!$D$2</f>
        <v>35969001619.200073</v>
      </c>
      <c r="E204" s="2">
        <f>geracao_kwh!E204*lcae!$E$2</f>
        <v>1321880016457.0049</v>
      </c>
      <c r="F204" s="2">
        <f>geracao_kwh!F204*lcae!$F$2</f>
        <v>39912221699.99939</v>
      </c>
      <c r="G204" s="2">
        <f>geracao_kwh!G204*lcae!$G$2</f>
        <v>66776076</v>
      </c>
      <c r="H204" s="2">
        <f>geracao_kwh!H204*lcae!$H$2</f>
        <v>2286972793296.0078</v>
      </c>
      <c r="I204" s="2">
        <f>geracao_kwh!I204*lcae!$I$2</f>
        <v>673751116457.99805</v>
      </c>
      <c r="J204" s="2">
        <f>geracao_kwh!J204*lcae!$J$2</f>
        <v>0</v>
      </c>
      <c r="K204" s="2">
        <f>geracao_kwh!K204*lcae!$K$2</f>
        <v>11238703866.000021</v>
      </c>
      <c r="L204" s="2">
        <f>geracao_kwh!L204*lcae!$L$2</f>
        <v>385909412279.99957</v>
      </c>
      <c r="M204" s="2">
        <f>geracao_kwh!M204*lcae!$M$2</f>
        <v>80515133916.000015</v>
      </c>
      <c r="N204" s="2">
        <f>geracao_kwh!N204*lcae!$N$2</f>
        <v>0</v>
      </c>
      <c r="O204" s="2">
        <f>geracao_kwh!O204*lcae!$O$2</f>
        <v>0</v>
      </c>
    </row>
    <row r="205" spans="1:15" x14ac:dyDescent="0.3">
      <c r="A205" s="6">
        <v>204</v>
      </c>
      <c r="B205" s="6">
        <v>2016</v>
      </c>
      <c r="C205" s="6">
        <v>12</v>
      </c>
      <c r="D205" s="2">
        <f>geracao_kwh!D205*lcae!$D$2</f>
        <v>23017860200.400024</v>
      </c>
      <c r="E205" s="2">
        <f>geracao_kwh!E205*lcae!$E$2</f>
        <v>1085668422838.9976</v>
      </c>
      <c r="F205" s="2">
        <f>geracao_kwh!F205*lcae!$F$2</f>
        <v>36505948622.000046</v>
      </c>
      <c r="G205" s="2">
        <f>geracao_kwh!G205*lcae!$G$2</f>
        <v>59903772.999999948</v>
      </c>
      <c r="H205" s="2">
        <f>geracao_kwh!H205*lcae!$H$2</f>
        <v>1707062922413.9934</v>
      </c>
      <c r="I205" s="2">
        <f>geracao_kwh!I205*lcae!$I$2</f>
        <v>764574082691.9873</v>
      </c>
      <c r="J205" s="2">
        <f>geracao_kwh!J205*lcae!$J$2</f>
        <v>0</v>
      </c>
      <c r="K205" s="2">
        <f>geracao_kwh!K205*lcae!$K$2</f>
        <v>11464052378.999989</v>
      </c>
      <c r="L205" s="2">
        <f>geracao_kwh!L205*lcae!$L$2</f>
        <v>292283930399.99841</v>
      </c>
      <c r="M205" s="2">
        <f>geracao_kwh!M205*lcae!$M$2</f>
        <v>57612091319.999977</v>
      </c>
      <c r="N205" s="2">
        <f>geracao_kwh!N205*lcae!$N$2</f>
        <v>0</v>
      </c>
      <c r="O205" s="2">
        <f>geracao_kwh!O205*lcae!$O$2</f>
        <v>0</v>
      </c>
    </row>
    <row r="206" spans="1:15" x14ac:dyDescent="0.3">
      <c r="A206" s="6">
        <v>205</v>
      </c>
      <c r="B206" s="6">
        <v>2017</v>
      </c>
      <c r="C206" s="6">
        <v>1</v>
      </c>
      <c r="D206" s="2">
        <f>geracao_kwh!D206*lcae!$D$2</f>
        <v>16134634989.200048</v>
      </c>
      <c r="E206" s="2">
        <f>geracao_kwh!E206*lcae!$E$2</f>
        <v>886518000367.99951</v>
      </c>
      <c r="F206" s="2">
        <f>geracao_kwh!F206*lcae!$F$2</f>
        <v>34497323367.000168</v>
      </c>
      <c r="G206" s="2">
        <f>geracao_kwh!G206*lcae!$G$2</f>
        <v>67516836.999999925</v>
      </c>
      <c r="H206" s="2">
        <f>geracao_kwh!H206*lcae!$H$2</f>
        <v>1603291245480.0005</v>
      </c>
      <c r="I206" s="2">
        <f>geracao_kwh!I206*lcae!$I$2</f>
        <v>833588260973.98718</v>
      </c>
      <c r="J206" s="2">
        <f>geracao_kwh!J206*lcae!$J$2</f>
        <v>0</v>
      </c>
      <c r="K206" s="2">
        <f>geracao_kwh!K206*lcae!$K$2</f>
        <v>18724333666.999973</v>
      </c>
      <c r="L206" s="2">
        <f>geracao_kwh!L206*lcae!$L$2</f>
        <v>297515399999.99982</v>
      </c>
      <c r="M206" s="2">
        <f>geracao_kwh!M206*lcae!$M$2</f>
        <v>26005339919.999985</v>
      </c>
      <c r="N206" s="2">
        <f>geracao_kwh!N206*lcae!$N$2</f>
        <v>0</v>
      </c>
      <c r="O206" s="2">
        <f>geracao_kwh!O206*lcae!$O$2</f>
        <v>0</v>
      </c>
    </row>
    <row r="207" spans="1:15" x14ac:dyDescent="0.3">
      <c r="A207" s="6">
        <v>206</v>
      </c>
      <c r="B207" s="6">
        <v>2017</v>
      </c>
      <c r="C207" s="6">
        <v>2</v>
      </c>
      <c r="D207" s="2">
        <f>geracao_kwh!D207*lcae!$D$2</f>
        <v>13301604003.999994</v>
      </c>
      <c r="E207" s="2">
        <f>geracao_kwh!E207*lcae!$E$2</f>
        <v>906367726263.99719</v>
      </c>
      <c r="F207" s="2">
        <f>geracao_kwh!F207*lcae!$F$2</f>
        <v>26605217600.00013</v>
      </c>
      <c r="G207" s="2">
        <f>geracao_kwh!G207*lcae!$G$2</f>
        <v>58301291.999999948</v>
      </c>
      <c r="H207" s="2">
        <f>geracao_kwh!H207*lcae!$H$2</f>
        <v>1352425870565.9937</v>
      </c>
      <c r="I207" s="2">
        <f>geracao_kwh!I207*lcae!$I$2</f>
        <v>791024577944.99402</v>
      </c>
      <c r="J207" s="2">
        <f>geracao_kwh!J207*lcae!$J$2</f>
        <v>0</v>
      </c>
      <c r="K207" s="2">
        <f>geracao_kwh!K207*lcae!$K$2</f>
        <v>15574258193.000006</v>
      </c>
      <c r="L207" s="2">
        <f>geracao_kwh!L207*lcae!$L$2</f>
        <v>225783088943.99826</v>
      </c>
      <c r="M207" s="2">
        <f>geracao_kwh!M207*lcae!$M$2</f>
        <v>24124490040.000008</v>
      </c>
      <c r="N207" s="2">
        <f>geracao_kwh!N207*lcae!$N$2</f>
        <v>0</v>
      </c>
      <c r="O207" s="2">
        <f>geracao_kwh!O207*lcae!$O$2</f>
        <v>0</v>
      </c>
    </row>
    <row r="208" spans="1:15" x14ac:dyDescent="0.3">
      <c r="A208" s="6">
        <v>207</v>
      </c>
      <c r="B208" s="6">
        <v>2017</v>
      </c>
      <c r="C208" s="6">
        <v>3</v>
      </c>
      <c r="D208" s="2">
        <f>geracao_kwh!D208*lcae!$D$2</f>
        <v>19910071064.00005</v>
      </c>
      <c r="E208" s="2">
        <f>geracao_kwh!E208*lcae!$E$2</f>
        <v>1256860945340.0027</v>
      </c>
      <c r="F208" s="2">
        <f>geracao_kwh!F208*lcae!$F$2</f>
        <v>25297292488.000076</v>
      </c>
      <c r="G208" s="2">
        <f>geracao_kwh!G208*lcae!$G$2</f>
        <v>51010340.999999963</v>
      </c>
      <c r="H208" s="2">
        <f>geracao_kwh!H208*lcae!$H$2</f>
        <v>1771586127755.9927</v>
      </c>
      <c r="I208" s="2">
        <f>geracao_kwh!I208*lcae!$I$2</f>
        <v>839982988088.98071</v>
      </c>
      <c r="J208" s="2">
        <f>geracao_kwh!J208*lcae!$J$2</f>
        <v>0</v>
      </c>
      <c r="K208" s="2">
        <f>geracao_kwh!K208*lcae!$K$2</f>
        <v>17174971723</v>
      </c>
      <c r="L208" s="2">
        <f>geracao_kwh!L208*lcae!$L$2</f>
        <v>480484275599.99957</v>
      </c>
      <c r="M208" s="2">
        <f>geracao_kwh!M208*lcae!$M$2</f>
        <v>74298162960.000015</v>
      </c>
      <c r="N208" s="2">
        <f>geracao_kwh!N208*lcae!$N$2</f>
        <v>0</v>
      </c>
      <c r="O208" s="2">
        <f>geracao_kwh!O208*lcae!$O$2</f>
        <v>0</v>
      </c>
    </row>
    <row r="209" spans="1:15" x14ac:dyDescent="0.3">
      <c r="A209" s="6">
        <v>208</v>
      </c>
      <c r="B209" s="6">
        <v>2017</v>
      </c>
      <c r="C209" s="6">
        <v>4</v>
      </c>
      <c r="D209" s="2">
        <f>geracao_kwh!D209*lcae!$D$2</f>
        <v>32029604516.000141</v>
      </c>
      <c r="E209" s="2">
        <f>geracao_kwh!E209*lcae!$E$2</f>
        <v>1169584847430.9973</v>
      </c>
      <c r="F209" s="2">
        <f>geracao_kwh!F209*lcae!$F$2</f>
        <v>31756946598.000069</v>
      </c>
      <c r="G209" s="2">
        <f>geracao_kwh!G209*lcae!$G$2</f>
        <v>50256851.999999993</v>
      </c>
      <c r="H209" s="2">
        <f>geracao_kwh!H209*lcae!$H$2</f>
        <v>2065924233773.9973</v>
      </c>
      <c r="I209" s="2">
        <f>geracao_kwh!I209*lcae!$I$2</f>
        <v>700119064637.9939</v>
      </c>
      <c r="J209" s="2">
        <f>geracao_kwh!J209*lcae!$J$2</f>
        <v>0</v>
      </c>
      <c r="K209" s="2">
        <f>geracao_kwh!K209*lcae!$K$2</f>
        <v>18703412156.000019</v>
      </c>
      <c r="L209" s="2">
        <f>geracao_kwh!L209*lcae!$L$2</f>
        <v>191256891000.00015</v>
      </c>
      <c r="M209" s="2">
        <f>geracao_kwh!M209*lcae!$M$2</f>
        <v>124345412519.99997</v>
      </c>
      <c r="N209" s="2">
        <f>geracao_kwh!N209*lcae!$N$2</f>
        <v>0</v>
      </c>
      <c r="O209" s="2">
        <f>geracao_kwh!O209*lcae!$O$2</f>
        <v>0</v>
      </c>
    </row>
    <row r="210" spans="1:15" x14ac:dyDescent="0.3">
      <c r="A210" s="6">
        <v>209</v>
      </c>
      <c r="B210" s="6">
        <v>2017</v>
      </c>
      <c r="C210" s="6">
        <v>5</v>
      </c>
      <c r="D210" s="2">
        <f>geracao_kwh!D210*lcae!$D$2</f>
        <v>41480530520.000114</v>
      </c>
      <c r="E210" s="2">
        <f>geracao_kwh!E210*lcae!$E$2</f>
        <v>1273121414564.9988</v>
      </c>
      <c r="F210" s="2">
        <f>geracao_kwh!F210*lcae!$F$2</f>
        <v>34032249172.999722</v>
      </c>
      <c r="G210" s="2">
        <f>geracao_kwh!G210*lcae!$G$2</f>
        <v>249322815.00000036</v>
      </c>
      <c r="H210" s="2">
        <f>geracao_kwh!H210*lcae!$H$2</f>
        <v>2070124578635.3979</v>
      </c>
      <c r="I210" s="2">
        <f>geracao_kwh!I210*lcae!$I$2</f>
        <v>699380654112.00684</v>
      </c>
      <c r="J210" s="2">
        <f>geracao_kwh!J210*lcae!$J$2</f>
        <v>0</v>
      </c>
      <c r="K210" s="2">
        <f>geracao_kwh!K210*lcae!$K$2</f>
        <v>18425299932</v>
      </c>
      <c r="L210" s="2">
        <f>geracao_kwh!L210*lcae!$L$2</f>
        <v>205495882199.99911</v>
      </c>
      <c r="M210" s="2">
        <f>geracao_kwh!M210*lcae!$M$2</f>
        <v>146810432999.99921</v>
      </c>
      <c r="N210" s="2">
        <f>geracao_kwh!N210*lcae!$N$2</f>
        <v>0</v>
      </c>
      <c r="O210" s="2">
        <f>geracao_kwh!O210*lcae!$O$2</f>
        <v>0</v>
      </c>
    </row>
    <row r="211" spans="1:15" x14ac:dyDescent="0.3">
      <c r="A211" s="6">
        <v>210</v>
      </c>
      <c r="B211" s="6">
        <v>2017</v>
      </c>
      <c r="C211" s="6">
        <v>6</v>
      </c>
      <c r="D211" s="2">
        <f>geracao_kwh!D211*lcae!$D$2</f>
        <v>47948895851.999893</v>
      </c>
      <c r="E211" s="2">
        <f>geracao_kwh!E211*lcae!$E$2</f>
        <v>1043393457105.9993</v>
      </c>
      <c r="F211" s="2">
        <f>geracao_kwh!F211*lcae!$F$2</f>
        <v>41678384734.999939</v>
      </c>
      <c r="G211" s="2">
        <f>geracao_kwh!G211*lcae!$G$2</f>
        <v>1090864720.999999</v>
      </c>
      <c r="H211" s="2">
        <f>geracao_kwh!H211*lcae!$H$2</f>
        <v>1526901412643.9978</v>
      </c>
      <c r="I211" s="2">
        <f>geracao_kwh!I211*lcae!$I$2</f>
        <v>673604936382.0083</v>
      </c>
      <c r="J211" s="2">
        <f>geracao_kwh!J211*lcae!$J$2</f>
        <v>0</v>
      </c>
      <c r="K211" s="2">
        <f>geracao_kwh!K211*lcae!$K$2</f>
        <v>16364170381</v>
      </c>
      <c r="L211" s="2">
        <f>geracao_kwh!L211*lcae!$L$2</f>
        <v>175949634839.99997</v>
      </c>
      <c r="M211" s="2">
        <f>geracao_kwh!M211*lcae!$M$2</f>
        <v>136312457400.00005</v>
      </c>
      <c r="N211" s="2">
        <f>geracao_kwh!N211*lcae!$N$2</f>
        <v>0</v>
      </c>
      <c r="O211" s="2">
        <f>geracao_kwh!O211*lcae!$O$2</f>
        <v>0</v>
      </c>
    </row>
    <row r="212" spans="1:15" x14ac:dyDescent="0.3">
      <c r="A212" s="6">
        <v>211</v>
      </c>
      <c r="B212" s="6">
        <v>2017</v>
      </c>
      <c r="C212" s="6">
        <v>7</v>
      </c>
      <c r="D212" s="2">
        <f>geracao_kwh!D212*lcae!$D$2</f>
        <v>57181743892.000244</v>
      </c>
      <c r="E212" s="2">
        <f>geracao_kwh!E212*lcae!$E$2</f>
        <v>1187530604260.0022</v>
      </c>
      <c r="F212" s="2">
        <f>geracao_kwh!F212*lcae!$F$2</f>
        <v>51113982322.000435</v>
      </c>
      <c r="G212" s="2">
        <f>geracao_kwh!G212*lcae!$G$2</f>
        <v>1674262877.9999969</v>
      </c>
      <c r="H212" s="2">
        <f>geracao_kwh!H212*lcae!$H$2</f>
        <v>2385273063276.001</v>
      </c>
      <c r="I212" s="2">
        <f>geracao_kwh!I212*lcae!$I$2</f>
        <v>610705083155.9812</v>
      </c>
      <c r="J212" s="2">
        <f>geracao_kwh!J212*lcae!$J$2</f>
        <v>0</v>
      </c>
      <c r="K212" s="2">
        <f>geracao_kwh!K212*lcae!$K$2</f>
        <v>18503722847.999985</v>
      </c>
      <c r="L212" s="2">
        <f>geracao_kwh!L212*lcae!$L$2</f>
        <v>154914590039.99994</v>
      </c>
      <c r="M212" s="2">
        <f>geracao_kwh!M212*lcae!$M$2</f>
        <v>165608216759.99936</v>
      </c>
      <c r="N212" s="2">
        <f>geracao_kwh!N212*lcae!$N$2</f>
        <v>0</v>
      </c>
      <c r="O212" s="2">
        <f>geracao_kwh!O212*lcae!$O$2</f>
        <v>0</v>
      </c>
    </row>
    <row r="213" spans="1:15" x14ac:dyDescent="0.3">
      <c r="A213" s="6">
        <v>212</v>
      </c>
      <c r="B213" s="6">
        <v>2017</v>
      </c>
      <c r="C213" s="6">
        <v>8</v>
      </c>
      <c r="D213" s="2">
        <f>geracao_kwh!D213*lcae!$D$2</f>
        <v>51942318011.999657</v>
      </c>
      <c r="E213" s="2">
        <f>geracao_kwh!E213*lcae!$E$2</f>
        <v>1367219627774.0029</v>
      </c>
      <c r="F213" s="2">
        <f>geracao_kwh!F213*lcae!$F$2</f>
        <v>54230270198.000313</v>
      </c>
      <c r="G213" s="2">
        <f>geracao_kwh!G213*lcae!$G$2</f>
        <v>2225074259.0000024</v>
      </c>
      <c r="H213" s="2">
        <f>geracao_kwh!H213*lcae!$H$2</f>
        <v>2926446315336.0044</v>
      </c>
      <c r="I213" s="2">
        <f>geracao_kwh!I213*lcae!$I$2</f>
        <v>589405352340.00586</v>
      </c>
      <c r="J213" s="2">
        <f>geracao_kwh!J213*lcae!$J$2</f>
        <v>0</v>
      </c>
      <c r="K213" s="2">
        <f>geracao_kwh!K213*lcae!$K$2</f>
        <v>16620282340.999979</v>
      </c>
      <c r="L213" s="2">
        <f>geracao_kwh!L213*lcae!$L$2</f>
        <v>941918391959.9928</v>
      </c>
      <c r="M213" s="2">
        <f>geracao_kwh!M213*lcae!$M$2</f>
        <v>279324661475.99988</v>
      </c>
      <c r="N213" s="2">
        <f>geracao_kwh!N213*lcae!$N$2</f>
        <v>0</v>
      </c>
      <c r="O213" s="2">
        <f>geracao_kwh!O213*lcae!$O$2</f>
        <v>0</v>
      </c>
    </row>
    <row r="214" spans="1:15" x14ac:dyDescent="0.3">
      <c r="A214" s="6">
        <v>213</v>
      </c>
      <c r="B214" s="6">
        <v>2017</v>
      </c>
      <c r="C214" s="6">
        <v>9</v>
      </c>
      <c r="D214" s="2">
        <f>geracao_kwh!D214*lcae!$D$2</f>
        <v>55922473099.999977</v>
      </c>
      <c r="E214" s="2">
        <f>geracao_kwh!E214*lcae!$E$2</f>
        <v>1282892693082.0024</v>
      </c>
      <c r="F214" s="2">
        <f>geracao_kwh!F214*lcae!$F$2</f>
        <v>62687450761.000084</v>
      </c>
      <c r="G214" s="2">
        <f>geracao_kwh!G214*lcae!$G$2</f>
        <v>2863460041.9999981</v>
      </c>
      <c r="H214" s="2">
        <f>geracao_kwh!H214*lcae!$H$2</f>
        <v>2764505508840.0034</v>
      </c>
      <c r="I214" s="2">
        <f>geracao_kwh!I214*lcae!$I$2</f>
        <v>585313089165.00037</v>
      </c>
      <c r="J214" s="2">
        <f>geracao_kwh!J214*lcae!$J$2</f>
        <v>0</v>
      </c>
      <c r="K214" s="2">
        <f>geracao_kwh!K214*lcae!$K$2</f>
        <v>12735712587.000004</v>
      </c>
      <c r="L214" s="2">
        <f>geracao_kwh!L214*lcae!$L$2</f>
        <v>945514080671.99915</v>
      </c>
      <c r="M214" s="2">
        <f>geracao_kwh!M214*lcae!$M$2</f>
        <v>289457965439.99969</v>
      </c>
      <c r="N214" s="2">
        <f>geracao_kwh!N214*lcae!$N$2</f>
        <v>0</v>
      </c>
      <c r="O214" s="2">
        <f>geracao_kwh!O214*lcae!$O$2</f>
        <v>0</v>
      </c>
    </row>
    <row r="215" spans="1:15" x14ac:dyDescent="0.3">
      <c r="A215" s="6">
        <v>214</v>
      </c>
      <c r="B215" s="6">
        <v>2017</v>
      </c>
      <c r="C215" s="6">
        <v>10</v>
      </c>
      <c r="D215" s="2">
        <f>geracao_kwh!D215*lcae!$D$2</f>
        <v>50084765484.000191</v>
      </c>
      <c r="E215" s="2">
        <f>geracao_kwh!E215*lcae!$E$2</f>
        <v>1602806960755.0027</v>
      </c>
      <c r="F215" s="2">
        <f>geracao_kwh!F215*lcae!$F$2</f>
        <v>60656519664.000076</v>
      </c>
      <c r="G215" s="2">
        <f>geracao_kwh!G215*lcae!$G$2</f>
        <v>5850409376.0000076</v>
      </c>
      <c r="H215" s="2">
        <f>geracao_kwh!H215*lcae!$H$2</f>
        <v>2966562132659.9995</v>
      </c>
      <c r="I215" s="2">
        <f>geracao_kwh!I215*lcae!$I$2</f>
        <v>613979759567.98682</v>
      </c>
      <c r="J215" s="2">
        <f>geracao_kwh!J215*lcae!$J$2</f>
        <v>0</v>
      </c>
      <c r="K215" s="2">
        <f>geracao_kwh!K215*lcae!$K$2</f>
        <v>15418663390.000006</v>
      </c>
      <c r="L215" s="2">
        <f>geracao_kwh!L215*lcae!$L$2</f>
        <v>1060495158240.0031</v>
      </c>
      <c r="M215" s="2">
        <f>geracao_kwh!M215*lcae!$M$2</f>
        <v>339634856399.99982</v>
      </c>
      <c r="N215" s="2">
        <f>geracao_kwh!N215*lcae!$N$2</f>
        <v>0</v>
      </c>
      <c r="O215" s="2">
        <f>geracao_kwh!O215*lcae!$O$2</f>
        <v>0</v>
      </c>
    </row>
    <row r="216" spans="1:15" x14ac:dyDescent="0.3">
      <c r="A216" s="6">
        <v>215</v>
      </c>
      <c r="B216" s="6">
        <v>2017</v>
      </c>
      <c r="C216" s="6">
        <v>11</v>
      </c>
      <c r="D216" s="2">
        <f>geracao_kwh!D216*lcae!$D$2</f>
        <v>43326384711.999626</v>
      </c>
      <c r="E216" s="2">
        <f>geracao_kwh!E216*lcae!$E$2</f>
        <v>1546585888847.9985</v>
      </c>
      <c r="F216" s="2">
        <f>geracao_kwh!F216*lcae!$F$2</f>
        <v>48943160460.999817</v>
      </c>
      <c r="G216" s="2">
        <f>geracao_kwh!G216*lcae!$G$2</f>
        <v>5237965320.999999</v>
      </c>
      <c r="H216" s="2">
        <f>geracao_kwh!H216*lcae!$H$2</f>
        <v>2699380954313.9932</v>
      </c>
      <c r="I216" s="2">
        <f>geracao_kwh!I216*lcae!$I$2</f>
        <v>622026880985.9917</v>
      </c>
      <c r="J216" s="2">
        <f>geracao_kwh!J216*lcae!$J$2</f>
        <v>0</v>
      </c>
      <c r="K216" s="2">
        <f>geracao_kwh!K216*lcae!$K$2</f>
        <v>18760150421.999981</v>
      </c>
      <c r="L216" s="2">
        <f>geracao_kwh!L216*lcae!$L$2</f>
        <v>664221389159.99792</v>
      </c>
      <c r="M216" s="2">
        <f>geracao_kwh!M216*lcae!$M$2</f>
        <v>219194624039.99951</v>
      </c>
      <c r="N216" s="2">
        <f>geracao_kwh!N216*lcae!$N$2</f>
        <v>0</v>
      </c>
      <c r="O216" s="2">
        <f>geracao_kwh!O216*lcae!$O$2</f>
        <v>0</v>
      </c>
    </row>
    <row r="217" spans="1:15" x14ac:dyDescent="0.3">
      <c r="A217" s="6">
        <v>216</v>
      </c>
      <c r="B217" s="6">
        <v>2017</v>
      </c>
      <c r="C217" s="6">
        <v>12</v>
      </c>
      <c r="D217" s="2">
        <f>geracao_kwh!D217*lcae!$D$2</f>
        <v>28439990332.00005</v>
      </c>
      <c r="E217" s="2">
        <f>geracao_kwh!E217*lcae!$E$2</f>
        <v>1445491908860.9995</v>
      </c>
      <c r="F217" s="2">
        <f>geracao_kwh!F217*lcae!$F$2</f>
        <v>45907309734.000061</v>
      </c>
      <c r="G217" s="2">
        <f>geracao_kwh!G217*lcae!$G$2</f>
        <v>6145509432.0000038</v>
      </c>
      <c r="H217" s="2">
        <f>geracao_kwh!H217*lcae!$H$2</f>
        <v>2487916119906.0137</v>
      </c>
      <c r="I217" s="2">
        <f>geracao_kwh!I217*lcae!$I$2</f>
        <v>718968374292.00293</v>
      </c>
      <c r="J217" s="2">
        <f>geracao_kwh!J217*lcae!$J$2</f>
        <v>0</v>
      </c>
      <c r="K217" s="2">
        <f>geracao_kwh!K217*lcae!$K$2</f>
        <v>17498890421.999992</v>
      </c>
      <c r="L217" s="2">
        <f>geracao_kwh!L217*lcae!$L$2</f>
        <v>132248994192.00031</v>
      </c>
      <c r="M217" s="2">
        <f>geracao_kwh!M217*lcae!$M$2</f>
        <v>90356206079.999832</v>
      </c>
      <c r="N217" s="2">
        <f>geracao_kwh!N217*lcae!$N$2</f>
        <v>0</v>
      </c>
      <c r="O217" s="2">
        <f>geracao_kwh!O217*lcae!$O$2</f>
        <v>0</v>
      </c>
    </row>
    <row r="218" spans="1:15" x14ac:dyDescent="0.3">
      <c r="A218" s="6">
        <v>217</v>
      </c>
      <c r="B218" s="6">
        <v>2018</v>
      </c>
      <c r="C218" s="6">
        <v>1</v>
      </c>
      <c r="D218" s="2">
        <f>geracao_kwh!D218*lcae!$D$2</f>
        <v>14236333227.999956</v>
      </c>
      <c r="E218" s="2">
        <f>geracao_kwh!E218*lcae!$E$2</f>
        <v>1039415434057.0002</v>
      </c>
      <c r="F218" s="2">
        <f>geracao_kwh!F218*lcae!$F$2</f>
        <v>42484396279.000351</v>
      </c>
      <c r="G218" s="2">
        <f>geracao_kwh!G218*lcae!$G$2</f>
        <v>7069635031</v>
      </c>
      <c r="H218" s="2">
        <f>geracao_kwh!H218*lcae!$H$2</f>
        <v>1846048761320.3962</v>
      </c>
      <c r="I218" s="2">
        <f>geracao_kwh!I218*lcae!$I$2</f>
        <v>805025190228.00391</v>
      </c>
      <c r="J218" s="2">
        <f>geracao_kwh!J218*lcae!$J$2</f>
        <v>0</v>
      </c>
      <c r="K218" s="2">
        <f>geracao_kwh!K218*lcae!$K$2</f>
        <v>18195394802.000015</v>
      </c>
      <c r="L218" s="2">
        <f>geracao_kwh!L218*lcae!$L$2</f>
        <v>151990852439.99872</v>
      </c>
      <c r="M218" s="2">
        <f>geracao_kwh!M218*lcae!$M$2</f>
        <v>84754001639.999908</v>
      </c>
      <c r="N218" s="2">
        <f>geracao_kwh!N218*lcae!$N$2</f>
        <v>0</v>
      </c>
      <c r="O218" s="2">
        <f>geracao_kwh!O218*lcae!$O$2</f>
        <v>0</v>
      </c>
    </row>
    <row r="219" spans="1:15" x14ac:dyDescent="0.3">
      <c r="A219" s="6">
        <v>218</v>
      </c>
      <c r="B219" s="6">
        <v>2018</v>
      </c>
      <c r="C219" s="6">
        <v>2</v>
      </c>
      <c r="D219" s="2">
        <f>geracao_kwh!D219*lcae!$D$2</f>
        <v>13841060531.999979</v>
      </c>
      <c r="E219" s="2">
        <f>geracao_kwh!E219*lcae!$E$2</f>
        <v>1014574930369.0023</v>
      </c>
      <c r="F219" s="2">
        <f>geracao_kwh!F219*lcae!$F$2</f>
        <v>26539854224.000122</v>
      </c>
      <c r="G219" s="2">
        <f>geracao_kwh!G219*lcae!$G$2</f>
        <v>6327266949.0000067</v>
      </c>
      <c r="H219" s="2">
        <f>geracao_kwh!H219*lcae!$H$2</f>
        <v>1465260657264.0061</v>
      </c>
      <c r="I219" s="2">
        <f>geracao_kwh!I219*lcae!$I$2</f>
        <v>758637471753.01135</v>
      </c>
      <c r="J219" s="2">
        <f>geracao_kwh!J219*lcae!$J$2</f>
        <v>0</v>
      </c>
      <c r="K219" s="2">
        <f>geracao_kwh!K219*lcae!$K$2</f>
        <v>10724509743.999985</v>
      </c>
      <c r="L219" s="2">
        <f>geracao_kwh!L219*lcae!$L$2</f>
        <v>206156587559.99994</v>
      </c>
      <c r="M219" s="2">
        <f>geracao_kwh!M219*lcae!$M$2</f>
        <v>66226390440.000023</v>
      </c>
      <c r="N219" s="2">
        <f>geracao_kwh!N219*lcae!$N$2</f>
        <v>0</v>
      </c>
      <c r="O219" s="2">
        <f>geracao_kwh!O219*lcae!$O$2</f>
        <v>0</v>
      </c>
    </row>
    <row r="220" spans="1:15" x14ac:dyDescent="0.3">
      <c r="A220" s="6">
        <v>219</v>
      </c>
      <c r="B220" s="6">
        <v>2018</v>
      </c>
      <c r="C220" s="6">
        <v>3</v>
      </c>
      <c r="D220" s="2">
        <f>geracao_kwh!D220*lcae!$D$2</f>
        <v>22432008664.000183</v>
      </c>
      <c r="E220" s="2">
        <f>geracao_kwh!E220*lcae!$E$2</f>
        <v>1277872237641.9985</v>
      </c>
      <c r="F220" s="2">
        <f>geracao_kwh!F220*lcae!$F$2</f>
        <v>28186860987.99992</v>
      </c>
      <c r="G220" s="2">
        <f>geracao_kwh!G220*lcae!$G$2</f>
        <v>7933717236.0000143</v>
      </c>
      <c r="H220" s="2">
        <f>geracao_kwh!H220*lcae!$H$2</f>
        <v>1574416561013.9954</v>
      </c>
      <c r="I220" s="2">
        <f>geracao_kwh!I220*lcae!$I$2</f>
        <v>862994197190.9856</v>
      </c>
      <c r="J220" s="2">
        <f>geracao_kwh!J220*lcae!$J$2</f>
        <v>0</v>
      </c>
      <c r="K220" s="2">
        <f>geracao_kwh!K220*lcae!$K$2</f>
        <v>11127321751.000002</v>
      </c>
      <c r="L220" s="2">
        <f>geracao_kwh!L220*lcae!$L$2</f>
        <v>384717845399.99945</v>
      </c>
      <c r="M220" s="2">
        <f>geracao_kwh!M220*lcae!$M$2</f>
        <v>99823323600.000168</v>
      </c>
      <c r="N220" s="2">
        <f>geracao_kwh!N220*lcae!$N$2</f>
        <v>0</v>
      </c>
      <c r="O220" s="2">
        <f>geracao_kwh!O220*lcae!$O$2</f>
        <v>0</v>
      </c>
    </row>
    <row r="221" spans="1:15" x14ac:dyDescent="0.3">
      <c r="A221" s="6">
        <v>220</v>
      </c>
      <c r="B221" s="6">
        <v>2018</v>
      </c>
      <c r="C221" s="6">
        <v>4</v>
      </c>
      <c r="D221" s="2">
        <f>geracao_kwh!D221*lcae!$D$2</f>
        <v>39906951083.999779</v>
      </c>
      <c r="E221" s="2">
        <f>geracao_kwh!E221*lcae!$E$2</f>
        <v>888675479692</v>
      </c>
      <c r="F221" s="2">
        <f>geracao_kwh!F221*lcae!$F$2</f>
        <v>33681148917.00087</v>
      </c>
      <c r="G221" s="2">
        <f>geracao_kwh!G221*lcae!$G$2</f>
        <v>7879429263.0000324</v>
      </c>
      <c r="H221" s="2">
        <f>geracao_kwh!H221*lcae!$H$2</f>
        <v>1230327225485.9978</v>
      </c>
      <c r="I221" s="2">
        <f>geracao_kwh!I221*lcae!$I$2</f>
        <v>766268902539.00549</v>
      </c>
      <c r="J221" s="2">
        <f>geracao_kwh!J221*lcae!$J$2</f>
        <v>0</v>
      </c>
      <c r="K221" s="2">
        <f>geracao_kwh!K221*lcae!$K$2</f>
        <v>18509564372.000019</v>
      </c>
      <c r="L221" s="2">
        <f>geracao_kwh!L221*lcae!$L$2</f>
        <v>175762258559.99973</v>
      </c>
      <c r="M221" s="2">
        <f>geracao_kwh!M221*lcae!$M$2</f>
        <v>100432811640.00017</v>
      </c>
      <c r="N221" s="2">
        <f>geracao_kwh!N221*lcae!$N$2</f>
        <v>0</v>
      </c>
      <c r="O221" s="2">
        <f>geracao_kwh!O221*lcae!$O$2</f>
        <v>0</v>
      </c>
    </row>
    <row r="222" spans="1:15" x14ac:dyDescent="0.3">
      <c r="A222" s="6">
        <v>221</v>
      </c>
      <c r="B222" s="6">
        <v>2018</v>
      </c>
      <c r="C222" s="6">
        <v>5</v>
      </c>
      <c r="D222" s="2">
        <f>geracao_kwh!D222*lcae!$D$2</f>
        <v>44789389267.999222</v>
      </c>
      <c r="E222" s="2">
        <f>geracao_kwh!E222*lcae!$E$2</f>
        <v>983369552165.00146</v>
      </c>
      <c r="F222" s="2">
        <f>geracao_kwh!F222*lcae!$F$2</f>
        <v>46444384219.999924</v>
      </c>
      <c r="G222" s="2">
        <f>geracao_kwh!G222*lcae!$G$2</f>
        <v>9206786545.0000172</v>
      </c>
      <c r="H222" s="2">
        <f>geracao_kwh!H222*lcae!$H$2</f>
        <v>1465277772240.001</v>
      </c>
      <c r="I222" s="2">
        <f>geracao_kwh!I222*lcae!$I$2</f>
        <v>702790670672.98376</v>
      </c>
      <c r="J222" s="2">
        <f>geracao_kwh!J222*lcae!$J$2</f>
        <v>0</v>
      </c>
      <c r="K222" s="2">
        <f>geracao_kwh!K222*lcae!$K$2</f>
        <v>19434465192.999966</v>
      </c>
      <c r="L222" s="2">
        <f>geracao_kwh!L222*lcae!$L$2</f>
        <v>33771292800.000019</v>
      </c>
      <c r="M222" s="2">
        <f>geracao_kwh!M222*lcae!$M$2</f>
        <v>108418247279.99989</v>
      </c>
      <c r="N222" s="2">
        <f>geracao_kwh!N222*lcae!$N$2</f>
        <v>0</v>
      </c>
      <c r="O222" s="2">
        <f>geracao_kwh!O222*lcae!$O$2</f>
        <v>0</v>
      </c>
    </row>
    <row r="223" spans="1:15" x14ac:dyDescent="0.3">
      <c r="A223" s="6">
        <v>222</v>
      </c>
      <c r="B223" s="6">
        <v>2018</v>
      </c>
      <c r="C223" s="6">
        <v>6</v>
      </c>
      <c r="D223" s="2">
        <f>geracao_kwh!D223*lcae!$D$2</f>
        <v>52511067075.999771</v>
      </c>
      <c r="E223" s="2">
        <f>geracao_kwh!E223*lcae!$E$2</f>
        <v>1213352114974.9998</v>
      </c>
      <c r="F223" s="2">
        <f>geracao_kwh!F223*lcae!$F$2</f>
        <v>54070884126.999832</v>
      </c>
      <c r="G223" s="2">
        <f>geracao_kwh!G223*lcae!$G$2</f>
        <v>9224528774.9999905</v>
      </c>
      <c r="H223" s="2">
        <f>geracao_kwh!H223*lcae!$H$2</f>
        <v>2193875395344.0022</v>
      </c>
      <c r="I223" s="2">
        <f>geracao_kwh!I223*lcae!$I$2</f>
        <v>612773704200.00146</v>
      </c>
      <c r="J223" s="2">
        <f>geracao_kwh!J223*lcae!$J$2</f>
        <v>0</v>
      </c>
      <c r="K223" s="2">
        <f>geracao_kwh!K223*lcae!$K$2</f>
        <v>18803584422.999996</v>
      </c>
      <c r="L223" s="2">
        <f>geracao_kwh!L223*lcae!$L$2</f>
        <v>7242631199.9999981</v>
      </c>
      <c r="M223" s="2">
        <f>geracao_kwh!M223*lcae!$M$2</f>
        <v>170166851400.00006</v>
      </c>
      <c r="N223" s="2">
        <f>geracao_kwh!N223*lcae!$N$2</f>
        <v>0</v>
      </c>
      <c r="O223" s="2">
        <f>geracao_kwh!O223*lcae!$O$2</f>
        <v>0</v>
      </c>
    </row>
    <row r="224" spans="1:15" x14ac:dyDescent="0.3">
      <c r="A224" s="6">
        <v>223</v>
      </c>
      <c r="B224" s="6">
        <v>2018</v>
      </c>
      <c r="C224" s="6">
        <v>7</v>
      </c>
      <c r="D224" s="2">
        <f>geracao_kwh!D224*lcae!$D$2</f>
        <v>57256187871.999252</v>
      </c>
      <c r="E224" s="2">
        <f>geracao_kwh!E224*lcae!$E$2</f>
        <v>1534073064524.001</v>
      </c>
      <c r="F224" s="2">
        <f>geracao_kwh!F224*lcae!$F$2</f>
        <v>62925403644.999825</v>
      </c>
      <c r="G224" s="2">
        <f>geracao_kwh!G224*lcae!$G$2</f>
        <v>10552598609.999994</v>
      </c>
      <c r="H224" s="2">
        <f>geracao_kwh!H224*lcae!$H$2</f>
        <v>2379995536787.9678</v>
      </c>
      <c r="I224" s="2">
        <f>geracao_kwh!I224*lcae!$I$2</f>
        <v>603924516677.9989</v>
      </c>
      <c r="J224" s="2">
        <f>geracao_kwh!J224*lcae!$J$2</f>
        <v>0</v>
      </c>
      <c r="K224" s="2">
        <f>geracao_kwh!K224*lcae!$K$2</f>
        <v>19413456413.000019</v>
      </c>
      <c r="L224" s="2">
        <f>geracao_kwh!L224*lcae!$L$2</f>
        <v>148544155200.00003</v>
      </c>
      <c r="M224" s="2">
        <f>geracao_kwh!M224*lcae!$M$2</f>
        <v>262257875040</v>
      </c>
      <c r="N224" s="2">
        <f>geracao_kwh!N224*lcae!$N$2</f>
        <v>0</v>
      </c>
      <c r="O224" s="2">
        <f>geracao_kwh!O224*lcae!$O$2</f>
        <v>0</v>
      </c>
    </row>
    <row r="225" spans="1:15" x14ac:dyDescent="0.3">
      <c r="A225" s="6">
        <v>224</v>
      </c>
      <c r="B225" s="6">
        <v>2018</v>
      </c>
      <c r="C225" s="6">
        <v>8</v>
      </c>
      <c r="D225" s="2">
        <f>geracao_kwh!D225*lcae!$D$2</f>
        <v>51878343451.999596</v>
      </c>
      <c r="E225" s="2">
        <f>geracao_kwh!E225*lcae!$E$2</f>
        <v>1529035761253.0054</v>
      </c>
      <c r="F225" s="2">
        <f>geracao_kwh!F225*lcae!$F$2</f>
        <v>64565857551.000061</v>
      </c>
      <c r="G225" s="2">
        <f>geracao_kwh!G225*lcae!$G$2</f>
        <v>10333633966.999989</v>
      </c>
      <c r="H225" s="2">
        <f>geracao_kwh!H225*lcae!$H$2</f>
        <v>2115484101269.9661</v>
      </c>
      <c r="I225" s="2">
        <f>geracao_kwh!I225*lcae!$I$2</f>
        <v>608091432165.0022</v>
      </c>
      <c r="J225" s="2">
        <f>geracao_kwh!J225*lcae!$J$2</f>
        <v>0</v>
      </c>
      <c r="K225" s="2">
        <f>geracao_kwh!K225*lcae!$K$2</f>
        <v>19556260204.000004</v>
      </c>
      <c r="L225" s="2">
        <f>geracao_kwh!L225*lcae!$L$2</f>
        <v>893342021879.99976</v>
      </c>
      <c r="M225" s="2">
        <f>geracao_kwh!M225*lcae!$M$2</f>
        <v>285785184720.00049</v>
      </c>
      <c r="N225" s="2">
        <f>geracao_kwh!N225*lcae!$N$2</f>
        <v>0</v>
      </c>
      <c r="O225" s="2">
        <f>geracao_kwh!O225*lcae!$O$2</f>
        <v>0</v>
      </c>
    </row>
    <row r="226" spans="1:15" x14ac:dyDescent="0.3">
      <c r="A226" s="6">
        <v>225</v>
      </c>
      <c r="B226" s="6">
        <v>2018</v>
      </c>
      <c r="C226" s="6">
        <v>9</v>
      </c>
      <c r="D226" s="2">
        <f>geracao_kwh!D226*lcae!$D$2</f>
        <v>46551736088.000305</v>
      </c>
      <c r="E226" s="2">
        <f>geracao_kwh!E226*lcae!$E$2</f>
        <v>1203692479989.9998</v>
      </c>
      <c r="F226" s="2">
        <f>geracao_kwh!F226*lcae!$F$2</f>
        <v>68290610505.000046</v>
      </c>
      <c r="G226" s="2">
        <f>geracao_kwh!G226*lcae!$G$2</f>
        <v>11642275842.999992</v>
      </c>
      <c r="H226" s="2">
        <f>geracao_kwh!H226*lcae!$H$2</f>
        <v>2574028256382.0205</v>
      </c>
      <c r="I226" s="2">
        <f>geracao_kwh!I226*lcae!$I$2</f>
        <v>580473688892.99622</v>
      </c>
      <c r="J226" s="2">
        <f>geracao_kwh!J226*lcae!$J$2</f>
        <v>0</v>
      </c>
      <c r="K226" s="2">
        <f>geracao_kwh!K226*lcae!$K$2</f>
        <v>18834877867.000031</v>
      </c>
      <c r="L226" s="2">
        <f>geracao_kwh!L226*lcae!$L$2</f>
        <v>627607738799.99854</v>
      </c>
      <c r="M226" s="2">
        <f>geracao_kwh!M226*lcae!$M$2</f>
        <v>242969364120.00009</v>
      </c>
      <c r="N226" s="2">
        <f>geracao_kwh!N226*lcae!$N$2</f>
        <v>0</v>
      </c>
      <c r="O226" s="2">
        <f>geracao_kwh!O226*lcae!$O$2</f>
        <v>0</v>
      </c>
    </row>
    <row r="227" spans="1:15" x14ac:dyDescent="0.3">
      <c r="A227" s="6">
        <v>226</v>
      </c>
      <c r="B227" s="6">
        <v>2018</v>
      </c>
      <c r="C227" s="6">
        <v>10</v>
      </c>
      <c r="D227" s="2">
        <f>geracao_kwh!D227*lcae!$D$2</f>
        <v>41948918491.999924</v>
      </c>
      <c r="E227" s="2">
        <f>geracao_kwh!E227*lcae!$E$2</f>
        <v>1109385572295.0017</v>
      </c>
      <c r="F227" s="2">
        <f>geracao_kwh!F227*lcae!$F$2</f>
        <v>58753572695.999619</v>
      </c>
      <c r="G227" s="2">
        <f>geracao_kwh!G227*lcae!$G$2</f>
        <v>11216676032.999985</v>
      </c>
      <c r="H227" s="2">
        <f>geracao_kwh!H227*lcae!$H$2</f>
        <v>2108954995020.0212</v>
      </c>
      <c r="I227" s="2">
        <f>geracao_kwh!I227*lcae!$I$2</f>
        <v>704911809860.98315</v>
      </c>
      <c r="J227" s="2">
        <f>geracao_kwh!J227*lcae!$J$2</f>
        <v>0</v>
      </c>
      <c r="K227" s="2">
        <f>geracao_kwh!K227*lcae!$K$2</f>
        <v>18296004765.999992</v>
      </c>
      <c r="L227" s="2">
        <f>geracao_kwh!L227*lcae!$L$2</f>
        <v>146724526199.99985</v>
      </c>
      <c r="M227" s="2">
        <f>geracao_kwh!M227*lcae!$M$2</f>
        <v>124706793120.0002</v>
      </c>
      <c r="N227" s="2">
        <f>geracao_kwh!N227*lcae!$N$2</f>
        <v>0</v>
      </c>
      <c r="O227" s="2">
        <f>geracao_kwh!O227*lcae!$O$2</f>
        <v>0</v>
      </c>
    </row>
    <row r="228" spans="1:15" x14ac:dyDescent="0.3">
      <c r="A228" s="6">
        <v>227</v>
      </c>
      <c r="B228" s="6">
        <v>2018</v>
      </c>
      <c r="C228" s="6">
        <v>11</v>
      </c>
      <c r="D228" s="2">
        <f>geracao_kwh!D228*lcae!$D$2</f>
        <v>36947203123.999992</v>
      </c>
      <c r="E228" s="2">
        <f>geracao_kwh!E228*lcae!$E$2</f>
        <v>417301525640.99939</v>
      </c>
      <c r="F228" s="2">
        <f>geracao_kwh!F228*lcae!$F$2</f>
        <v>63460441395.000595</v>
      </c>
      <c r="G228" s="2">
        <f>geracao_kwh!G228*lcae!$G$2</f>
        <v>10548291901.999989</v>
      </c>
      <c r="H228" s="2">
        <f>geracao_kwh!H228*lcae!$H$2</f>
        <v>1010793849210.0082</v>
      </c>
      <c r="I228" s="2">
        <f>geracao_kwh!I228*lcae!$I$2</f>
        <v>745532805107.99487</v>
      </c>
      <c r="J228" s="2">
        <f>geracao_kwh!J228*lcae!$J$2</f>
        <v>0</v>
      </c>
      <c r="K228" s="2">
        <f>geracao_kwh!K228*lcae!$K$2</f>
        <v>12772074288.999994</v>
      </c>
      <c r="L228" s="2">
        <f>geracao_kwh!L228*lcae!$L$2</f>
        <v>99328106639.99968</v>
      </c>
      <c r="M228" s="2">
        <f>geracao_kwh!M228*lcae!$M$2</f>
        <v>113440184760</v>
      </c>
      <c r="N228" s="2">
        <f>geracao_kwh!N228*lcae!$N$2</f>
        <v>0</v>
      </c>
      <c r="O228" s="2">
        <f>geracao_kwh!O228*lcae!$O$2</f>
        <v>0</v>
      </c>
    </row>
    <row r="229" spans="1:15" x14ac:dyDescent="0.3">
      <c r="A229" s="6">
        <v>228</v>
      </c>
      <c r="B229" s="6">
        <v>2018</v>
      </c>
      <c r="C229" s="6">
        <v>12</v>
      </c>
      <c r="D229" s="2">
        <f>geracao_kwh!D229*lcae!$D$2</f>
        <v>26162055919.999962</v>
      </c>
      <c r="E229" s="2">
        <f>geracao_kwh!E229*lcae!$E$2</f>
        <v>525644199080.00067</v>
      </c>
      <c r="F229" s="2">
        <f>geracao_kwh!F229*lcae!$F$2</f>
        <v>46338851039.000046</v>
      </c>
      <c r="G229" s="2">
        <f>geracao_kwh!G229*lcae!$G$2</f>
        <v>12878256834.999977</v>
      </c>
      <c r="H229" s="2">
        <f>geracao_kwh!H229*lcae!$H$2</f>
        <v>828249752628</v>
      </c>
      <c r="I229" s="2">
        <f>geracao_kwh!I229*lcae!$I$2</f>
        <v>825087954410.98242</v>
      </c>
      <c r="J229" s="2">
        <f>geracao_kwh!J229*lcae!$J$2</f>
        <v>0</v>
      </c>
      <c r="K229" s="2">
        <f>geracao_kwh!K229*lcae!$K$2</f>
        <v>18095539488.000008</v>
      </c>
      <c r="L229" s="2">
        <f>geracao_kwh!L229*lcae!$L$2</f>
        <v>197365531440.00003</v>
      </c>
      <c r="M229" s="2">
        <f>geracao_kwh!M229*lcae!$M$2</f>
        <v>136226472480.00017</v>
      </c>
      <c r="N229" s="2">
        <f>geracao_kwh!N229*lcae!$N$2</f>
        <v>0</v>
      </c>
      <c r="O229" s="2">
        <f>geracao_kwh!O229*lcae!$O$2</f>
        <v>0</v>
      </c>
    </row>
    <row r="230" spans="1:15" x14ac:dyDescent="0.3">
      <c r="A230" s="6">
        <v>229</v>
      </c>
      <c r="B230" s="6">
        <v>2019</v>
      </c>
      <c r="C230" s="6">
        <v>1</v>
      </c>
      <c r="D230" s="2">
        <f>geracao_kwh!D230*lcae!$D$2</f>
        <v>13473833308.000025</v>
      </c>
      <c r="E230" s="2">
        <f>geracao_kwh!E230*lcae!$E$2</f>
        <v>448380789857.00098</v>
      </c>
      <c r="F230" s="2">
        <f>geracao_kwh!F230*lcae!$F$2</f>
        <v>53891646549.000381</v>
      </c>
      <c r="G230" s="2">
        <f>geracao_kwh!G230*lcae!$G$2</f>
        <v>15410173461.000038</v>
      </c>
      <c r="H230" s="2">
        <f>geracao_kwh!H230*lcae!$H$2</f>
        <v>1256289674993.9927</v>
      </c>
      <c r="I230" s="2">
        <f>geracao_kwh!I230*lcae!$I$2</f>
        <v>895430801915.99182</v>
      </c>
      <c r="J230" s="2">
        <f>geracao_kwh!J230*lcae!$J$2</f>
        <v>0</v>
      </c>
      <c r="K230" s="2">
        <f>geracao_kwh!K230*lcae!$K$2</f>
        <v>18433508261.999977</v>
      </c>
      <c r="L230" s="2">
        <f>geracao_kwh!L230*lcae!$L$2</f>
        <v>104737645320.00017</v>
      </c>
      <c r="M230" s="2">
        <f>geracao_kwh!M230*lcae!$M$2</f>
        <v>81003450360.000168</v>
      </c>
      <c r="N230" s="2">
        <f>geracao_kwh!N230*lcae!$N$2</f>
        <v>0</v>
      </c>
      <c r="O230" s="2">
        <f>geracao_kwh!O230*lcae!$O$2</f>
        <v>0</v>
      </c>
    </row>
    <row r="231" spans="1:15" x14ac:dyDescent="0.3">
      <c r="A231" s="6">
        <v>230</v>
      </c>
      <c r="B231" s="6">
        <v>2019</v>
      </c>
      <c r="C231" s="6">
        <v>2</v>
      </c>
      <c r="D231" s="2">
        <f>geracao_kwh!D231*lcae!$D$2</f>
        <v>14004991728.000031</v>
      </c>
      <c r="E231" s="2">
        <f>geracao_kwh!E231*lcae!$E$2</f>
        <v>907280579205.00073</v>
      </c>
      <c r="F231" s="2">
        <f>geracao_kwh!F231*lcae!$F$2</f>
        <v>28282081542.000107</v>
      </c>
      <c r="G231" s="2">
        <f>geracao_kwh!G231*lcae!$G$2</f>
        <v>12554018860.999985</v>
      </c>
      <c r="H231" s="2">
        <f>geracao_kwh!H231*lcae!$H$2</f>
        <v>1880294398776.0005</v>
      </c>
      <c r="I231" s="2">
        <f>geracao_kwh!I231*lcae!$I$2</f>
        <v>772926248282.99097</v>
      </c>
      <c r="J231" s="2">
        <f>geracao_kwh!J231*lcae!$J$2</f>
        <v>0</v>
      </c>
      <c r="K231" s="2">
        <f>geracao_kwh!K231*lcae!$K$2</f>
        <v>17386917144.999996</v>
      </c>
      <c r="L231" s="2">
        <f>geracao_kwh!L231*lcae!$L$2</f>
        <v>243891714360.00034</v>
      </c>
      <c r="M231" s="2">
        <f>geracao_kwh!M231*lcae!$M$2</f>
        <v>150775586639.99994</v>
      </c>
      <c r="N231" s="2">
        <f>geracao_kwh!N231*lcae!$N$2</f>
        <v>0</v>
      </c>
      <c r="O231" s="2">
        <f>geracao_kwh!O231*lcae!$O$2</f>
        <v>0</v>
      </c>
    </row>
    <row r="232" spans="1:15" x14ac:dyDescent="0.3">
      <c r="A232" s="6">
        <v>231</v>
      </c>
      <c r="B232" s="6">
        <v>2019</v>
      </c>
      <c r="C232" s="6">
        <v>3</v>
      </c>
      <c r="D232" s="2">
        <f>geracao_kwh!D232*lcae!$D$2</f>
        <v>25840140664</v>
      </c>
      <c r="E232" s="2">
        <f>geracao_kwh!E232*lcae!$E$2</f>
        <v>936907510538.99939</v>
      </c>
      <c r="F232" s="2">
        <f>geracao_kwh!F232*lcae!$F$2</f>
        <v>32919451151.989986</v>
      </c>
      <c r="G232" s="2">
        <f>geracao_kwh!G232*lcae!$G$2</f>
        <v>14077466290.999987</v>
      </c>
      <c r="H232" s="2">
        <f>geracao_kwh!H232*lcae!$H$2</f>
        <v>1477002267089.9939</v>
      </c>
      <c r="I232" s="2">
        <f>geracao_kwh!I232*lcae!$I$2</f>
        <v>834272900033.98267</v>
      </c>
      <c r="J232" s="2">
        <f>geracao_kwh!J232*lcae!$J$2</f>
        <v>0</v>
      </c>
      <c r="K232" s="2">
        <f>geracao_kwh!K232*lcae!$K$2</f>
        <v>16692021866.000006</v>
      </c>
      <c r="L232" s="2">
        <f>geracao_kwh!L232*lcae!$L$2</f>
        <v>227428939079.99985</v>
      </c>
      <c r="M232" s="2">
        <f>geracao_kwh!M232*lcae!$M$2</f>
        <v>46478167680.000008</v>
      </c>
      <c r="N232" s="2">
        <f>geracao_kwh!N232*lcae!$N$2</f>
        <v>0</v>
      </c>
      <c r="O232" s="2">
        <f>geracao_kwh!O232*lcae!$O$2</f>
        <v>0</v>
      </c>
    </row>
    <row r="233" spans="1:15" x14ac:dyDescent="0.3">
      <c r="A233" s="6">
        <v>232</v>
      </c>
      <c r="B233" s="6">
        <v>2019</v>
      </c>
      <c r="C233" s="6">
        <v>4</v>
      </c>
      <c r="D233" s="2">
        <f>geracao_kwh!D233*lcae!$D$2</f>
        <v>39327611283.999977</v>
      </c>
      <c r="E233" s="2">
        <f>geracao_kwh!E233*lcae!$E$2</f>
        <v>953134803620.99561</v>
      </c>
      <c r="F233" s="2">
        <f>geracao_kwh!F233*lcae!$F$2</f>
        <v>33447267399.000446</v>
      </c>
      <c r="G233" s="2">
        <f>geracao_kwh!G233*lcae!$G$2</f>
        <v>13454968749.999897</v>
      </c>
      <c r="H233" s="2">
        <f>geracao_kwh!H233*lcae!$H$2</f>
        <v>1099203014627.9984</v>
      </c>
      <c r="I233" s="2">
        <f>geracao_kwh!I233*lcae!$I$2</f>
        <v>797806286612.99365</v>
      </c>
      <c r="J233" s="2">
        <f>geracao_kwh!J233*lcae!$J$2</f>
        <v>0</v>
      </c>
      <c r="K233" s="2">
        <f>geracao_kwh!K233*lcae!$K$2</f>
        <v>13905219107.00001</v>
      </c>
      <c r="L233" s="2">
        <f>geracao_kwh!L233*lcae!$L$2</f>
        <v>250407008880</v>
      </c>
      <c r="M233" s="2">
        <f>geracao_kwh!M233*lcae!$M$2</f>
        <v>46884158159.999916</v>
      </c>
      <c r="N233" s="2">
        <f>geracao_kwh!N233*lcae!$N$2</f>
        <v>0</v>
      </c>
      <c r="O233" s="2">
        <f>geracao_kwh!O233*lcae!$O$2</f>
        <v>0</v>
      </c>
    </row>
    <row r="234" spans="1:15" x14ac:dyDescent="0.3">
      <c r="A234" s="6">
        <v>233</v>
      </c>
      <c r="B234" s="6">
        <v>2019</v>
      </c>
      <c r="C234" s="6">
        <v>5</v>
      </c>
      <c r="D234" s="2">
        <f>geracao_kwh!D234*lcae!$D$2</f>
        <v>52399632583.999802</v>
      </c>
      <c r="E234" s="2">
        <f>geracao_kwh!E234*lcae!$E$2</f>
        <v>830380092542.00085</v>
      </c>
      <c r="F234" s="2">
        <f>geracao_kwh!F234*lcae!$F$2</f>
        <v>49558103179.000114</v>
      </c>
      <c r="G234" s="2">
        <f>geracao_kwh!G234*lcae!$G$2</f>
        <v>13906750873.000082</v>
      </c>
      <c r="H234" s="2">
        <f>geracao_kwh!H234*lcae!$H$2</f>
        <v>1056203490060.006</v>
      </c>
      <c r="I234" s="2">
        <f>geracao_kwh!I234*lcae!$I$2</f>
        <v>771736706915.99243</v>
      </c>
      <c r="J234" s="2">
        <f>geracao_kwh!J234*lcae!$J$2</f>
        <v>0</v>
      </c>
      <c r="K234" s="2">
        <f>geracao_kwh!K234*lcae!$K$2</f>
        <v>10037991508.999996</v>
      </c>
      <c r="L234" s="2">
        <f>geracao_kwh!L234*lcae!$L$2</f>
        <v>143912751359.99994</v>
      </c>
      <c r="M234" s="2">
        <f>geracao_kwh!M234*lcae!$M$2</f>
        <v>53899367759.999962</v>
      </c>
      <c r="N234" s="2">
        <f>geracao_kwh!N234*lcae!$N$2</f>
        <v>0</v>
      </c>
      <c r="O234" s="2">
        <f>geracao_kwh!O234*lcae!$O$2</f>
        <v>0</v>
      </c>
    </row>
    <row r="235" spans="1:15" x14ac:dyDescent="0.3">
      <c r="A235" s="6">
        <v>234</v>
      </c>
      <c r="B235" s="6">
        <v>2019</v>
      </c>
      <c r="C235" s="6">
        <v>6</v>
      </c>
      <c r="D235" s="2">
        <f>geracao_kwh!D235*lcae!$D$2</f>
        <v>53882417108.000168</v>
      </c>
      <c r="E235" s="2">
        <f>geracao_kwh!E235*lcae!$E$2</f>
        <v>535229926230.99921</v>
      </c>
      <c r="F235" s="2">
        <f>geracao_kwh!F235*lcae!$F$2</f>
        <v>65989919956.999878</v>
      </c>
      <c r="G235" s="2">
        <f>geracao_kwh!G235*lcae!$G$2</f>
        <v>13783583177.999994</v>
      </c>
      <c r="H235" s="2">
        <f>geracao_kwh!H235*lcae!$H$2</f>
        <v>1137338033975.9968</v>
      </c>
      <c r="I235" s="2">
        <f>geracao_kwh!I235*lcae!$I$2</f>
        <v>669389170127.99084</v>
      </c>
      <c r="J235" s="2">
        <f>geracao_kwh!J235*lcae!$J$2</f>
        <v>0</v>
      </c>
      <c r="K235" s="2">
        <f>geracao_kwh!K235*lcae!$K$2</f>
        <v>18549183276.000004</v>
      </c>
      <c r="L235" s="2">
        <f>geracao_kwh!L235*lcae!$L$2</f>
        <v>18263934360.000004</v>
      </c>
      <c r="M235" s="2">
        <f>geracao_kwh!M235*lcae!$M$2</f>
        <v>53900009520.000015</v>
      </c>
      <c r="N235" s="2">
        <f>geracao_kwh!N235*lcae!$N$2</f>
        <v>0</v>
      </c>
      <c r="O235" s="2">
        <f>geracao_kwh!O235*lcae!$O$2</f>
        <v>0</v>
      </c>
    </row>
    <row r="236" spans="1:15" x14ac:dyDescent="0.3">
      <c r="A236" s="6">
        <v>235</v>
      </c>
      <c r="B236" s="6">
        <v>2019</v>
      </c>
      <c r="C236" s="6">
        <v>7</v>
      </c>
      <c r="D236" s="2">
        <f>geracao_kwh!D236*lcae!$D$2</f>
        <v>55783851395.999825</v>
      </c>
      <c r="E236" s="2">
        <f>geracao_kwh!E236*lcae!$E$2</f>
        <v>1543282150410.0063</v>
      </c>
      <c r="F236" s="2">
        <f>geracao_kwh!F236*lcae!$F$2</f>
        <v>65619086715.00058</v>
      </c>
      <c r="G236" s="2">
        <f>geracao_kwh!G236*lcae!$G$2</f>
        <v>15008068550.000017</v>
      </c>
      <c r="H236" s="2">
        <f>geracao_kwh!H236*lcae!$H$2</f>
        <v>1934973313506.0037</v>
      </c>
      <c r="I236" s="2">
        <f>geracao_kwh!I236*lcae!$I$2</f>
        <v>631571669147.97375</v>
      </c>
      <c r="J236" s="2">
        <f>geracao_kwh!J236*lcae!$J$2</f>
        <v>0</v>
      </c>
      <c r="K236" s="2">
        <f>geracao_kwh!K236*lcae!$K$2</f>
        <v>19364878987.999981</v>
      </c>
      <c r="L236" s="2">
        <f>geracao_kwh!L236*lcae!$L$2</f>
        <v>24453231599.999866</v>
      </c>
      <c r="M236" s="2">
        <f>geracao_kwh!M236*lcae!$M$2</f>
        <v>44690733360.000015</v>
      </c>
      <c r="N236" s="2">
        <f>geracao_kwh!N236*lcae!$N$2</f>
        <v>0</v>
      </c>
      <c r="O236" s="2">
        <f>geracao_kwh!O236*lcae!$O$2</f>
        <v>0</v>
      </c>
    </row>
    <row r="237" spans="1:15" x14ac:dyDescent="0.3">
      <c r="A237" s="6">
        <v>236</v>
      </c>
      <c r="B237" s="6">
        <v>2019</v>
      </c>
      <c r="C237" s="6">
        <v>8</v>
      </c>
      <c r="D237" s="2">
        <f>geracao_kwh!D237*lcae!$D$2</f>
        <v>56869997080.000671</v>
      </c>
      <c r="E237" s="2">
        <f>geracao_kwh!E237*lcae!$E$2</f>
        <v>1489505197179.9915</v>
      </c>
      <c r="F237" s="2">
        <f>geracao_kwh!F237*lcae!$F$2</f>
        <v>81733286622.000031</v>
      </c>
      <c r="G237" s="2">
        <f>geracao_kwh!G237*lcae!$G$2</f>
        <v>17000286242.000032</v>
      </c>
      <c r="H237" s="2">
        <f>geracao_kwh!H237*lcae!$H$2</f>
        <v>2535290616960.0225</v>
      </c>
      <c r="I237" s="2">
        <f>geracao_kwh!I237*lcae!$I$2</f>
        <v>587834373398.96301</v>
      </c>
      <c r="J237" s="2">
        <f>geracao_kwh!J237*lcae!$J$2</f>
        <v>0</v>
      </c>
      <c r="K237" s="2">
        <f>geracao_kwh!K237*lcae!$K$2</f>
        <v>19505294107.000004</v>
      </c>
      <c r="L237" s="2">
        <f>geracao_kwh!L237*lcae!$L$2</f>
        <v>23336183639.999882</v>
      </c>
      <c r="M237" s="2">
        <f>geracao_kwh!M237*lcae!$M$2</f>
        <v>54184868639.999969</v>
      </c>
      <c r="N237" s="2">
        <f>geracao_kwh!N237*lcae!$N$2</f>
        <v>0</v>
      </c>
      <c r="O237" s="2">
        <f>geracao_kwh!O237*lcae!$O$2</f>
        <v>0</v>
      </c>
    </row>
    <row r="238" spans="1:15" x14ac:dyDescent="0.3">
      <c r="A238" s="6">
        <v>237</v>
      </c>
      <c r="B238" s="6">
        <v>2019</v>
      </c>
      <c r="C238" s="6">
        <v>9</v>
      </c>
      <c r="D238" s="2">
        <f>geracao_kwh!D238*lcae!$D$2</f>
        <v>51417104596.000305</v>
      </c>
      <c r="E238" s="2">
        <f>geracao_kwh!E238*lcae!$E$2</f>
        <v>1473814516174.0002</v>
      </c>
      <c r="F238" s="2">
        <f>geracao_kwh!F238*lcae!$F$2</f>
        <v>75511952827.999634</v>
      </c>
      <c r="G238" s="2">
        <f>geracao_kwh!G238*lcae!$G$2</f>
        <v>18186319638</v>
      </c>
      <c r="H238" s="2">
        <f>geracao_kwh!H238*lcae!$H$2</f>
        <v>2483621075952.0068</v>
      </c>
      <c r="I238" s="2">
        <f>geracao_kwh!I238*lcae!$I$2</f>
        <v>614157024641.99011</v>
      </c>
      <c r="J238" s="2">
        <f>geracao_kwh!J238*lcae!$J$2</f>
        <v>0</v>
      </c>
      <c r="K238" s="2">
        <f>geracao_kwh!K238*lcae!$K$2</f>
        <v>18852039882.000004</v>
      </c>
      <c r="L238" s="2">
        <f>geracao_kwh!L238*lcae!$L$2</f>
        <v>27789089159.999985</v>
      </c>
      <c r="M238" s="2">
        <f>geracao_kwh!M238*lcae!$M$2</f>
        <v>41281143119.999985</v>
      </c>
      <c r="N238" s="2">
        <f>geracao_kwh!N238*lcae!$N$2</f>
        <v>0</v>
      </c>
      <c r="O238" s="2">
        <f>geracao_kwh!O238*lcae!$O$2</f>
        <v>0</v>
      </c>
    </row>
    <row r="239" spans="1:15" x14ac:dyDescent="0.3">
      <c r="A239" s="6">
        <v>238</v>
      </c>
      <c r="B239" s="6">
        <v>2019</v>
      </c>
      <c r="C239" s="6">
        <v>10</v>
      </c>
      <c r="D239" s="2">
        <f>geracao_kwh!D239*lcae!$D$2</f>
        <v>51184524404.000931</v>
      </c>
      <c r="E239" s="2">
        <f>geracao_kwh!E239*lcae!$E$2</f>
        <v>1541981756314.9956</v>
      </c>
      <c r="F239" s="2">
        <f>geracao_kwh!F239*lcae!$F$2</f>
        <v>76756227288.000763</v>
      </c>
      <c r="G239" s="2">
        <f>geracao_kwh!G239*lcae!$G$2</f>
        <v>18732155445.999958</v>
      </c>
      <c r="H239" s="2">
        <f>geracao_kwh!H239*lcae!$H$2</f>
        <v>2784251575601.9844</v>
      </c>
      <c r="I239" s="2">
        <f>geracao_kwh!I239*lcae!$I$2</f>
        <v>665926356101.98438</v>
      </c>
      <c r="J239" s="2">
        <f>geracao_kwh!J239*lcae!$J$2</f>
        <v>0</v>
      </c>
      <c r="K239" s="2">
        <f>geracao_kwh!K239*lcae!$K$2</f>
        <v>18919583292.999996</v>
      </c>
      <c r="L239" s="2">
        <f>geracao_kwh!L239*lcae!$L$2</f>
        <v>44494074240.000198</v>
      </c>
      <c r="M239" s="2">
        <f>geracao_kwh!M239*lcae!$M$2</f>
        <v>27677485920.000011</v>
      </c>
      <c r="N239" s="2">
        <f>geracao_kwh!N239*lcae!$N$2</f>
        <v>0</v>
      </c>
      <c r="O239" s="2">
        <f>geracao_kwh!O239*lcae!$O$2</f>
        <v>0</v>
      </c>
    </row>
    <row r="240" spans="1:15" x14ac:dyDescent="0.3">
      <c r="A240" s="6">
        <v>239</v>
      </c>
      <c r="B240" s="6">
        <v>2019</v>
      </c>
      <c r="C240" s="6">
        <v>11</v>
      </c>
      <c r="D240" s="2">
        <f>geracao_kwh!D240*lcae!$D$2</f>
        <v>45244663412.000359</v>
      </c>
      <c r="E240" s="2">
        <f>geracao_kwh!E240*lcae!$E$2</f>
        <v>1625262170532.0039</v>
      </c>
      <c r="F240" s="2">
        <f>geracao_kwh!F240*lcae!$F$2</f>
        <v>65616921616.999901</v>
      </c>
      <c r="G240" s="2">
        <f>geracao_kwh!G240*lcae!$G$2</f>
        <v>17639201742.000015</v>
      </c>
      <c r="H240" s="2">
        <f>geracao_kwh!H240*lcae!$H$2</f>
        <v>2734332994907.9834</v>
      </c>
      <c r="I240" s="2">
        <f>geracao_kwh!I240*lcae!$I$2</f>
        <v>651810226347.00659</v>
      </c>
      <c r="J240" s="2">
        <f>geracao_kwh!J240*lcae!$J$2</f>
        <v>0</v>
      </c>
      <c r="K240" s="2">
        <f>geracao_kwh!K240*lcae!$K$2</f>
        <v>18793121516</v>
      </c>
      <c r="L240" s="2">
        <f>geracao_kwh!L240*lcae!$L$2</f>
        <v>29315121359.999973</v>
      </c>
      <c r="M240" s="2">
        <f>geracao_kwh!M240*lcae!$M$2</f>
        <v>14357924280.00001</v>
      </c>
      <c r="N240" s="2">
        <f>geracao_kwh!N240*lcae!$N$2</f>
        <v>0</v>
      </c>
      <c r="O240" s="2">
        <f>geracao_kwh!O240*lcae!$O$2</f>
        <v>0</v>
      </c>
    </row>
    <row r="241" spans="1:15" x14ac:dyDescent="0.3">
      <c r="A241" s="6">
        <v>240</v>
      </c>
      <c r="B241" s="6">
        <v>2019</v>
      </c>
      <c r="C241" s="6">
        <v>12</v>
      </c>
      <c r="D241" s="2">
        <f>geracao_kwh!D241*lcae!$D$2</f>
        <v>26260263327.99921</v>
      </c>
      <c r="E241" s="2">
        <f>geracao_kwh!E241*lcae!$E$2</f>
        <v>1692723010979.0044</v>
      </c>
      <c r="F241" s="2">
        <f>geracao_kwh!F241*lcae!$F$2</f>
        <v>64741194660.999817</v>
      </c>
      <c r="G241" s="2">
        <f>geracao_kwh!G241*lcae!$G$2</f>
        <v>18782879149.000011</v>
      </c>
      <c r="H241" s="2">
        <f>geracao_kwh!H241*lcae!$H$2</f>
        <v>2207560964831.9976</v>
      </c>
      <c r="I241" s="2">
        <f>geracao_kwh!I241*lcae!$I$2</f>
        <v>711708982761.00952</v>
      </c>
      <c r="J241" s="2">
        <f>geracao_kwh!J241*lcae!$J$2</f>
        <v>0</v>
      </c>
      <c r="K241" s="2">
        <f>geracao_kwh!K241*lcae!$K$2</f>
        <v>19234078032.000023</v>
      </c>
      <c r="L241" s="2">
        <f>geracao_kwh!L241*lcae!$L$2</f>
        <v>36088364759.999947</v>
      </c>
      <c r="M241" s="2">
        <f>geracao_kwh!M241*lcae!$M$2</f>
        <v>15776560799.999987</v>
      </c>
      <c r="N241" s="2">
        <f>geracao_kwh!N241*lcae!$N$2</f>
        <v>0</v>
      </c>
      <c r="O241" s="2">
        <f>geracao_kwh!O241*lcae!$O$2</f>
        <v>0</v>
      </c>
    </row>
    <row r="242" spans="1:15" x14ac:dyDescent="0.3">
      <c r="A242" s="6">
        <v>241</v>
      </c>
      <c r="B242" s="6">
        <v>2020</v>
      </c>
      <c r="C242" s="6">
        <v>1</v>
      </c>
      <c r="D242" s="2">
        <f>geracao_kwh!D242*lcae!$D$2</f>
        <v>18167812675.999599</v>
      </c>
      <c r="E242" s="2">
        <f>geracao_kwh!E242*lcae!$E$2</f>
        <v>1769493818092.0081</v>
      </c>
      <c r="F242" s="2">
        <f>geracao_kwh!F242*lcae!$F$2</f>
        <v>34913107749.000519</v>
      </c>
      <c r="G242" s="2">
        <f>geracao_kwh!G242*lcae!$G$2</f>
        <v>16311678136.000025</v>
      </c>
      <c r="H242" s="2">
        <f>geracao_kwh!H242*lcae!$H$2</f>
        <v>2748817836351.0103</v>
      </c>
      <c r="I242" s="2">
        <f>geracao_kwh!I242*lcae!$I$2</f>
        <v>798059516982.00061</v>
      </c>
      <c r="J242" s="2">
        <f>geracao_kwh!J242*lcae!$J$2</f>
        <v>0</v>
      </c>
      <c r="K242" s="2">
        <f>geracao_kwh!K242*lcae!$K$2</f>
        <v>15062424272.999996</v>
      </c>
      <c r="L242" s="2">
        <f>geracao_kwh!L242*lcae!$L$2</f>
        <v>36397525919.999969</v>
      </c>
      <c r="M242" s="2">
        <f>geracao_kwh!M242*lcae!$M$2</f>
        <v>14775837720.000006</v>
      </c>
      <c r="N242" s="2">
        <f>geracao_kwh!N242*lcae!$N$2</f>
        <v>0</v>
      </c>
      <c r="O242" s="2">
        <f>geracao_kwh!O242*lcae!$O$2</f>
        <v>0</v>
      </c>
    </row>
    <row r="243" spans="1:15" x14ac:dyDescent="0.3">
      <c r="A243" s="6">
        <v>242</v>
      </c>
      <c r="B243" s="6">
        <v>2020</v>
      </c>
      <c r="C243" s="6">
        <v>2</v>
      </c>
      <c r="D243" s="2">
        <f>geracao_kwh!D243*lcae!$D$2</f>
        <v>16566876611.999876</v>
      </c>
      <c r="E243" s="2">
        <f>geracao_kwh!E243*lcae!$E$2</f>
        <v>1001855381527.0005</v>
      </c>
      <c r="F243" s="2">
        <f>geracao_kwh!F243*lcae!$F$2</f>
        <v>35233966651.000282</v>
      </c>
      <c r="G243" s="2">
        <f>geracao_kwh!G243*lcae!$G$2</f>
        <v>15366707211.99999</v>
      </c>
      <c r="H243" s="2">
        <f>geracao_kwh!H243*lcae!$H$2</f>
        <v>1627807991759.9885</v>
      </c>
      <c r="I243" s="2">
        <f>geracao_kwh!I243*lcae!$I$2</f>
        <v>803410481664.00427</v>
      </c>
      <c r="J243" s="2">
        <f>geracao_kwh!J243*lcae!$J$2</f>
        <v>0</v>
      </c>
      <c r="K243" s="2">
        <f>geracao_kwh!K243*lcae!$K$2</f>
        <v>12332297432.000011</v>
      </c>
      <c r="L243" s="2">
        <f>geracao_kwh!L243*lcae!$L$2</f>
        <v>25463957399.999905</v>
      </c>
      <c r="M243" s="2">
        <f>geracao_kwh!M243*lcae!$M$2</f>
        <v>13623845760.000004</v>
      </c>
      <c r="N243" s="2">
        <f>geracao_kwh!N243*lcae!$N$2</f>
        <v>0</v>
      </c>
      <c r="O243" s="2">
        <f>geracao_kwh!O243*lcae!$O$2</f>
        <v>0</v>
      </c>
    </row>
    <row r="244" spans="1:15" x14ac:dyDescent="0.3">
      <c r="A244" s="6">
        <v>243</v>
      </c>
      <c r="B244" s="6">
        <v>2020</v>
      </c>
      <c r="C244" s="6">
        <v>3</v>
      </c>
      <c r="D244" s="2">
        <f>geracao_kwh!D244*lcae!$D$2</f>
        <v>24751375115.999752</v>
      </c>
      <c r="E244" s="2">
        <f>geracao_kwh!E244*lcae!$E$2</f>
        <v>643961518200.00012</v>
      </c>
      <c r="F244" s="2">
        <f>geracao_kwh!F244*lcae!$F$2</f>
        <v>28798079947</v>
      </c>
      <c r="G244" s="2">
        <f>geracao_kwh!G244*lcae!$G$2</f>
        <v>18037766290.999947</v>
      </c>
      <c r="H244" s="2">
        <f>geracao_kwh!H244*lcae!$H$2</f>
        <v>1271811712607.9907</v>
      </c>
      <c r="I244" s="2">
        <f>geracao_kwh!I244*lcae!$I$2</f>
        <v>850996804539.0061</v>
      </c>
      <c r="J244" s="2">
        <f>geracao_kwh!J244*lcae!$J$2</f>
        <v>0</v>
      </c>
      <c r="K244" s="2">
        <f>geracao_kwh!K244*lcae!$K$2</f>
        <v>16667571582.999996</v>
      </c>
      <c r="L244" s="2">
        <f>geracao_kwh!L244*lcae!$L$2</f>
        <v>3508549799.999999</v>
      </c>
      <c r="M244" s="2">
        <f>geracao_kwh!M244*lcae!$M$2</f>
        <v>67238427479.999977</v>
      </c>
      <c r="N244" s="2">
        <f>geracao_kwh!N244*lcae!$N$2</f>
        <v>0</v>
      </c>
      <c r="O244" s="2">
        <f>geracao_kwh!O244*lcae!$O$2</f>
        <v>0</v>
      </c>
    </row>
    <row r="245" spans="1:15" x14ac:dyDescent="0.3">
      <c r="A245" s="6">
        <v>244</v>
      </c>
      <c r="B245" s="6">
        <v>2020</v>
      </c>
      <c r="C245" s="6">
        <v>4</v>
      </c>
      <c r="D245" s="2">
        <f>geracao_kwh!D245*lcae!$D$2</f>
        <v>43363799076.000359</v>
      </c>
      <c r="E245" s="2">
        <f>geracao_kwh!E245*lcae!$E$2</f>
        <v>203118274358.99942</v>
      </c>
      <c r="F245" s="2">
        <f>geracao_kwh!F245*lcae!$F$2</f>
        <v>39507819858.00042</v>
      </c>
      <c r="G245" s="2">
        <f>geracao_kwh!G245*lcae!$G$2</f>
        <v>18853106705.999943</v>
      </c>
      <c r="H245" s="2">
        <f>geracao_kwh!H245*lcae!$H$2</f>
        <v>1005316174314.0009</v>
      </c>
      <c r="I245" s="2">
        <f>geracao_kwh!I245*lcae!$I$2</f>
        <v>677436713519.97864</v>
      </c>
      <c r="J245" s="2">
        <f>geracao_kwh!J245*lcae!$J$2</f>
        <v>0</v>
      </c>
      <c r="K245" s="2">
        <f>geracao_kwh!K245*lcae!$K$2</f>
        <v>17663771268.000008</v>
      </c>
      <c r="L245" s="2">
        <f>geracao_kwh!L245*lcae!$L$2</f>
        <v>6389995920.0000143</v>
      </c>
      <c r="M245" s="2">
        <f>geracao_kwh!M245*lcae!$M$2</f>
        <v>98600991720.000107</v>
      </c>
      <c r="N245" s="2">
        <f>geracao_kwh!N245*lcae!$N$2</f>
        <v>0</v>
      </c>
      <c r="O245" s="2">
        <f>geracao_kwh!O245*lcae!$O$2</f>
        <v>0</v>
      </c>
    </row>
    <row r="246" spans="1:15" x14ac:dyDescent="0.3">
      <c r="A246" s="6">
        <v>245</v>
      </c>
      <c r="B246" s="6">
        <v>2020</v>
      </c>
      <c r="C246" s="6">
        <v>5</v>
      </c>
      <c r="D246" s="2">
        <f>geracao_kwh!D246*lcae!$D$2</f>
        <v>56124115372.000496</v>
      </c>
      <c r="E246" s="2">
        <f>geracao_kwh!E246*lcae!$E$2</f>
        <v>479253843068.00024</v>
      </c>
      <c r="F246" s="2">
        <f>geracao_kwh!F246*lcae!$F$2</f>
        <v>48938588751.000046</v>
      </c>
      <c r="G246" s="2">
        <f>geracao_kwh!G246*lcae!$G$2</f>
        <v>19008901338.999958</v>
      </c>
      <c r="H246" s="2">
        <f>geracao_kwh!H246*lcae!$H$2</f>
        <v>955402551792.00415</v>
      </c>
      <c r="I246" s="2">
        <f>geracao_kwh!I246*lcae!$I$2</f>
        <v>660944832113.98853</v>
      </c>
      <c r="J246" s="2">
        <f>geracao_kwh!J246*lcae!$J$2</f>
        <v>0</v>
      </c>
      <c r="K246" s="2">
        <f>geracao_kwh!K246*lcae!$K$2</f>
        <v>19262013680.000008</v>
      </c>
      <c r="L246" s="2">
        <f>geracao_kwh!L246*lcae!$L$2</f>
        <v>6474685560.0000057</v>
      </c>
      <c r="M246" s="2">
        <f>geracao_kwh!M246*lcae!$M$2</f>
        <v>60926869920.000023</v>
      </c>
      <c r="N246" s="2">
        <f>geracao_kwh!N246*lcae!$N$2</f>
        <v>0</v>
      </c>
      <c r="O246" s="2">
        <f>geracao_kwh!O246*lcae!$O$2</f>
        <v>0</v>
      </c>
    </row>
    <row r="247" spans="1:15" x14ac:dyDescent="0.3">
      <c r="A247" s="6">
        <v>246</v>
      </c>
      <c r="B247" s="6">
        <v>2020</v>
      </c>
      <c r="C247" s="6">
        <v>6</v>
      </c>
      <c r="D247" s="2">
        <f>geracao_kwh!D247*lcae!$D$2</f>
        <v>57673151536.000023</v>
      </c>
      <c r="E247" s="2">
        <f>geracao_kwh!E247*lcae!$E$2</f>
        <v>611357754007.00037</v>
      </c>
      <c r="F247" s="2">
        <f>geracao_kwh!F247*lcae!$F$2</f>
        <v>62956607740.000038</v>
      </c>
      <c r="G247" s="2">
        <f>geracao_kwh!G247*lcae!$G$2</f>
        <v>19034373721.999973</v>
      </c>
      <c r="H247" s="2">
        <f>geracao_kwh!H247*lcae!$H$2</f>
        <v>1166348753729.9949</v>
      </c>
      <c r="I247" s="2">
        <f>geracao_kwh!I247*lcae!$I$2</f>
        <v>632496277538.99939</v>
      </c>
      <c r="J247" s="2">
        <f>geracao_kwh!J247*lcae!$J$2</f>
        <v>0</v>
      </c>
      <c r="K247" s="2">
        <f>geracao_kwh!K247*lcae!$K$2</f>
        <v>13480734825.999996</v>
      </c>
      <c r="L247" s="2">
        <f>geracao_kwh!L247*lcae!$L$2</f>
        <v>3277710240.0000014</v>
      </c>
      <c r="M247" s="2">
        <f>geracao_kwh!M247*lcae!$M$2</f>
        <v>30581185319.999992</v>
      </c>
      <c r="N247" s="2">
        <f>geracao_kwh!N247*lcae!$N$2</f>
        <v>0</v>
      </c>
      <c r="O247" s="2">
        <f>geracao_kwh!O247*lcae!$O$2</f>
        <v>0</v>
      </c>
    </row>
    <row r="248" spans="1:15" x14ac:dyDescent="0.3">
      <c r="A248" s="6">
        <v>247</v>
      </c>
      <c r="B248" s="6">
        <v>2020</v>
      </c>
      <c r="C248" s="6">
        <v>7</v>
      </c>
      <c r="D248" s="2">
        <f>geracao_kwh!D248*lcae!$D$2</f>
        <v>61446093488.000061</v>
      </c>
      <c r="E248" s="2">
        <f>geracao_kwh!E248*lcae!$E$2</f>
        <v>507786270991.99939</v>
      </c>
      <c r="F248" s="2">
        <f>geracao_kwh!F248*lcae!$F$2</f>
        <v>74233171025.000076</v>
      </c>
      <c r="G248" s="2">
        <f>geracao_kwh!G248*lcae!$G$2</f>
        <v>20483497199.999981</v>
      </c>
      <c r="H248" s="2">
        <f>geracao_kwh!H248*lcae!$H$2</f>
        <v>1082501629488.0011</v>
      </c>
      <c r="I248" s="2">
        <f>geracao_kwh!I248*lcae!$I$2</f>
        <v>686575110522.00452</v>
      </c>
      <c r="J248" s="2">
        <f>geracao_kwh!J248*lcae!$J$2</f>
        <v>0</v>
      </c>
      <c r="K248" s="2">
        <f>geracao_kwh!K248*lcae!$K$2</f>
        <v>6099414775.9999962</v>
      </c>
      <c r="L248" s="2">
        <f>geracao_kwh!L248*lcae!$L$2</f>
        <v>1083818399.9999998</v>
      </c>
      <c r="M248" s="2">
        <f>geracao_kwh!M248*lcae!$M$2</f>
        <v>37869212640.000053</v>
      </c>
      <c r="N248" s="2">
        <f>geracao_kwh!N248*lcae!$N$2</f>
        <v>0</v>
      </c>
      <c r="O248" s="2">
        <f>geracao_kwh!O248*lcae!$O$2</f>
        <v>0</v>
      </c>
    </row>
    <row r="249" spans="1:15" x14ac:dyDescent="0.3">
      <c r="A249" s="6">
        <v>248</v>
      </c>
      <c r="B249" s="6">
        <v>2020</v>
      </c>
      <c r="C249" s="6">
        <v>8</v>
      </c>
      <c r="D249" s="2">
        <f>geracao_kwh!D249*lcae!$D$2</f>
        <v>56474770455.999191</v>
      </c>
      <c r="E249" s="2">
        <f>geracao_kwh!E249*lcae!$E$2</f>
        <v>513838824499.00024</v>
      </c>
      <c r="F249" s="2">
        <f>geracao_kwh!F249*lcae!$F$2</f>
        <v>85899458462.999725</v>
      </c>
      <c r="G249" s="2">
        <f>geracao_kwh!G249*lcae!$G$2</f>
        <v>21748989694.000057</v>
      </c>
      <c r="H249" s="2">
        <f>geracao_kwh!H249*lcae!$H$2</f>
        <v>1136318716530.0068</v>
      </c>
      <c r="I249" s="2">
        <f>geracao_kwh!I249*lcae!$I$2</f>
        <v>676095989163.00403</v>
      </c>
      <c r="J249" s="2">
        <f>geracao_kwh!J249*lcae!$J$2</f>
        <v>0</v>
      </c>
      <c r="K249" s="2">
        <f>geracao_kwh!K249*lcae!$K$2</f>
        <v>11341053295.000017</v>
      </c>
      <c r="L249" s="2">
        <f>geracao_kwh!L249*lcae!$L$2</f>
        <v>2093731080.0000005</v>
      </c>
      <c r="M249" s="2">
        <f>geracao_kwh!M249*lcae!$M$2</f>
        <v>35743615320.000023</v>
      </c>
      <c r="N249" s="2">
        <f>geracao_kwh!N249*lcae!$N$2</f>
        <v>0</v>
      </c>
      <c r="O249" s="2">
        <f>geracao_kwh!O249*lcae!$O$2</f>
        <v>0</v>
      </c>
    </row>
    <row r="250" spans="1:15" x14ac:dyDescent="0.3">
      <c r="A250" s="6">
        <v>249</v>
      </c>
      <c r="B250" s="6">
        <v>2020</v>
      </c>
      <c r="C250" s="6">
        <v>9</v>
      </c>
      <c r="D250" s="2">
        <f>geracao_kwh!D250*lcae!$D$2</f>
        <v>57048204096.000175</v>
      </c>
      <c r="E250" s="2">
        <f>geracao_kwh!E250*lcae!$E$2</f>
        <v>412227424608.99921</v>
      </c>
      <c r="F250" s="2">
        <f>geracao_kwh!F250*lcae!$F$2</f>
        <v>83466266038.999084</v>
      </c>
      <c r="G250" s="2">
        <f>geracao_kwh!G250*lcae!$G$2</f>
        <v>23340196782.000046</v>
      </c>
      <c r="H250" s="2">
        <f>geracao_kwh!H250*lcae!$H$2</f>
        <v>1041611962140.0026</v>
      </c>
      <c r="I250" s="2">
        <f>geracao_kwh!I250*lcae!$I$2</f>
        <v>715603100036.99011</v>
      </c>
      <c r="J250" s="2">
        <f>geracao_kwh!J250*lcae!$J$2</f>
        <v>0</v>
      </c>
      <c r="K250" s="2">
        <f>geracao_kwh!K250*lcae!$K$2</f>
        <v>17435376399.999973</v>
      </c>
      <c r="L250" s="2">
        <f>geracao_kwh!L250*lcae!$L$2</f>
        <v>1517292000.0000005</v>
      </c>
      <c r="M250" s="2">
        <f>geracao_kwh!M250*lcae!$M$2</f>
        <v>46453720320.000031</v>
      </c>
      <c r="N250" s="2">
        <f>geracao_kwh!N250*lcae!$N$2</f>
        <v>0</v>
      </c>
      <c r="O250" s="2">
        <f>geracao_kwh!O250*lcae!$O$2</f>
        <v>0</v>
      </c>
    </row>
    <row r="251" spans="1:15" x14ac:dyDescent="0.3">
      <c r="A251" s="6">
        <v>250</v>
      </c>
      <c r="B251" s="6">
        <v>2020</v>
      </c>
      <c r="C251" s="6">
        <v>10</v>
      </c>
      <c r="D251" s="2">
        <f>geracao_kwh!D251*lcae!$D$2</f>
        <v>55524759107.999687</v>
      </c>
      <c r="E251" s="2">
        <f>geracao_kwh!E251*lcae!$E$2</f>
        <v>1490666819641.9966</v>
      </c>
      <c r="F251" s="2">
        <f>geracao_kwh!F251*lcae!$F$2</f>
        <v>72036645486.000092</v>
      </c>
      <c r="G251" s="2">
        <f>geracao_kwh!G251*lcae!$G$2</f>
        <v>21771644029.000046</v>
      </c>
      <c r="H251" s="2">
        <f>geracao_kwh!H251*lcae!$H$2</f>
        <v>2517258093371.9883</v>
      </c>
      <c r="I251" s="2">
        <f>geracao_kwh!I251*lcae!$I$2</f>
        <v>697170734294.99402</v>
      </c>
      <c r="J251" s="2">
        <f>geracao_kwh!J251*lcae!$J$2</f>
        <v>0</v>
      </c>
      <c r="K251" s="2">
        <f>geracao_kwh!K251*lcae!$K$2</f>
        <v>17953238744.999992</v>
      </c>
      <c r="L251" s="2">
        <f>geracao_kwh!L251*lcae!$L$2</f>
        <v>276152692199.99963</v>
      </c>
      <c r="M251" s="2">
        <f>geracao_kwh!M251*lcae!$M$2</f>
        <v>148482493319.99991</v>
      </c>
      <c r="N251" s="2">
        <f>geracao_kwh!N251*lcae!$N$2</f>
        <v>0</v>
      </c>
      <c r="O251" s="2">
        <f>geracao_kwh!O251*lcae!$O$2</f>
        <v>0</v>
      </c>
    </row>
    <row r="252" spans="1:15" x14ac:dyDescent="0.3">
      <c r="A252" s="6">
        <v>251</v>
      </c>
      <c r="B252" s="6">
        <v>2020</v>
      </c>
      <c r="C252" s="6">
        <v>11</v>
      </c>
      <c r="D252" s="2">
        <f>geracao_kwh!D252*lcae!$D$2</f>
        <v>46889950484.000015</v>
      </c>
      <c r="E252" s="2">
        <f>geracao_kwh!E252*lcae!$E$2</f>
        <v>1481870098708.9998</v>
      </c>
      <c r="F252" s="2">
        <f>geracao_kwh!F252*lcae!$F$2</f>
        <v>64473864221.000275</v>
      </c>
      <c r="G252" s="2">
        <f>geracao_kwh!G252*lcae!$G$2</f>
        <v>19153798783</v>
      </c>
      <c r="H252" s="2">
        <f>geracao_kwh!H252*lcae!$H$2</f>
        <v>2926976465520.0005</v>
      </c>
      <c r="I252" s="2">
        <f>geracao_kwh!I252*lcae!$I$2</f>
        <v>615884969196.00171</v>
      </c>
      <c r="J252" s="2">
        <f>geracao_kwh!J252*lcae!$J$2</f>
        <v>0</v>
      </c>
      <c r="K252" s="2">
        <f>geracao_kwh!K252*lcae!$K$2</f>
        <v>17420711620.000004</v>
      </c>
      <c r="L252" s="2">
        <f>geracao_kwh!L252*lcae!$L$2</f>
        <v>434133822359.99792</v>
      </c>
      <c r="M252" s="2">
        <f>geracao_kwh!M252*lcae!$M$2</f>
        <v>274962985920.00031</v>
      </c>
      <c r="N252" s="2">
        <f>geracao_kwh!N252*lcae!$N$2</f>
        <v>0</v>
      </c>
      <c r="O252" s="2">
        <f>geracao_kwh!O252*lcae!$O$2</f>
        <v>0</v>
      </c>
    </row>
    <row r="253" spans="1:15" x14ac:dyDescent="0.3">
      <c r="A253" s="6">
        <v>252</v>
      </c>
      <c r="B253" s="6">
        <v>2020</v>
      </c>
      <c r="C253" s="6">
        <v>12</v>
      </c>
      <c r="D253" s="2">
        <f>geracao_kwh!D253*lcae!$D$2</f>
        <v>26671699184.000122</v>
      </c>
      <c r="E253" s="2">
        <f>geracao_kwh!E253*lcae!$E$2</f>
        <v>1781041768506.0107</v>
      </c>
      <c r="F253" s="2">
        <f>geracao_kwh!F253*lcae!$F$2</f>
        <v>70393865177.999634</v>
      </c>
      <c r="G253" s="2">
        <f>geracao_kwh!G253*lcae!$G$2</f>
        <v>19655480943.999954</v>
      </c>
      <c r="H253" s="2">
        <f>geracao_kwh!H253*lcae!$H$2</f>
        <v>2930996296422.0088</v>
      </c>
      <c r="I253" s="2">
        <f>geracao_kwh!I253*lcae!$I$2</f>
        <v>683415096881.99377</v>
      </c>
      <c r="J253" s="2">
        <f>geracao_kwh!J253*lcae!$J$2</f>
        <v>0</v>
      </c>
      <c r="K253" s="2">
        <f>geracao_kwh!K253*lcae!$K$2</f>
        <v>17916489032.000004</v>
      </c>
      <c r="L253" s="2">
        <f>geracao_kwh!L253*lcae!$L$2</f>
        <v>347135548200.00006</v>
      </c>
      <c r="M253" s="2">
        <f>geracao_kwh!M253*lcae!$M$2</f>
        <v>210781351199.99954</v>
      </c>
      <c r="N253" s="2">
        <f>geracao_kwh!N253*lcae!$N$2</f>
        <v>0</v>
      </c>
      <c r="O253" s="2">
        <f>geracao_kwh!O253*lcae!$O$2</f>
        <v>0</v>
      </c>
    </row>
    <row r="254" spans="1:15" x14ac:dyDescent="0.3">
      <c r="A254" s="6">
        <v>253</v>
      </c>
      <c r="B254" s="6">
        <v>2021</v>
      </c>
      <c r="C254" s="6">
        <v>1</v>
      </c>
      <c r="D254" s="2">
        <f>geracao_kwh!D254*lcae!$D$2</f>
        <v>15159981304.000456</v>
      </c>
      <c r="E254" s="2">
        <f>geracao_kwh!E254*lcae!$E$2</f>
        <v>1602738395258.0066</v>
      </c>
      <c r="F254" s="2">
        <f>geracao_kwh!F254*lcae!$F$2</f>
        <v>69634490782.999969</v>
      </c>
      <c r="G254" s="2">
        <f>geracao_kwh!G254*lcae!$G$2</f>
        <v>21827340209.000027</v>
      </c>
      <c r="H254" s="2">
        <f>geracao_kwh!H254*lcae!$H$2</f>
        <v>2852698779935.9985</v>
      </c>
      <c r="I254" s="2">
        <f>geracao_kwh!I254*lcae!$I$2</f>
        <v>721900506789.00854</v>
      </c>
      <c r="J254" s="2">
        <f>geracao_kwh!J254*lcae!$J$2</f>
        <v>0</v>
      </c>
      <c r="K254" s="2">
        <f>geracao_kwh!K254*lcae!$K$2</f>
        <v>17878739111.999966</v>
      </c>
      <c r="L254" s="2">
        <f>geracao_kwh!L254*lcae!$L$2</f>
        <v>603759094679.99878</v>
      </c>
      <c r="M254" s="2">
        <f>geracao_kwh!M254*lcae!$M$2</f>
        <v>245099294999.99939</v>
      </c>
      <c r="N254" s="2">
        <f>geracao_kwh!N254*lcae!$N$2</f>
        <v>0</v>
      </c>
      <c r="O254" s="2">
        <f>geracao_kwh!O254*lcae!$O$2</f>
        <v>0</v>
      </c>
    </row>
    <row r="255" spans="1:15" x14ac:dyDescent="0.3">
      <c r="A255" s="6">
        <v>254</v>
      </c>
      <c r="B255" s="6">
        <v>2021</v>
      </c>
      <c r="C255" s="6">
        <v>2</v>
      </c>
      <c r="D255" s="2">
        <f>geracao_kwh!D255*lcae!$D$2</f>
        <v>12277057624.00045</v>
      </c>
      <c r="E255" s="2">
        <f>geracao_kwh!E255*lcae!$E$2</f>
        <v>1262798682145.0024</v>
      </c>
      <c r="F255" s="2">
        <f>geracao_kwh!F255*lcae!$F$2</f>
        <v>45027592766.000816</v>
      </c>
      <c r="G255" s="2">
        <f>geracao_kwh!G255*lcae!$G$2</f>
        <v>17419534822.999981</v>
      </c>
      <c r="H255" s="2">
        <f>geracao_kwh!H255*lcae!$H$2</f>
        <v>1864944485352.0088</v>
      </c>
      <c r="I255" s="2">
        <f>geracao_kwh!I255*lcae!$I$2</f>
        <v>734294832411.00122</v>
      </c>
      <c r="J255" s="2">
        <f>geracao_kwh!J255*lcae!$J$2</f>
        <v>0</v>
      </c>
      <c r="K255" s="2">
        <f>geracao_kwh!K255*lcae!$K$2</f>
        <v>16104573797</v>
      </c>
      <c r="L255" s="2">
        <f>geracao_kwh!L255*lcae!$L$2</f>
        <v>203046999120.00024</v>
      </c>
      <c r="M255" s="2">
        <f>geracao_kwh!M255*lcae!$M$2</f>
        <v>82763478840.000107</v>
      </c>
      <c r="N255" s="2">
        <f>geracao_kwh!N255*lcae!$N$2</f>
        <v>0</v>
      </c>
      <c r="O255" s="2">
        <f>geracao_kwh!O255*lcae!$O$2</f>
        <v>0</v>
      </c>
    </row>
    <row r="256" spans="1:15" x14ac:dyDescent="0.3">
      <c r="A256" s="6">
        <v>255</v>
      </c>
      <c r="B256" s="6">
        <v>2021</v>
      </c>
      <c r="C256" s="6">
        <v>3</v>
      </c>
      <c r="D256" s="2">
        <f>geracao_kwh!D256*lcae!$D$2</f>
        <v>12481570607.999939</v>
      </c>
      <c r="E256" s="2">
        <f>geracao_kwh!E256*lcae!$E$2</f>
        <v>779799939918.99988</v>
      </c>
      <c r="F256" s="2">
        <f>geracao_kwh!F256*lcae!$F$2</f>
        <v>52425386234.000015</v>
      </c>
      <c r="G256" s="2">
        <f>geracao_kwh!G256*lcae!$G$2</f>
        <v>27295870540.999912</v>
      </c>
      <c r="H256" s="2">
        <f>geracao_kwh!H256*lcae!$H$2</f>
        <v>2095648469567.9871</v>
      </c>
      <c r="I256" s="2">
        <f>geracao_kwh!I256*lcae!$I$2</f>
        <v>858783647210.98853</v>
      </c>
      <c r="J256" s="2">
        <f>geracao_kwh!J256*lcae!$J$2</f>
        <v>0</v>
      </c>
      <c r="K256" s="2">
        <f>geracao_kwh!K256*lcae!$K$2</f>
        <v>17858361768.000015</v>
      </c>
      <c r="L256" s="2">
        <f>geracao_kwh!L256*lcae!$L$2</f>
        <v>170320160640.00003</v>
      </c>
      <c r="M256" s="2">
        <f>geracao_kwh!M256*lcae!$M$2</f>
        <v>14362915560</v>
      </c>
      <c r="N256" s="2">
        <f>geracao_kwh!N256*lcae!$N$2</f>
        <v>0</v>
      </c>
      <c r="O256" s="2">
        <f>geracao_kwh!O256*lcae!$O$2</f>
        <v>0</v>
      </c>
    </row>
    <row r="257" spans="1:15" x14ac:dyDescent="0.3">
      <c r="A257" s="6">
        <v>256</v>
      </c>
      <c r="B257" s="6">
        <v>2021</v>
      </c>
      <c r="C257" s="6">
        <v>4</v>
      </c>
      <c r="D257" s="2">
        <f>geracao_kwh!D257*lcae!$D$2</f>
        <v>34790253316.000061</v>
      </c>
      <c r="E257" s="2">
        <f>geracao_kwh!E257*lcae!$E$2</f>
        <v>741716584609</v>
      </c>
      <c r="F257" s="2">
        <f>geracao_kwh!F257*lcae!$F$2</f>
        <v>58678258795.000137</v>
      </c>
      <c r="G257" s="2">
        <f>geracao_kwh!G257*lcae!$G$2</f>
        <v>27581876914.000046</v>
      </c>
      <c r="H257" s="2">
        <f>geracao_kwh!H257*lcae!$H$2</f>
        <v>2038137774264.022</v>
      </c>
      <c r="I257" s="2">
        <f>geracao_kwh!I257*lcae!$I$2</f>
        <v>741989521139.99878</v>
      </c>
      <c r="J257" s="2">
        <f>geracao_kwh!J257*lcae!$J$2</f>
        <v>0</v>
      </c>
      <c r="K257" s="2">
        <f>geracao_kwh!K257*lcae!$K$2</f>
        <v>14436446557.000006</v>
      </c>
      <c r="L257" s="2">
        <f>geracao_kwh!L257*lcae!$L$2</f>
        <v>136629279360.00024</v>
      </c>
      <c r="M257" s="2">
        <f>geracao_kwh!M257*lcae!$M$2</f>
        <v>114364655999.99992</v>
      </c>
      <c r="N257" s="2">
        <f>geracao_kwh!N257*lcae!$N$2</f>
        <v>0</v>
      </c>
      <c r="O257" s="2">
        <f>geracao_kwh!O257*lcae!$O$2</f>
        <v>0</v>
      </c>
    </row>
    <row r="258" spans="1:15" x14ac:dyDescent="0.3">
      <c r="A258" s="6">
        <v>257</v>
      </c>
      <c r="B258" s="6">
        <v>2021</v>
      </c>
      <c r="C258" s="6">
        <v>5</v>
      </c>
      <c r="D258" s="2">
        <f>geracao_kwh!D258*lcae!$D$2</f>
        <v>49622064439.999771</v>
      </c>
      <c r="E258" s="2">
        <f>geracao_kwh!E258*lcae!$E$2</f>
        <v>1060908116267.999</v>
      </c>
      <c r="F258" s="2">
        <f>geracao_kwh!F258*lcae!$F$2</f>
        <v>68815495905.000259</v>
      </c>
      <c r="G258" s="2">
        <f>geracao_kwh!G258*lcae!$G$2</f>
        <v>30125675730.000061</v>
      </c>
      <c r="H258" s="2">
        <f>geracao_kwh!H258*lcae!$H$2</f>
        <v>2106188037612.0134</v>
      </c>
      <c r="I258" s="2">
        <f>geracao_kwh!I258*lcae!$I$2</f>
        <v>705947143229.98926</v>
      </c>
      <c r="J258" s="2">
        <f>geracao_kwh!J258*lcae!$J$2</f>
        <v>0</v>
      </c>
      <c r="K258" s="2">
        <f>geracao_kwh!K258*lcae!$K$2</f>
        <v>14023634689.999989</v>
      </c>
      <c r="L258" s="2">
        <f>geracao_kwh!L258*lcae!$L$2</f>
        <v>182122225320.00034</v>
      </c>
      <c r="M258" s="2">
        <f>geracao_kwh!M258*lcae!$M$2</f>
        <v>82036409280.000031</v>
      </c>
      <c r="N258" s="2">
        <f>geracao_kwh!N258*lcae!$N$2</f>
        <v>0</v>
      </c>
      <c r="O258" s="2">
        <f>geracao_kwh!O258*lcae!$O$2</f>
        <v>0</v>
      </c>
    </row>
    <row r="259" spans="1:15" x14ac:dyDescent="0.3">
      <c r="A259" s="6">
        <v>258</v>
      </c>
      <c r="B259" s="6">
        <v>2021</v>
      </c>
      <c r="C259" s="6">
        <v>6</v>
      </c>
      <c r="D259" s="2">
        <f>geracao_kwh!D259*lcae!$D$2</f>
        <v>54157655707.999985</v>
      </c>
      <c r="E259" s="2">
        <f>geracao_kwh!E259*lcae!$E$2</f>
        <v>1585232049400.998</v>
      </c>
      <c r="F259" s="2">
        <f>geracao_kwh!F259*lcae!$F$2</f>
        <v>75834235399.000366</v>
      </c>
      <c r="G259" s="2">
        <f>geracao_kwh!G259*lcae!$G$2</f>
        <v>31245201628</v>
      </c>
      <c r="H259" s="2">
        <f>geracao_kwh!H259*lcae!$H$2</f>
        <v>2779344338345.9819</v>
      </c>
      <c r="I259" s="2">
        <f>geracao_kwh!I259*lcae!$I$2</f>
        <v>584021202890.99963</v>
      </c>
      <c r="J259" s="2">
        <f>geracao_kwh!J259*lcae!$J$2</f>
        <v>0</v>
      </c>
      <c r="K259" s="2">
        <f>geracao_kwh!K259*lcae!$K$2</f>
        <v>7526121057</v>
      </c>
      <c r="L259" s="2">
        <f>geracao_kwh!L259*lcae!$L$2</f>
        <v>963166665719.99744</v>
      </c>
      <c r="M259" s="2">
        <f>geracao_kwh!M259*lcae!$M$2</f>
        <v>292632055800.00018</v>
      </c>
      <c r="N259" s="2">
        <f>geracao_kwh!N259*lcae!$N$2</f>
        <v>0</v>
      </c>
      <c r="O259" s="2">
        <f>geracao_kwh!O259*lcae!$O$2</f>
        <v>0</v>
      </c>
    </row>
    <row r="260" spans="1:15" x14ac:dyDescent="0.3">
      <c r="A260" s="6">
        <v>259</v>
      </c>
      <c r="B260" s="6">
        <v>2021</v>
      </c>
      <c r="C260" s="6">
        <v>7</v>
      </c>
      <c r="D260" s="2">
        <f>geracao_kwh!D260*lcae!$D$2</f>
        <v>62602063524.000122</v>
      </c>
      <c r="E260" s="2">
        <f>geracao_kwh!E260*lcae!$E$2</f>
        <v>1554265891177.9958</v>
      </c>
      <c r="F260" s="2">
        <f>geracao_kwh!F260*lcae!$F$2</f>
        <v>93915190096.000641</v>
      </c>
      <c r="G260" s="2">
        <f>geracao_kwh!G260*lcae!$G$2</f>
        <v>32996511562.000145</v>
      </c>
      <c r="H260" s="2">
        <f>geracao_kwh!H260*lcae!$H$2</f>
        <v>3299174143217.9551</v>
      </c>
      <c r="I260" s="2">
        <f>geracao_kwh!I260*lcae!$I$2</f>
        <v>538997548425.00256</v>
      </c>
      <c r="J260" s="2">
        <f>geracao_kwh!J260*lcae!$J$2</f>
        <v>0</v>
      </c>
      <c r="K260" s="2">
        <f>geracao_kwh!K260*lcae!$K$2</f>
        <v>10252401601.000002</v>
      </c>
      <c r="L260" s="2">
        <f>geracao_kwh!L260*lcae!$L$2</f>
        <v>888942439559.99695</v>
      </c>
      <c r="M260" s="2">
        <f>geracao_kwh!M260*lcae!$M$2</f>
        <v>253665225239.99985</v>
      </c>
      <c r="N260" s="2">
        <f>geracao_kwh!N260*lcae!$N$2</f>
        <v>0</v>
      </c>
      <c r="O260" s="2">
        <f>geracao_kwh!O260*lcae!$O$2</f>
        <v>0</v>
      </c>
    </row>
    <row r="261" spans="1:15" x14ac:dyDescent="0.3">
      <c r="A261" s="6">
        <v>260</v>
      </c>
      <c r="B261" s="6">
        <v>2021</v>
      </c>
      <c r="C261" s="6">
        <v>8</v>
      </c>
      <c r="D261" s="2">
        <f>geracao_kwh!D261*lcae!$D$2</f>
        <v>61393146879.999847</v>
      </c>
      <c r="E261" s="2">
        <f>geracao_kwh!E261*lcae!$E$2</f>
        <v>1812173431068</v>
      </c>
      <c r="F261" s="2">
        <f>geracao_kwh!F261*lcae!$F$2</f>
        <v>106644927207.00072</v>
      </c>
      <c r="G261" s="2">
        <f>geracao_kwh!G261*lcae!$G$2</f>
        <v>35026406972</v>
      </c>
      <c r="H261" s="2">
        <f>geracao_kwh!H261*lcae!$H$2</f>
        <v>3340010442419.9907</v>
      </c>
      <c r="I261" s="2">
        <f>geracao_kwh!I261*lcae!$I$2</f>
        <v>512980832280.00061</v>
      </c>
      <c r="J261" s="2">
        <f>geracao_kwh!J261*lcae!$J$2</f>
        <v>0</v>
      </c>
      <c r="K261" s="2">
        <f>geracao_kwh!K261*lcae!$K$2</f>
        <v>19352341124.999992</v>
      </c>
      <c r="L261" s="2">
        <f>geracao_kwh!L261*lcae!$L$2</f>
        <v>1173255137039.9998</v>
      </c>
      <c r="M261" s="2">
        <f>geracao_kwh!M261*lcae!$M$2</f>
        <v>267066326519.9996</v>
      </c>
      <c r="N261" s="2">
        <f>geracao_kwh!N261*lcae!$N$2</f>
        <v>0</v>
      </c>
      <c r="O261" s="2">
        <f>geracao_kwh!O261*lcae!$O$2</f>
        <v>0</v>
      </c>
    </row>
    <row r="262" spans="1:15" x14ac:dyDescent="0.3">
      <c r="A262" s="6">
        <v>261</v>
      </c>
      <c r="B262" s="6">
        <v>2021</v>
      </c>
      <c r="C262" s="6">
        <v>9</v>
      </c>
      <c r="D262" s="2">
        <f>geracao_kwh!D262*lcae!$D$2</f>
        <v>58012733584.000336</v>
      </c>
      <c r="E262" s="2">
        <f>geracao_kwh!E262*lcae!$E$2</f>
        <v>1681990671360.9963</v>
      </c>
      <c r="F262" s="2">
        <f>geracao_kwh!F262*lcae!$F$2</f>
        <v>102934771030.00023</v>
      </c>
      <c r="G262" s="2">
        <f>geracao_kwh!G262*lcae!$G$2</f>
        <v>41335317221.000069</v>
      </c>
      <c r="H262" s="2">
        <f>geracao_kwh!H262*lcae!$H$2</f>
        <v>3179651924591.9863</v>
      </c>
      <c r="I262" s="2">
        <f>geracao_kwh!I262*lcae!$I$2</f>
        <v>533610654863.98737</v>
      </c>
      <c r="J262" s="2">
        <f>geracao_kwh!J262*lcae!$J$2</f>
        <v>0</v>
      </c>
      <c r="K262" s="2">
        <f>geracao_kwh!K262*lcae!$K$2</f>
        <v>18794620324.999989</v>
      </c>
      <c r="L262" s="2">
        <f>geracao_kwh!L262*lcae!$L$2</f>
        <v>1167864786480.0029</v>
      </c>
      <c r="M262" s="2">
        <f>geracao_kwh!M262*lcae!$M$2</f>
        <v>331525818119.99939</v>
      </c>
      <c r="N262" s="2">
        <f>geracao_kwh!N262*lcae!$N$2</f>
        <v>0</v>
      </c>
      <c r="O262" s="2">
        <f>geracao_kwh!O262*lcae!$O$2</f>
        <v>0</v>
      </c>
    </row>
    <row r="263" spans="1:15" x14ac:dyDescent="0.3">
      <c r="A263" s="6">
        <v>262</v>
      </c>
      <c r="B263" s="6">
        <v>2021</v>
      </c>
      <c r="C263" s="6">
        <v>10</v>
      </c>
      <c r="D263" s="2">
        <f>geracao_kwh!D263*lcae!$D$2</f>
        <v>19012264387.999992</v>
      </c>
      <c r="E263" s="2">
        <f>geracao_kwh!E263*lcae!$E$2</f>
        <v>1729529506704.9958</v>
      </c>
      <c r="F263" s="2">
        <f>geracao_kwh!F263*lcae!$F$2</f>
        <v>94792282948.998505</v>
      </c>
      <c r="G263" s="2">
        <f>geracao_kwh!G263*lcae!$G$2</f>
        <v>40478554264.931763</v>
      </c>
      <c r="H263" s="2">
        <f>geracao_kwh!H263*lcae!$H$2</f>
        <v>3714590044025.9868</v>
      </c>
      <c r="I263" s="2">
        <f>geracao_kwh!I263*lcae!$I$2</f>
        <v>544926529664.97583</v>
      </c>
      <c r="J263" s="2">
        <f>geracao_kwh!J263*lcae!$J$2</f>
        <v>0</v>
      </c>
      <c r="K263" s="2">
        <f>geracao_kwh!K263*lcae!$K$2</f>
        <v>18335861413.999973</v>
      </c>
      <c r="L263" s="2">
        <f>geracao_kwh!L263*lcae!$L$2</f>
        <v>1147863385200.0037</v>
      </c>
      <c r="M263" s="2">
        <f>geracao_kwh!M263*lcae!$M$2</f>
        <v>401725374960.00024</v>
      </c>
      <c r="N263" s="2">
        <f>geracao_kwh!N263*lcae!$N$2</f>
        <v>0</v>
      </c>
      <c r="O263" s="2">
        <f>geracao_kwh!O263*lcae!$O$2</f>
        <v>0</v>
      </c>
    </row>
    <row r="264" spans="1:15" x14ac:dyDescent="0.3">
      <c r="A264" s="6">
        <v>263</v>
      </c>
      <c r="B264" s="6">
        <v>2021</v>
      </c>
      <c r="C264" s="6">
        <v>11</v>
      </c>
      <c r="D264" s="2">
        <f>geracao_kwh!D264*lcae!$D$2</f>
        <v>31625165779.99987</v>
      </c>
      <c r="E264" s="2">
        <f>geracao_kwh!E264*lcae!$E$2</f>
        <v>1532192993331.0029</v>
      </c>
      <c r="F264" s="2">
        <f>geracao_kwh!F264*lcae!$F$2</f>
        <v>76972807288.000366</v>
      </c>
      <c r="G264" s="2">
        <f>geracao_kwh!G264*lcae!$G$2</f>
        <v>37560664647.000069</v>
      </c>
      <c r="H264" s="2">
        <f>geracao_kwh!H264*lcae!$H$2</f>
        <v>3367198708343.999</v>
      </c>
      <c r="I264" s="2">
        <f>geracao_kwh!I264*lcae!$I$2</f>
        <v>623517728861.97351</v>
      </c>
      <c r="J264" s="2">
        <f>geracao_kwh!J264*lcae!$J$2</f>
        <v>0</v>
      </c>
      <c r="K264" s="2">
        <f>geracao_kwh!K264*lcae!$K$2</f>
        <v>17142770190.000004</v>
      </c>
      <c r="L264" s="2">
        <f>geracao_kwh!L264*lcae!$L$2</f>
        <v>849495172680.00232</v>
      </c>
      <c r="M264" s="2">
        <f>geracao_kwh!M264*lcae!$M$2</f>
        <v>333354766920.00055</v>
      </c>
      <c r="N264" s="2">
        <f>geracao_kwh!N264*lcae!$N$2</f>
        <v>0</v>
      </c>
      <c r="O264" s="2">
        <f>geracao_kwh!O264*lcae!$O$2</f>
        <v>0</v>
      </c>
    </row>
    <row r="265" spans="1:15" x14ac:dyDescent="0.3">
      <c r="A265" s="6">
        <v>264</v>
      </c>
      <c r="B265" s="6">
        <v>2021</v>
      </c>
      <c r="C265" s="6">
        <v>12</v>
      </c>
      <c r="D265" s="2">
        <f>geracao_kwh!D265*lcae!$D$2</f>
        <v>13653908059.999714</v>
      </c>
      <c r="E265" s="2">
        <f>geracao_kwh!E265*lcae!$E$2</f>
        <v>1162631099629.9995</v>
      </c>
      <c r="F265" s="2">
        <f>geracao_kwh!F265*lcae!$F$2</f>
        <v>78533530692.499985</v>
      </c>
      <c r="G265" s="2">
        <f>geracao_kwh!G265*lcae!$G$2</f>
        <v>36607690132.999924</v>
      </c>
      <c r="H265" s="2">
        <f>geracao_kwh!H265*lcae!$H$2</f>
        <v>2847461837849.9844</v>
      </c>
      <c r="I265" s="2">
        <f>geracao_kwh!I265*lcae!$I$2</f>
        <v>727722805845.01685</v>
      </c>
      <c r="J265" s="2">
        <f>geracao_kwh!J265*lcae!$J$2</f>
        <v>0</v>
      </c>
      <c r="K265" s="2">
        <f>geracao_kwh!K265*lcae!$K$2</f>
        <v>19333630160.000031</v>
      </c>
      <c r="L265" s="2">
        <f>geracao_kwh!L265*lcae!$L$2</f>
        <v>273117842759.99921</v>
      </c>
      <c r="M265" s="2">
        <f>geracao_kwh!M265*lcae!$M$2</f>
        <v>235979887919.99979</v>
      </c>
      <c r="N265" s="2">
        <f>geracao_kwh!N265*lcae!$N$2</f>
        <v>0</v>
      </c>
      <c r="O265" s="2">
        <f>geracao_kwh!O265*lcae!$O$2</f>
        <v>0</v>
      </c>
    </row>
    <row r="266" spans="1:15" x14ac:dyDescent="0.3">
      <c r="A266" s="6">
        <v>265</v>
      </c>
      <c r="B266" s="6">
        <v>2022</v>
      </c>
      <c r="C266" s="6">
        <v>1</v>
      </c>
      <c r="D266" s="2">
        <f>geracao_kwh!D266*lcae!$D$2</f>
        <v>10031301227.999971</v>
      </c>
      <c r="E266" s="2">
        <f>geracao_kwh!E266*lcae!$E$2</f>
        <v>697398666964.99939</v>
      </c>
      <c r="F266" s="2">
        <f>geracao_kwh!F266*lcae!$F$2</f>
        <v>60356204012.000175</v>
      </c>
      <c r="G266" s="2">
        <f>geracao_kwh!G266*lcae!$G$2</f>
        <v>39330800109.999954</v>
      </c>
      <c r="H266" s="2">
        <f>geracao_kwh!H266*lcae!$H$2</f>
        <v>2346682395113.9946</v>
      </c>
      <c r="I266" s="2">
        <f>geracao_kwh!I266*lcae!$I$2</f>
        <v>823044832680.00525</v>
      </c>
      <c r="J266" s="2">
        <f>geracao_kwh!J266*lcae!$J$2</f>
        <v>0</v>
      </c>
      <c r="K266" s="2">
        <f>geracao_kwh!K266*lcae!$K$2</f>
        <v>19301030671.000008</v>
      </c>
      <c r="L266" s="2">
        <f>geracao_kwh!L266*lcae!$L$2</f>
        <v>108384232320.00003</v>
      </c>
      <c r="M266" s="2">
        <f>geracao_kwh!M266*lcae!$M$2</f>
        <v>285984578039.99969</v>
      </c>
      <c r="N266" s="2">
        <f>geracao_kwh!N266*lcae!$N$2</f>
        <v>0</v>
      </c>
      <c r="O266" s="2">
        <f>geracao_kwh!O266*lcae!$O$2</f>
        <v>0</v>
      </c>
    </row>
    <row r="267" spans="1:15" x14ac:dyDescent="0.3">
      <c r="A267" s="6">
        <v>266</v>
      </c>
      <c r="B267" s="6">
        <v>2022</v>
      </c>
      <c r="C267" s="6">
        <v>2</v>
      </c>
      <c r="D267" s="2">
        <f>geracao_kwh!D267*lcae!$D$2</f>
        <v>9137290187.9999104</v>
      </c>
      <c r="E267" s="2">
        <f>geracao_kwh!E267*lcae!$E$2</f>
        <v>523672509360.00104</v>
      </c>
      <c r="F267" s="2">
        <f>geracao_kwh!F267*lcae!$F$2</f>
        <v>58832686302.000282</v>
      </c>
      <c r="G267" s="2">
        <f>geracao_kwh!G267*lcae!$G$2</f>
        <v>38163604154.000099</v>
      </c>
      <c r="H267" s="2">
        <f>geracao_kwh!H267*lcae!$H$2</f>
        <v>1412098909145.999</v>
      </c>
      <c r="I267" s="2">
        <f>geracao_kwh!I267*lcae!$I$2</f>
        <v>801306654203.99377</v>
      </c>
      <c r="J267" s="2">
        <f>geracao_kwh!J267*lcae!$J$2</f>
        <v>0</v>
      </c>
      <c r="K267" s="2">
        <f>geracao_kwh!K267*lcae!$K$2</f>
        <v>16477182761.00001</v>
      </c>
      <c r="L267" s="2">
        <f>geracao_kwh!L267*lcae!$L$2</f>
        <v>77901325320.000015</v>
      </c>
      <c r="M267" s="2">
        <f>geracao_kwh!M267*lcae!$M$2</f>
        <v>202153208880.00003</v>
      </c>
      <c r="N267" s="2">
        <f>geracao_kwh!N267*lcae!$N$2</f>
        <v>0</v>
      </c>
      <c r="O267" s="2">
        <f>geracao_kwh!O267*lcae!$O$2</f>
        <v>0</v>
      </c>
    </row>
    <row r="268" spans="1:15" x14ac:dyDescent="0.3">
      <c r="A268" s="6">
        <v>267</v>
      </c>
      <c r="B268" s="6">
        <v>2022</v>
      </c>
      <c r="C268" s="6">
        <v>3</v>
      </c>
      <c r="D268" s="2">
        <f>geracao_kwh!D268*lcae!$D$2</f>
        <v>10982755731.999908</v>
      </c>
      <c r="E268" s="2">
        <f>geracao_kwh!E268*lcae!$E$2</f>
        <v>588446596737.99963</v>
      </c>
      <c r="F268" s="2">
        <f>geracao_kwh!F268*lcae!$F$2</f>
        <v>69237521626.00148</v>
      </c>
      <c r="G268" s="2">
        <f>geracao_kwh!G268*lcae!$G$2</f>
        <v>44445572710.000153</v>
      </c>
      <c r="H268" s="2">
        <f>geracao_kwh!H268*lcae!$H$2</f>
        <v>1091620376045.9943</v>
      </c>
      <c r="I268" s="2">
        <f>geracao_kwh!I268*lcae!$I$2</f>
        <v>905720651514.02954</v>
      </c>
      <c r="J268" s="2">
        <f>geracao_kwh!J268*lcae!$J$2</f>
        <v>0</v>
      </c>
      <c r="K268" s="2">
        <f>geracao_kwh!K268*lcae!$K$2</f>
        <v>19199210914.000038</v>
      </c>
      <c r="L268" s="2">
        <f>geracao_kwh!L268*lcae!$L$2</f>
        <v>68995156439.999878</v>
      </c>
      <c r="M268" s="2">
        <f>geracao_kwh!M268*lcae!$M$2</f>
        <v>207474876839.99997</v>
      </c>
      <c r="N268" s="2">
        <f>geracao_kwh!N268*lcae!$N$2</f>
        <v>0</v>
      </c>
      <c r="O268" s="2">
        <f>geracao_kwh!O268*lcae!$O$2</f>
        <v>0</v>
      </c>
    </row>
    <row r="269" spans="1:15" x14ac:dyDescent="0.3">
      <c r="A269" s="6">
        <v>268</v>
      </c>
      <c r="B269" s="6">
        <v>2022</v>
      </c>
      <c r="C269" s="6">
        <v>4</v>
      </c>
      <c r="D269" s="2">
        <f>geracao_kwh!D269*lcae!$D$2</f>
        <v>26144782352.00008</v>
      </c>
      <c r="E269" s="2">
        <f>geracao_kwh!E269*lcae!$E$2</f>
        <v>252568649333.00018</v>
      </c>
      <c r="F269" s="2">
        <f>geracao_kwh!F269*lcae!$F$2</f>
        <v>64545612248.002159</v>
      </c>
      <c r="G269" s="2">
        <f>geracao_kwh!G269*lcae!$G$2</f>
        <v>43225881580.000099</v>
      </c>
      <c r="H269" s="2">
        <f>geracao_kwh!H269*lcae!$H$2</f>
        <v>565837884737.99597</v>
      </c>
      <c r="I269" s="2">
        <f>geracao_kwh!I269*lcae!$I$2</f>
        <v>825508873013.99023</v>
      </c>
      <c r="J269" s="2">
        <f>geracao_kwh!J269*lcae!$J$2</f>
        <v>0</v>
      </c>
      <c r="K269" s="2">
        <f>geracao_kwh!K269*lcae!$K$2</f>
        <v>18689655646.999973</v>
      </c>
      <c r="L269" s="2">
        <f>geracao_kwh!L269*lcae!$L$2</f>
        <v>66216574199.999977</v>
      </c>
      <c r="M269" s="2">
        <f>geracao_kwh!M269*lcae!$M$2</f>
        <v>122314920</v>
      </c>
      <c r="N269" s="2">
        <f>geracao_kwh!N269*lcae!$N$2</f>
        <v>0</v>
      </c>
      <c r="O269" s="2">
        <f>geracao_kwh!O269*lcae!$O$2</f>
        <v>0</v>
      </c>
    </row>
    <row r="270" spans="1:15" x14ac:dyDescent="0.3">
      <c r="A270" s="6">
        <v>269</v>
      </c>
      <c r="B270" s="6">
        <v>2022</v>
      </c>
      <c r="C270" s="6">
        <v>5</v>
      </c>
      <c r="D270" s="2">
        <f>geracao_kwh!D270*lcae!$D$2</f>
        <v>49124255387.999924</v>
      </c>
      <c r="E270" s="2">
        <f>geracao_kwh!E270*lcae!$E$2</f>
        <v>500523729706.00006</v>
      </c>
      <c r="F270" s="2">
        <f>geracao_kwh!F270*lcae!$F$2</f>
        <v>75645973370.498779</v>
      </c>
      <c r="G270" s="2">
        <f>geracao_kwh!G270*lcae!$G$2</f>
        <v>43184144618.99987</v>
      </c>
      <c r="H270" s="2">
        <f>geracao_kwh!H270*lcae!$H$2</f>
        <v>553474133189.99268</v>
      </c>
      <c r="I270" s="2">
        <f>geracao_kwh!I270*lcae!$I$2</f>
        <v>782260686039.00903</v>
      </c>
      <c r="J270" s="2">
        <f>geracao_kwh!J270*lcae!$J$2</f>
        <v>0</v>
      </c>
      <c r="K270" s="2">
        <f>geracao_kwh!K270*lcae!$K$2</f>
        <v>18740228013.000004</v>
      </c>
      <c r="L270" s="2">
        <f>geracao_kwh!L270*lcae!$L$2</f>
        <v>36998442600.000023</v>
      </c>
      <c r="M270" s="2">
        <f>geracao_kwh!M270*lcae!$M$2</f>
        <v>8780520</v>
      </c>
      <c r="N270" s="2">
        <f>geracao_kwh!N270*lcae!$N$2</f>
        <v>0</v>
      </c>
      <c r="O270" s="2">
        <f>geracao_kwh!O270*lcae!$O$2</f>
        <v>0</v>
      </c>
    </row>
    <row r="271" spans="1:15" x14ac:dyDescent="0.3">
      <c r="A271" s="6">
        <v>270</v>
      </c>
      <c r="B271" s="6">
        <v>2022</v>
      </c>
      <c r="C271" s="6">
        <v>6</v>
      </c>
      <c r="D271" s="2">
        <f>geracao_kwh!D271*lcae!$D$2</f>
        <v>51187217848.00029</v>
      </c>
      <c r="E271" s="2">
        <f>geracao_kwh!E271*lcae!$E$2</f>
        <v>682834147996.00061</v>
      </c>
      <c r="F271" s="2">
        <f>geracao_kwh!F271*lcae!$F$2</f>
        <v>75072038275.000839</v>
      </c>
      <c r="G271" s="2">
        <f>geracao_kwh!G271*lcae!$G$2</f>
        <v>42053162359.999947</v>
      </c>
      <c r="H271" s="2">
        <f>geracao_kwh!H271*lcae!$H$2</f>
        <v>856239894252.00281</v>
      </c>
      <c r="I271" s="2">
        <f>geracao_kwh!I271*lcae!$I$2</f>
        <v>725176304033.98889</v>
      </c>
      <c r="J271" s="2">
        <f>geracao_kwh!J271*lcae!$J$2</f>
        <v>0</v>
      </c>
      <c r="K271" s="2">
        <f>geracao_kwh!K271*lcae!$K$2</f>
        <v>9642776636.9999924</v>
      </c>
      <c r="L271" s="2">
        <f>geracao_kwh!L271*lcae!$L$2</f>
        <v>28660542119.999962</v>
      </c>
      <c r="M271" s="2">
        <f>geracao_kwh!M271*lcae!$M$2</f>
        <v>0</v>
      </c>
      <c r="N271" s="2">
        <f>geracao_kwh!N271*lcae!$N$2</f>
        <v>0</v>
      </c>
      <c r="O271" s="2">
        <f>geracao_kwh!O271*lcae!$O$2</f>
        <v>0</v>
      </c>
    </row>
    <row r="272" spans="1:15" x14ac:dyDescent="0.3">
      <c r="A272" s="6">
        <v>271</v>
      </c>
      <c r="B272" s="6">
        <v>2022</v>
      </c>
      <c r="C272" s="6">
        <v>7</v>
      </c>
      <c r="D272" s="2">
        <f>geracao_kwh!D272*lcae!$D$2</f>
        <v>59716794227.998886</v>
      </c>
      <c r="E272" s="2">
        <f>geracao_kwh!E272*lcae!$E$2</f>
        <v>717455077338.99963</v>
      </c>
      <c r="F272" s="2">
        <f>geracao_kwh!F272*lcae!$F$2</f>
        <v>106093405496.00348</v>
      </c>
      <c r="G272" s="2">
        <f>geracao_kwh!G272*lcae!$G$2</f>
        <v>49119855503.00042</v>
      </c>
      <c r="H272" s="2">
        <f>geracao_kwh!H272*lcae!$H$2</f>
        <v>738490649310.00366</v>
      </c>
      <c r="I272" s="2">
        <f>geracao_kwh!I272*lcae!$I$2</f>
        <v>712687696370.97974</v>
      </c>
      <c r="J272" s="2">
        <f>geracao_kwh!J272*lcae!$J$2</f>
        <v>0</v>
      </c>
      <c r="K272" s="2">
        <f>geracao_kwh!K272*lcae!$K$2</f>
        <v>8265206676.9999905</v>
      </c>
      <c r="L272" s="2">
        <f>geracao_kwh!L272*lcae!$L$2</f>
        <v>35810300399.999916</v>
      </c>
      <c r="M272" s="2">
        <f>geracao_kwh!M272*lcae!$M$2</f>
        <v>0</v>
      </c>
      <c r="N272" s="2">
        <f>geracao_kwh!N272*lcae!$N$2</f>
        <v>0</v>
      </c>
      <c r="O272" s="2">
        <f>geracao_kwh!O272*lcae!$O$2</f>
        <v>0</v>
      </c>
    </row>
    <row r="273" spans="1:15" x14ac:dyDescent="0.3">
      <c r="A273" s="6">
        <v>272</v>
      </c>
      <c r="B273" s="6">
        <v>2022</v>
      </c>
      <c r="C273" s="6">
        <v>8</v>
      </c>
      <c r="D273" s="2">
        <f>geracao_kwh!D273*lcae!$D$2</f>
        <v>54497978339.99897</v>
      </c>
      <c r="E273" s="2">
        <f>geracao_kwh!E273*lcae!$E$2</f>
        <v>748435704015.99854</v>
      </c>
      <c r="F273" s="2">
        <f>geracao_kwh!F273*lcae!$F$2</f>
        <v>118995336498.99889</v>
      </c>
      <c r="G273" s="2">
        <f>geracao_kwh!G273*lcae!$G$2</f>
        <v>55137401880.000099</v>
      </c>
      <c r="H273" s="2">
        <f>geracao_kwh!H273*lcae!$H$2</f>
        <v>800171730539.99451</v>
      </c>
      <c r="I273" s="2">
        <f>geracao_kwh!I273*lcae!$I$2</f>
        <v>684532920015.01367</v>
      </c>
      <c r="J273" s="2">
        <f>geracao_kwh!J273*lcae!$J$2</f>
        <v>0</v>
      </c>
      <c r="K273" s="2">
        <f>geracao_kwh!K273*lcae!$K$2</f>
        <v>15370313464.99999</v>
      </c>
      <c r="L273" s="2">
        <f>geracao_kwh!L273*lcae!$L$2</f>
        <v>41112950759.999992</v>
      </c>
      <c r="M273" s="2">
        <f>geracao_kwh!M273*lcae!$M$2</f>
        <v>0</v>
      </c>
      <c r="N273" s="2">
        <f>geracao_kwh!N273*lcae!$N$2</f>
        <v>0</v>
      </c>
      <c r="O273" s="2">
        <f>geracao_kwh!O273*lcae!$O$2</f>
        <v>0</v>
      </c>
    </row>
    <row r="274" spans="1:15" x14ac:dyDescent="0.3">
      <c r="A274" s="6">
        <v>273</v>
      </c>
      <c r="B274" s="6">
        <v>2022</v>
      </c>
      <c r="C274" s="6">
        <v>9</v>
      </c>
      <c r="D274" s="2">
        <f>geracao_kwh!D274*lcae!$D$2</f>
        <v>50144451343.999161</v>
      </c>
      <c r="E274" s="2">
        <f>geracao_kwh!E274*lcae!$E$2</f>
        <v>706098749356.00024</v>
      </c>
      <c r="F274" s="2">
        <f>geracao_kwh!F274*lcae!$F$2</f>
        <v>117959826036.00154</v>
      </c>
      <c r="G274" s="2">
        <f>geracao_kwh!G274*lcae!$G$2</f>
        <v>59084286266.999435</v>
      </c>
      <c r="H274" s="2">
        <f>geracao_kwh!H274*lcae!$H$2</f>
        <v>809924677452.00684</v>
      </c>
      <c r="I274" s="2">
        <f>geracao_kwh!I274*lcae!$I$2</f>
        <v>667017410597.99829</v>
      </c>
      <c r="J274" s="2">
        <f>geracao_kwh!J274*lcae!$J$2</f>
        <v>0</v>
      </c>
      <c r="K274" s="2">
        <f>geracao_kwh!K274*lcae!$K$2</f>
        <v>14341535351.00001</v>
      </c>
      <c r="L274" s="2">
        <f>geracao_kwh!L274*lcae!$L$2</f>
        <v>56327472599.999939</v>
      </c>
      <c r="M274" s="2">
        <f>geracao_kwh!M274*lcae!$M$2</f>
        <v>0</v>
      </c>
      <c r="N274" s="2">
        <f>geracao_kwh!N274*lcae!$N$2</f>
        <v>0</v>
      </c>
      <c r="O274" s="2">
        <f>geracao_kwh!O274*lcae!$O$2</f>
        <v>0</v>
      </c>
    </row>
    <row r="275" spans="1:15" x14ac:dyDescent="0.3">
      <c r="A275" s="6">
        <v>274</v>
      </c>
      <c r="B275" s="6">
        <v>2022</v>
      </c>
      <c r="C275" s="6">
        <v>10</v>
      </c>
      <c r="D275" s="2">
        <f>geracao_kwh!D275*lcae!$D$2</f>
        <v>42768780859.999718</v>
      </c>
      <c r="E275" s="2">
        <f>geracao_kwh!E275*lcae!$E$2</f>
        <v>676642996029.00073</v>
      </c>
      <c r="F275" s="2">
        <f>geracao_kwh!F275*lcae!$F$2</f>
        <v>124146662900.00195</v>
      </c>
      <c r="G275" s="2">
        <f>geracao_kwh!G275*lcae!$G$2</f>
        <v>64201306734.999039</v>
      </c>
      <c r="H275" s="2">
        <f>geracao_kwh!H275*lcae!$H$2</f>
        <v>864602341703.99792</v>
      </c>
      <c r="I275" s="2">
        <f>geracao_kwh!I275*lcae!$I$2</f>
        <v>696564606023.99438</v>
      </c>
      <c r="J275" s="2">
        <f>geracao_kwh!J275*lcae!$J$2</f>
        <v>0</v>
      </c>
      <c r="K275" s="2">
        <f>geracao_kwh!K275*lcae!$K$2</f>
        <v>19410610543.999992</v>
      </c>
      <c r="L275" s="2">
        <f>geracao_kwh!L275*lcae!$L$2</f>
        <v>48425467439.999985</v>
      </c>
      <c r="M275" s="2">
        <f>geracao_kwh!M275*lcae!$M$2</f>
        <v>0</v>
      </c>
      <c r="N275" s="2">
        <f>geracao_kwh!N275*lcae!$N$2</f>
        <v>0</v>
      </c>
      <c r="O275" s="2">
        <f>geracao_kwh!O275*lcae!$O$2</f>
        <v>0</v>
      </c>
    </row>
    <row r="276" spans="1:15" x14ac:dyDescent="0.3">
      <c r="A276" s="6">
        <v>275</v>
      </c>
      <c r="B276" s="6">
        <v>2022</v>
      </c>
      <c r="C276" s="6">
        <v>11</v>
      </c>
      <c r="D276" s="2">
        <f>geracao_kwh!D276*lcae!$D$2</f>
        <v>34949514703.999763</v>
      </c>
      <c r="E276" s="2">
        <f>geracao_kwh!E276*lcae!$E$2</f>
        <v>598254688031.00012</v>
      </c>
      <c r="F276" s="2">
        <f>geracao_kwh!F276*lcae!$F$2</f>
        <v>79523557919.001022</v>
      </c>
      <c r="G276" s="2">
        <f>geracao_kwh!G276*lcae!$G$2</f>
        <v>53740820059.000458</v>
      </c>
      <c r="H276" s="2">
        <f>geracao_kwh!H276*lcae!$H$2</f>
        <v>834801753365.99768</v>
      </c>
      <c r="I276" s="2">
        <f>geracao_kwh!I276*lcae!$I$2</f>
        <v>762229822115.9834</v>
      </c>
      <c r="J276" s="2">
        <f>geracao_kwh!J276*lcae!$J$2</f>
        <v>843529679.99999976</v>
      </c>
      <c r="K276" s="2">
        <f>geracao_kwh!K276*lcae!$K$2</f>
        <v>10609619747.999998</v>
      </c>
      <c r="L276" s="2">
        <f>geracao_kwh!L276*lcae!$L$2</f>
        <v>34936469399.999954</v>
      </c>
      <c r="M276" s="2">
        <f>geracao_kwh!M276*lcae!$M$2</f>
        <v>0</v>
      </c>
      <c r="N276" s="2">
        <f>geracao_kwh!N276*lcae!$N$2</f>
        <v>0</v>
      </c>
      <c r="O276" s="2">
        <f>geracao_kwh!O276*lcae!$O$2</f>
        <v>0</v>
      </c>
    </row>
    <row r="277" spans="1:15" x14ac:dyDescent="0.3">
      <c r="A277" s="6">
        <v>276</v>
      </c>
      <c r="B277" s="6">
        <v>2022</v>
      </c>
      <c r="C277" s="6">
        <v>12</v>
      </c>
      <c r="D277" s="2">
        <f>geracao_kwh!D277*lcae!$D$2</f>
        <v>15945830160.000099</v>
      </c>
      <c r="E277" s="2">
        <f>geracao_kwh!E277*lcae!$E$2</f>
        <v>210115381475.9996</v>
      </c>
      <c r="F277" s="2">
        <f>geracao_kwh!F277*lcae!$F$2</f>
        <v>84013764523.000641</v>
      </c>
      <c r="G277" s="2">
        <f>geracao_kwh!G277*lcae!$G$2</f>
        <v>57985324989.999855</v>
      </c>
      <c r="H277" s="2">
        <f>geracao_kwh!H277*lcae!$H$2</f>
        <v>961430063273.9967</v>
      </c>
      <c r="I277" s="2">
        <f>geracao_kwh!I277*lcae!$I$2</f>
        <v>810969732068.96265</v>
      </c>
      <c r="J277" s="2">
        <f>geracao_kwh!J277*lcae!$J$2</f>
        <v>6592746720.0000019</v>
      </c>
      <c r="K277" s="2">
        <f>geracao_kwh!K277*lcae!$K$2</f>
        <v>19113867734.000042</v>
      </c>
      <c r="L277" s="2">
        <f>geracao_kwh!L277*lcae!$L$2</f>
        <v>28116080159.999985</v>
      </c>
      <c r="M277" s="2">
        <f>geracao_kwh!M277*lcae!$M$2</f>
        <v>2411367840</v>
      </c>
      <c r="N277" s="2">
        <f>geracao_kwh!N277*lcae!$N$2</f>
        <v>0</v>
      </c>
      <c r="O277" s="2">
        <f>geracao_kwh!O277*lcae!$O$2</f>
        <v>0</v>
      </c>
    </row>
    <row r="278" spans="1:15" x14ac:dyDescent="0.3">
      <c r="A278" s="6">
        <v>277</v>
      </c>
      <c r="B278" s="6">
        <v>2023</v>
      </c>
      <c r="C278" s="6">
        <v>1</v>
      </c>
      <c r="D278" s="2">
        <f>geracao_kwh!D278*lcae!$D$2</f>
        <v>11702349932.000204</v>
      </c>
      <c r="E278" s="2">
        <f>geracao_kwh!E278*lcae!$E$2</f>
        <v>393598195990.99994</v>
      </c>
      <c r="F278" s="2">
        <f>geracao_kwh!F278*lcae!$F$2</f>
        <v>83039776885.000443</v>
      </c>
      <c r="G278" s="2">
        <f>geracao_kwh!G278*lcae!$G$2</f>
        <v>62890969540.999908</v>
      </c>
      <c r="H278" s="2">
        <f>geracao_kwh!H278*lcae!$H$2</f>
        <v>837831016152.00183</v>
      </c>
      <c r="I278" s="2">
        <f>geracao_kwh!I278*lcae!$I$2</f>
        <v>857607743979.00964</v>
      </c>
      <c r="J278" s="2">
        <f>geracao_kwh!J278*lcae!$J$2</f>
        <v>4201015560.0000024</v>
      </c>
      <c r="K278" s="2">
        <f>geracao_kwh!K278*lcae!$K$2</f>
        <v>19406785125.000019</v>
      </c>
      <c r="L278" s="2">
        <f>geracao_kwh!L278*lcae!$L$2</f>
        <v>16876264439.999987</v>
      </c>
      <c r="M278" s="2">
        <f>geracao_kwh!M278*lcae!$M$2</f>
        <v>5966999640.000001</v>
      </c>
      <c r="N278" s="2">
        <f>geracao_kwh!N278*lcae!$N$2</f>
        <v>0</v>
      </c>
      <c r="O278" s="2">
        <f>geracao_kwh!O278*lcae!$O$2</f>
        <v>0</v>
      </c>
    </row>
    <row r="279" spans="1:15" x14ac:dyDescent="0.3">
      <c r="A279" s="6">
        <v>278</v>
      </c>
      <c r="B279" s="6">
        <v>2023</v>
      </c>
      <c r="C279" s="6">
        <v>2</v>
      </c>
      <c r="D279" s="2">
        <f>geracao_kwh!D279*lcae!$D$2</f>
        <v>9283407640.0002193</v>
      </c>
      <c r="E279" s="2">
        <f>geracao_kwh!E279*lcae!$E$2</f>
        <v>352860159651.99963</v>
      </c>
      <c r="F279" s="2">
        <f>geracao_kwh!F279*lcae!$F$2</f>
        <v>85307080807.000336</v>
      </c>
      <c r="G279" s="2">
        <f>geracao_kwh!G279*lcae!$G$2</f>
        <v>63552665537.999756</v>
      </c>
      <c r="H279" s="2">
        <f>geracao_kwh!H279*lcae!$H$2</f>
        <v>567342174779.9989</v>
      </c>
      <c r="I279" s="2">
        <f>geracao_kwh!I279*lcae!$I$2</f>
        <v>814689361206.00732</v>
      </c>
      <c r="J279" s="2">
        <f>geracao_kwh!J279*lcae!$J$2</f>
        <v>3682445760.000001</v>
      </c>
      <c r="K279" s="2">
        <f>geracao_kwh!K279*lcae!$K$2</f>
        <v>15127495759.999971</v>
      </c>
      <c r="L279" s="2">
        <f>geracao_kwh!L279*lcae!$L$2</f>
        <v>15324709680.000015</v>
      </c>
      <c r="M279" s="2">
        <f>geracao_kwh!M279*lcae!$M$2</f>
        <v>5087269320.000001</v>
      </c>
      <c r="N279" s="2">
        <f>geracao_kwh!N279*lcae!$N$2</f>
        <v>0</v>
      </c>
      <c r="O279" s="2">
        <f>geracao_kwh!O279*lcae!$O$2</f>
        <v>0</v>
      </c>
    </row>
    <row r="280" spans="1:15" x14ac:dyDescent="0.3">
      <c r="A280" s="6">
        <v>279</v>
      </c>
      <c r="B280" s="6">
        <v>2023</v>
      </c>
      <c r="C280" s="6">
        <v>3</v>
      </c>
      <c r="D280" s="2">
        <f>geracao_kwh!D280*lcae!$D$2</f>
        <v>13183675856.000303</v>
      </c>
      <c r="E280" s="2">
        <f>geracao_kwh!E280*lcae!$E$2</f>
        <v>669497099271.00024</v>
      </c>
      <c r="F280" s="2">
        <f>geracao_kwh!F280*lcae!$F$2</f>
        <v>79572235209.999161</v>
      </c>
      <c r="G280" s="2">
        <f>geracao_kwh!G280*lcae!$G$2</f>
        <v>65920768374.999588</v>
      </c>
      <c r="H280" s="2">
        <f>geracao_kwh!H280*lcae!$H$2</f>
        <v>589549755239.99915</v>
      </c>
      <c r="I280" s="2">
        <f>geracao_kwh!I280*lcae!$I$2</f>
        <v>944507000283.02112</v>
      </c>
      <c r="J280" s="2">
        <f>geracao_kwh!J280*lcae!$J$2</f>
        <v>5024620439.9999943</v>
      </c>
      <c r="K280" s="2">
        <f>geracao_kwh!K280*lcae!$K$2</f>
        <v>16630109183.999979</v>
      </c>
      <c r="L280" s="2">
        <f>geracao_kwh!L280*lcae!$L$2</f>
        <v>18104649359.999992</v>
      </c>
      <c r="M280" s="2">
        <f>geracao_kwh!M280*lcae!$M$2</f>
        <v>9438147600</v>
      </c>
      <c r="N280" s="2">
        <f>geracao_kwh!N280*lcae!$N$2</f>
        <v>0</v>
      </c>
      <c r="O280" s="2">
        <f>geracao_kwh!O280*lcae!$O$2</f>
        <v>0</v>
      </c>
    </row>
    <row r="281" spans="1:15" x14ac:dyDescent="0.3">
      <c r="A281" s="6">
        <v>280</v>
      </c>
      <c r="B281" s="6">
        <v>2023</v>
      </c>
      <c r="C281" s="6">
        <v>4</v>
      </c>
      <c r="D281" s="2">
        <f>geracao_kwh!D281*lcae!$D$2</f>
        <v>29181127767.999962</v>
      </c>
      <c r="E281" s="2">
        <f>geracao_kwh!E281*lcae!$E$2</f>
        <v>575928281929.00122</v>
      </c>
      <c r="F281" s="2">
        <f>geracao_kwh!F281*lcae!$F$2</f>
        <v>63092461042.000519</v>
      </c>
      <c r="G281" s="2">
        <f>geracao_kwh!G281*lcae!$G$2</f>
        <v>69386078174.999313</v>
      </c>
      <c r="H281" s="2">
        <f>geracao_kwh!H281*lcae!$H$2</f>
        <v>765570624714.00146</v>
      </c>
      <c r="I281" s="2">
        <f>geracao_kwh!I281*lcae!$I$2</f>
        <v>820331177736.00867</v>
      </c>
      <c r="J281" s="2">
        <f>geracao_kwh!J281*lcae!$J$2</f>
        <v>4872891239.9999981</v>
      </c>
      <c r="K281" s="2">
        <f>geracao_kwh!K281*lcae!$K$2</f>
        <v>18034054531.999977</v>
      </c>
      <c r="L281" s="2">
        <f>geracao_kwh!L281*lcae!$L$2</f>
        <v>18575382839.999996</v>
      </c>
      <c r="M281" s="2">
        <f>geracao_kwh!M281*lcae!$M$2</f>
        <v>9361787399.9999962</v>
      </c>
      <c r="N281" s="2">
        <f>geracao_kwh!N281*lcae!$N$2</f>
        <v>0</v>
      </c>
      <c r="O281" s="2">
        <f>geracao_kwh!O281*lcae!$O$2</f>
        <v>0</v>
      </c>
    </row>
    <row r="282" spans="1:15" x14ac:dyDescent="0.3">
      <c r="A282" s="6">
        <v>281</v>
      </c>
      <c r="B282" s="6">
        <v>2023</v>
      </c>
      <c r="C282" s="6">
        <v>5</v>
      </c>
      <c r="D282" s="2">
        <f>geracao_kwh!D282*lcae!$D$2</f>
        <v>49869709187.999077</v>
      </c>
      <c r="E282" s="2">
        <f>geracao_kwh!E282*lcae!$E$2</f>
        <v>503357844990.00049</v>
      </c>
      <c r="F282" s="2">
        <f>geracao_kwh!F282*lcae!$F$2</f>
        <v>89416351907.999268</v>
      </c>
      <c r="G282" s="2">
        <f>geracao_kwh!G282*lcae!$G$2</f>
        <v>161629110145</v>
      </c>
      <c r="H282" s="2">
        <f>geracao_kwh!H282*lcae!$H$2</f>
        <v>579819298949.99951</v>
      </c>
      <c r="I282" s="2">
        <f>geracao_kwh!I282*lcae!$I$2</f>
        <v>771655225424.97437</v>
      </c>
      <c r="J282" s="2">
        <f>geracao_kwh!J282*lcae!$J$2</f>
        <v>4488326640.0000019</v>
      </c>
      <c r="K282" s="2">
        <f>geracao_kwh!K282*lcae!$K$2</f>
        <v>19403472634.000011</v>
      </c>
      <c r="L282" s="2">
        <f>geracao_kwh!L282*lcae!$L$2</f>
        <v>17298226680.000019</v>
      </c>
      <c r="M282" s="2">
        <f>geracao_kwh!M282*lcae!$M$2</f>
        <v>6247711680</v>
      </c>
      <c r="N282" s="2">
        <f>geracao_kwh!N282*lcae!$N$2</f>
        <v>0</v>
      </c>
      <c r="O282" s="2">
        <f>geracao_kwh!O282*lcae!$O$2</f>
        <v>0</v>
      </c>
    </row>
    <row r="283" spans="1:15" x14ac:dyDescent="0.3">
      <c r="A283" s="6">
        <v>282</v>
      </c>
      <c r="B283" s="6">
        <v>2023</v>
      </c>
      <c r="C283" s="6">
        <v>6</v>
      </c>
      <c r="D283" s="2">
        <f>geracao_kwh!D283*lcae!$D$2</f>
        <v>50959603603.999123</v>
      </c>
      <c r="E283" s="2">
        <f>geracao_kwh!E283*lcae!$E$2</f>
        <v>715847337205.00171</v>
      </c>
      <c r="F283" s="2">
        <f>geracao_kwh!F283*lcae!$F$2</f>
        <v>111493451095.00095</v>
      </c>
      <c r="G283" s="2">
        <f>geracao_kwh!G283*lcae!$G$2</f>
        <v>154382474429.00076</v>
      </c>
      <c r="H283" s="2">
        <f>geracao_kwh!H283*lcae!$H$2</f>
        <v>1067526457055.9943</v>
      </c>
      <c r="I283" s="2">
        <f>geracao_kwh!I283*lcae!$I$2</f>
        <v>657977786403.00012</v>
      </c>
      <c r="J283" s="2">
        <f>geracao_kwh!J283*lcae!$J$2</f>
        <v>3508039920.000001</v>
      </c>
      <c r="K283" s="2">
        <f>geracao_kwh!K283*lcae!$K$2</f>
        <v>18812702935.000011</v>
      </c>
      <c r="L283" s="2">
        <f>geracao_kwh!L283*lcae!$L$2</f>
        <v>18087717480.000008</v>
      </c>
      <c r="M283" s="2">
        <f>geracao_kwh!M283*lcae!$M$2</f>
        <v>2353807680.0000014</v>
      </c>
      <c r="N283" s="2">
        <f>geracao_kwh!N283*lcae!$N$2</f>
        <v>0</v>
      </c>
      <c r="O283" s="2">
        <f>geracao_kwh!O283*lcae!$O$2</f>
        <v>0</v>
      </c>
    </row>
    <row r="284" spans="1:15" x14ac:dyDescent="0.3">
      <c r="A284" s="6">
        <v>283</v>
      </c>
      <c r="B284" s="6">
        <v>2023</v>
      </c>
      <c r="C284" s="6">
        <v>7</v>
      </c>
      <c r="D284" s="2">
        <f>geracao_kwh!D284*lcae!$D$2</f>
        <v>55801920147.999344</v>
      </c>
      <c r="E284" s="2">
        <f>geracao_kwh!E284*lcae!$E$2</f>
        <v>834176860516.99805</v>
      </c>
      <c r="F284" s="2">
        <f>geracao_kwh!F284*lcae!$F$2</f>
        <v>129291083856.99864</v>
      </c>
      <c r="G284" s="2">
        <f>geracao_kwh!G284*lcae!$G$2</f>
        <v>177727720099.00046</v>
      </c>
      <c r="H284" s="2">
        <f>geracao_kwh!H284*lcae!$H$2</f>
        <v>771885663029.99817</v>
      </c>
      <c r="I284" s="2">
        <f>geracao_kwh!I284*lcae!$I$2</f>
        <v>650982178937.99487</v>
      </c>
      <c r="J284" s="2">
        <f>geracao_kwh!J284*lcae!$J$2</f>
        <v>3128963880.0000019</v>
      </c>
      <c r="K284" s="2">
        <f>geracao_kwh!K284*lcae!$K$2</f>
        <v>19103553117.999977</v>
      </c>
      <c r="L284" s="2">
        <f>geracao_kwh!L284*lcae!$L$2</f>
        <v>18492213599.999996</v>
      </c>
      <c r="M284" s="2">
        <f>geracao_kwh!M284*lcae!$M$2</f>
        <v>2813362440.000001</v>
      </c>
      <c r="N284" s="2">
        <f>geracao_kwh!N284*lcae!$N$2</f>
        <v>0</v>
      </c>
      <c r="O284" s="2">
        <f>geracao_kwh!O284*lcae!$O$2</f>
        <v>0</v>
      </c>
    </row>
    <row r="285" spans="1:15" x14ac:dyDescent="0.3">
      <c r="A285" s="6">
        <v>284</v>
      </c>
      <c r="B285" s="6">
        <v>2023</v>
      </c>
      <c r="C285" s="6">
        <v>8</v>
      </c>
      <c r="D285" s="2">
        <f>geracao_kwh!D285*lcae!$D$2</f>
        <v>57748378271.998611</v>
      </c>
      <c r="E285" s="2">
        <f>geracao_kwh!E285*lcae!$E$2</f>
        <v>769579881069.99963</v>
      </c>
      <c r="F285" s="2">
        <f>geracao_kwh!F285*lcae!$F$2</f>
        <v>118631937268.00092</v>
      </c>
      <c r="G285" s="2">
        <f>geracao_kwh!G285*lcae!$G$2</f>
        <v>200115746682.00061</v>
      </c>
      <c r="H285" s="2">
        <f>geracao_kwh!H285*lcae!$H$2</f>
        <v>727372279566.00354</v>
      </c>
      <c r="I285" s="2">
        <f>geracao_kwh!I285*lcae!$I$2</f>
        <v>696917129705.98547</v>
      </c>
      <c r="J285" s="2">
        <f>geracao_kwh!J285*lcae!$J$2</f>
        <v>4442467680.000001</v>
      </c>
      <c r="K285" s="2">
        <f>geracao_kwh!K285*lcae!$K$2</f>
        <v>19434783419.999958</v>
      </c>
      <c r="L285" s="2">
        <f>geracao_kwh!L285*lcae!$L$2</f>
        <v>26788340040.000027</v>
      </c>
      <c r="M285" s="2">
        <f>geracao_kwh!M285*lcae!$M$2</f>
        <v>1026907560</v>
      </c>
      <c r="N285" s="2">
        <f>geracao_kwh!N285*lcae!$N$2</f>
        <v>0</v>
      </c>
      <c r="O285" s="2">
        <f>geracao_kwh!O285*lcae!$O$2</f>
        <v>0</v>
      </c>
    </row>
    <row r="286" spans="1:15" x14ac:dyDescent="0.3">
      <c r="A286" s="6">
        <v>285</v>
      </c>
      <c r="B286" s="6">
        <v>2023</v>
      </c>
      <c r="C286" s="6">
        <v>9</v>
      </c>
      <c r="D286" s="2">
        <f>geracao_kwh!D286*lcae!$D$2</f>
        <v>54682038684.000053</v>
      </c>
      <c r="E286" s="2">
        <f>geracao_kwh!E286*lcae!$E$2</f>
        <v>574925331980.99939</v>
      </c>
      <c r="F286" s="2">
        <f>geracao_kwh!F286*lcae!$F$2</f>
        <v>119328099384.00182</v>
      </c>
      <c r="G286" s="2">
        <f>geracao_kwh!G286*lcae!$G$2</f>
        <v>218411480078.00092</v>
      </c>
      <c r="H286" s="2">
        <f>geracao_kwh!H286*lcae!$H$2</f>
        <v>678042439758.00244</v>
      </c>
      <c r="I286" s="2">
        <f>geracao_kwh!I286*lcae!$I$2</f>
        <v>710969431451.99475</v>
      </c>
      <c r="J286" s="2">
        <f>geracao_kwh!J286*lcae!$J$2</f>
        <v>4798620959.9999981</v>
      </c>
      <c r="K286" s="2">
        <f>geracao_kwh!K286*lcae!$K$2</f>
        <v>15940597386.999996</v>
      </c>
      <c r="L286" s="2">
        <f>geracao_kwh!L286*lcae!$L$2</f>
        <v>37954998480.000031</v>
      </c>
      <c r="M286" s="2">
        <f>geracao_kwh!M286*lcae!$M$2</f>
        <v>923404440</v>
      </c>
      <c r="N286" s="2">
        <f>geracao_kwh!N286*lcae!$N$2</f>
        <v>0</v>
      </c>
      <c r="O286" s="2">
        <f>geracao_kwh!O286*lcae!$O$2</f>
        <v>0</v>
      </c>
    </row>
    <row r="287" spans="1:15" x14ac:dyDescent="0.3">
      <c r="A287" s="6">
        <v>286</v>
      </c>
      <c r="B287" s="6">
        <v>2023</v>
      </c>
      <c r="C287" s="6">
        <v>10</v>
      </c>
      <c r="D287" s="2">
        <f>geracao_kwh!D287*lcae!$D$2</f>
        <v>53605399379.998215</v>
      </c>
      <c r="E287" s="2">
        <f>geracao_kwh!E287*lcae!$E$2</f>
        <v>737132824427.99854</v>
      </c>
      <c r="F287" s="2">
        <f>geracao_kwh!F287*lcae!$F$2</f>
        <v>126092792904.00023</v>
      </c>
      <c r="G287" s="2">
        <f>geracao_kwh!G287*lcae!$G$2</f>
        <v>231911532694.00385</v>
      </c>
      <c r="H287" s="2">
        <f>geracao_kwh!H287*lcae!$H$2</f>
        <v>700360823844.00159</v>
      </c>
      <c r="I287" s="2">
        <f>geracao_kwh!I287*lcae!$I$2</f>
        <v>768214742358.005</v>
      </c>
      <c r="J287" s="2">
        <f>geracao_kwh!J287*lcae!$J$2</f>
        <v>4645984560.0000038</v>
      </c>
      <c r="K287" s="2">
        <f>geracao_kwh!K287*lcae!$K$2</f>
        <v>4687736559.9999952</v>
      </c>
      <c r="L287" s="2">
        <f>geracao_kwh!L287*lcae!$L$2</f>
        <v>54988941839.999924</v>
      </c>
      <c r="M287" s="2">
        <f>geracao_kwh!M287*lcae!$M$2</f>
        <v>825114360.00000024</v>
      </c>
      <c r="N287" s="2">
        <f>geracao_kwh!N287*lcae!$N$2</f>
        <v>0</v>
      </c>
      <c r="O287" s="2">
        <f>geracao_kwh!O287*lcae!$O$2</f>
        <v>0</v>
      </c>
    </row>
    <row r="288" spans="1:15" x14ac:dyDescent="0.3">
      <c r="A288" s="6">
        <v>287</v>
      </c>
      <c r="B288" s="6">
        <v>2023</v>
      </c>
      <c r="C288" s="6">
        <v>11</v>
      </c>
      <c r="D288" s="2">
        <f>geracao_kwh!D288*lcae!$D$2</f>
        <v>46494021183.999519</v>
      </c>
      <c r="E288" s="2">
        <f>geracao_kwh!E288*lcae!$E$2</f>
        <v>867335172703.99951</v>
      </c>
      <c r="F288" s="2">
        <f>geracao_kwh!F288*lcae!$F$2</f>
        <v>104951854371.00137</v>
      </c>
      <c r="G288" s="2">
        <f>geracao_kwh!G288*lcae!$G$2</f>
        <v>255805203976.00259</v>
      </c>
      <c r="H288" s="2">
        <f>geracao_kwh!H288*lcae!$H$2</f>
        <v>1247623808994.0063</v>
      </c>
      <c r="I288" s="2">
        <f>geracao_kwh!I288*lcae!$I$2</f>
        <v>779871480380.99878</v>
      </c>
      <c r="J288" s="2">
        <f>geracao_kwh!J288*lcae!$J$2</f>
        <v>5598061560.0000048</v>
      </c>
      <c r="K288" s="2">
        <f>geracao_kwh!K288*lcae!$K$2</f>
        <v>5811306513.9999905</v>
      </c>
      <c r="L288" s="2">
        <f>geracao_kwh!L288*lcae!$L$2</f>
        <v>108844806000.00011</v>
      </c>
      <c r="M288" s="2">
        <f>geracao_kwh!M288*lcae!$M$2</f>
        <v>2778514199.999999</v>
      </c>
      <c r="N288" s="2">
        <f>geracao_kwh!N288*lcae!$N$2</f>
        <v>0</v>
      </c>
      <c r="O288" s="2">
        <f>geracao_kwh!O288*lcae!$O$2</f>
        <v>0</v>
      </c>
    </row>
    <row r="289" spans="1:15" x14ac:dyDescent="0.3">
      <c r="A289" s="6">
        <v>288</v>
      </c>
      <c r="B289" s="6">
        <v>2023</v>
      </c>
      <c r="C289" s="6">
        <v>12</v>
      </c>
      <c r="D289" s="2">
        <f>geracao_kwh!D289*lcae!$D$2</f>
        <v>31403417031.999741</v>
      </c>
      <c r="E289" s="2">
        <f>geracao_kwh!E289*lcae!$E$2</f>
        <v>646013985617.00122</v>
      </c>
      <c r="F289" s="2">
        <f>geracao_kwh!F289*lcae!$F$2</f>
        <v>107563891630.00162</v>
      </c>
      <c r="G289" s="2">
        <f>geracao_kwh!G289*lcae!$G$2</f>
        <v>260858270242.99844</v>
      </c>
      <c r="H289" s="2">
        <f>geracao_kwh!H289*lcae!$H$2</f>
        <v>1389266999478.0098</v>
      </c>
      <c r="I289" s="2">
        <f>geracao_kwh!I289*lcae!$I$2</f>
        <v>810779931977.39246</v>
      </c>
      <c r="J289" s="2">
        <f>geracao_kwh!J289*lcae!$J$2</f>
        <v>4782651720.0000029</v>
      </c>
      <c r="K289" s="2">
        <f>geracao_kwh!K289*lcae!$K$2</f>
        <v>16155800414.000011</v>
      </c>
      <c r="L289" s="2">
        <f>geracao_kwh!L289*lcae!$L$2</f>
        <v>90243786359.999771</v>
      </c>
      <c r="M289" s="2">
        <f>geracao_kwh!M289*lcae!$M$2</f>
        <v>4111796640.0000014</v>
      </c>
      <c r="N289" s="2">
        <f>geracao_kwh!N289*lcae!$N$2</f>
        <v>0</v>
      </c>
      <c r="O289" s="2">
        <f>geracao_kwh!O289*lcae!$O$2</f>
        <v>0</v>
      </c>
    </row>
    <row r="290" spans="1:15" x14ac:dyDescent="0.3">
      <c r="A290" s="6">
        <v>289</v>
      </c>
      <c r="B290" s="6">
        <v>2024</v>
      </c>
      <c r="C290" s="6">
        <v>1</v>
      </c>
      <c r="D290" s="2">
        <f>geracao_kwh!D290*lcae!$D$2</f>
        <v>15579385016.000954</v>
      </c>
      <c r="E290" s="2">
        <f>geracao_kwh!E290*lcae!$E$2</f>
        <v>614381247480.00061</v>
      </c>
      <c r="F290" s="2">
        <f>geracao_kwh!F290*lcae!$F$2</f>
        <v>71456485490.00032</v>
      </c>
      <c r="G290" s="2">
        <f>geracao_kwh!G290*lcae!$G$2</f>
        <v>248503125952.00171</v>
      </c>
      <c r="H290" s="2">
        <f>geracao_kwh!H290*lcae!$H$2</f>
        <v>1273333841279.9922</v>
      </c>
      <c r="I290" s="2">
        <f>geracao_kwh!I290*lcae!$I$2</f>
        <v>877948595937.01965</v>
      </c>
      <c r="J290" s="2">
        <f>geracao_kwh!J290*lcae!$J$2</f>
        <v>4484534039.9999971</v>
      </c>
      <c r="K290" s="2">
        <f>geracao_kwh!K290*lcae!$K$2</f>
        <v>18812944656.999992</v>
      </c>
      <c r="L290" s="2">
        <f>geracao_kwh!L290*lcae!$L$2</f>
        <v>39482982000.000046</v>
      </c>
      <c r="M290" s="2">
        <f>geracao_kwh!M290*lcae!$M$2</f>
        <v>5259365159.9999981</v>
      </c>
      <c r="N290" s="2">
        <f>geracao_kwh!N290*lcae!$N$2</f>
        <v>0</v>
      </c>
      <c r="O290" s="2">
        <f>geracao_kwh!O290*lcae!$O$2</f>
        <v>0</v>
      </c>
    </row>
    <row r="291" spans="1:15" x14ac:dyDescent="0.3">
      <c r="A291" s="6">
        <v>290</v>
      </c>
      <c r="B291" s="6">
        <v>2024</v>
      </c>
      <c r="C291" s="6">
        <v>2</v>
      </c>
      <c r="D291" s="2">
        <f>geracao_kwh!D291*lcae!$D$2</f>
        <v>16299457668.000309</v>
      </c>
      <c r="E291" s="2">
        <f>geracao_kwh!E291*lcae!$E$2</f>
        <v>810829184165.00085</v>
      </c>
      <c r="F291" s="2">
        <f>geracao_kwh!F291*lcae!$F$2</f>
        <v>81224311532.000412</v>
      </c>
      <c r="G291" s="2">
        <f>geracao_kwh!G291*lcae!$G$2</f>
        <v>238643724322.0011</v>
      </c>
      <c r="H291" s="2">
        <f>geracao_kwh!H291*lcae!$H$2</f>
        <v>750252917538.00244</v>
      </c>
      <c r="I291" s="2">
        <f>geracao_kwh!I291*lcae!$I$2</f>
        <v>864318831768.01575</v>
      </c>
      <c r="J291" s="2">
        <f>geracao_kwh!J291*lcae!$J$2</f>
        <v>4658258640.0000029</v>
      </c>
      <c r="K291" s="2">
        <f>geracao_kwh!K291*lcae!$K$2</f>
        <v>17983431517.999969</v>
      </c>
      <c r="L291" s="2">
        <f>geracao_kwh!L291*lcae!$L$2</f>
        <v>24554858160.000027</v>
      </c>
      <c r="M291" s="2">
        <f>geracao_kwh!M291*lcae!$M$2</f>
        <v>7909109880.0000067</v>
      </c>
      <c r="N291" s="2">
        <f>geracao_kwh!N291*lcae!$N$2</f>
        <v>0</v>
      </c>
      <c r="O291" s="2">
        <f>geracao_kwh!O291*lcae!$O$2</f>
        <v>0</v>
      </c>
    </row>
    <row r="292" spans="1:15" x14ac:dyDescent="0.3">
      <c r="A292" s="6">
        <v>291</v>
      </c>
      <c r="B292" s="6">
        <v>2024</v>
      </c>
      <c r="C292" s="6">
        <v>3</v>
      </c>
      <c r="D292" s="2">
        <f>geracao_kwh!D292*lcae!$D$2</f>
        <v>24162927724.000881</v>
      </c>
      <c r="E292" s="2">
        <f>geracao_kwh!E292*lcae!$E$2</f>
        <v>557088124593.00024</v>
      </c>
      <c r="F292" s="2">
        <f>geracao_kwh!F292*lcae!$F$2</f>
        <v>67730175551.999359</v>
      </c>
      <c r="G292" s="2">
        <f>geracao_kwh!G292*lcae!$G$2</f>
        <v>255514333615.00278</v>
      </c>
      <c r="H292" s="2">
        <f>geracao_kwh!H292*lcae!$H$2</f>
        <v>744248171267.99768</v>
      </c>
      <c r="I292" s="2">
        <f>geracao_kwh!I292*lcae!$I$2</f>
        <v>951710643345.01453</v>
      </c>
      <c r="J292" s="2">
        <f>geracao_kwh!J292*lcae!$J$2</f>
        <v>5711975639.9999971</v>
      </c>
      <c r="K292" s="2">
        <f>geracao_kwh!K292*lcae!$K$2</f>
        <v>18208436701.000008</v>
      </c>
      <c r="L292" s="2">
        <f>geracao_kwh!L292*lcae!$L$2</f>
        <v>60729868080</v>
      </c>
      <c r="M292" s="2">
        <f>geracao_kwh!M292*lcae!$M$2</f>
        <v>3834636119.9999976</v>
      </c>
      <c r="N292" s="2">
        <f>geracao_kwh!N292*lcae!$N$2</f>
        <v>0</v>
      </c>
      <c r="O292" s="2">
        <f>geracao_kwh!O292*lcae!$O$2</f>
        <v>0</v>
      </c>
    </row>
    <row r="293" spans="1:15" x14ac:dyDescent="0.3">
      <c r="A293" s="6">
        <v>292</v>
      </c>
      <c r="B293" s="6">
        <v>2024</v>
      </c>
      <c r="C293" s="6">
        <v>4</v>
      </c>
      <c r="D293" s="2">
        <f>geracao_kwh!D293*lcae!$D$2</f>
        <v>37028495244.000923</v>
      </c>
      <c r="E293" s="2">
        <f>geracao_kwh!E293*lcae!$E$2</f>
        <v>207712307803.00006</v>
      </c>
      <c r="F293" s="2">
        <f>geracao_kwh!F293*lcae!$F$2</f>
        <v>76630549852.998734</v>
      </c>
      <c r="G293" s="2">
        <f>geracao_kwh!G293*lcae!$G$2</f>
        <v>242104379931.00021</v>
      </c>
      <c r="H293" s="2">
        <f>geracao_kwh!H293*lcae!$H$2</f>
        <v>682452515538.00134</v>
      </c>
      <c r="I293" s="2">
        <f>geracao_kwh!I293*lcae!$I$2</f>
        <v>859212859344.01331</v>
      </c>
      <c r="J293" s="2">
        <f>geracao_kwh!J293*lcae!$J$2</f>
        <v>5173165200.000001</v>
      </c>
      <c r="K293" s="2">
        <f>geracao_kwh!K293*lcae!$K$2</f>
        <v>18652292099.999996</v>
      </c>
      <c r="L293" s="2">
        <f>geracao_kwh!L293*lcae!$L$2</f>
        <v>41507476079.999466</v>
      </c>
      <c r="M293" s="2">
        <f>geracao_kwh!M293*lcae!$M$2</f>
        <v>3615949679.9999967</v>
      </c>
      <c r="N293" s="2">
        <f>geracao_kwh!N293*lcae!$N$2</f>
        <v>0</v>
      </c>
      <c r="O293" s="2">
        <f>geracao_kwh!O293*lcae!$O$2</f>
        <v>0</v>
      </c>
    </row>
    <row r="294" spans="1:15" x14ac:dyDescent="0.3">
      <c r="A294" s="6">
        <v>293</v>
      </c>
      <c r="B294" s="6">
        <v>2024</v>
      </c>
      <c r="C294" s="6">
        <v>5</v>
      </c>
      <c r="D294" s="2">
        <f>geracao_kwh!D294*lcae!$D$2</f>
        <v>53912949220.001091</v>
      </c>
      <c r="E294" s="2">
        <f>geracao_kwh!E294*lcae!$E$2</f>
        <v>416062326680</v>
      </c>
      <c r="F294" s="2">
        <f>geracao_kwh!F294*lcae!$F$2</f>
        <v>113763805076.99786</v>
      </c>
      <c r="G294" s="2">
        <f>geracao_kwh!G294*lcae!$G$2</f>
        <v>236882700945.99918</v>
      </c>
      <c r="H294" s="2">
        <f>geracao_kwh!H294*lcae!$H$2</f>
        <v>579601268171.99805</v>
      </c>
      <c r="I294" s="2">
        <f>geracao_kwh!I294*lcae!$I$2</f>
        <v>785986404504.02209</v>
      </c>
      <c r="J294" s="2">
        <f>geracao_kwh!J294*lcae!$J$2</f>
        <v>4959061800.0000038</v>
      </c>
      <c r="K294" s="2">
        <f>geracao_kwh!K294*lcae!$K$2</f>
        <v>16447063398.999994</v>
      </c>
      <c r="L294" s="2">
        <f>geracao_kwh!L294*lcae!$L$2</f>
        <v>17322516959.999943</v>
      </c>
      <c r="M294" s="2">
        <f>geracao_kwh!M294*lcae!$M$2</f>
        <v>33651335760</v>
      </c>
      <c r="N294" s="2">
        <f>geracao_kwh!N294*lcae!$N$2</f>
        <v>0</v>
      </c>
      <c r="O294" s="2">
        <f>geracao_kwh!O294*lcae!$O$2</f>
        <v>0</v>
      </c>
    </row>
    <row r="295" spans="1:15" x14ac:dyDescent="0.3">
      <c r="A295" s="6">
        <v>294</v>
      </c>
      <c r="B295" s="6">
        <v>2024</v>
      </c>
      <c r="C295" s="6">
        <v>6</v>
      </c>
      <c r="D295" s="2">
        <f>geracao_kwh!D295*lcae!$D$2</f>
        <v>56021891171.998398</v>
      </c>
      <c r="E295" s="2">
        <f>geracao_kwh!E295*lcae!$E$2</f>
        <v>542410778910.00012</v>
      </c>
      <c r="F295" s="2">
        <f>geracao_kwh!F295*lcae!$F$2</f>
        <v>124697291705.9998</v>
      </c>
      <c r="G295" s="2">
        <f>geracao_kwh!G295*lcae!$G$2</f>
        <v>220313471859.00308</v>
      </c>
      <c r="H295" s="2">
        <f>geracao_kwh!H295*lcae!$H$2</f>
        <v>687397256927.99585</v>
      </c>
      <c r="I295" s="2">
        <f>geracao_kwh!I295*lcae!$I$2</f>
        <v>679422035627.98767</v>
      </c>
      <c r="J295" s="2">
        <f>geracao_kwh!J295*lcae!$J$2</f>
        <v>1448151599.9999998</v>
      </c>
      <c r="K295" s="2">
        <f>geracao_kwh!K295*lcae!$K$2</f>
        <v>18724045495.999973</v>
      </c>
      <c r="L295" s="2">
        <f>geracao_kwh!L295*lcae!$L$2</f>
        <v>17911633320.000034</v>
      </c>
      <c r="M295" s="2">
        <f>geracao_kwh!M295*lcae!$M$2</f>
        <v>1135932000</v>
      </c>
      <c r="N295" s="2">
        <f>geracao_kwh!N295*lcae!$N$2</f>
        <v>0</v>
      </c>
      <c r="O295" s="2">
        <f>geracao_kwh!O295*lcae!$O$2</f>
        <v>0</v>
      </c>
    </row>
    <row r="296" spans="1:15" x14ac:dyDescent="0.3">
      <c r="A296" s="6">
        <v>295</v>
      </c>
      <c r="B296" s="6">
        <v>2024</v>
      </c>
      <c r="C296" s="6">
        <v>7</v>
      </c>
      <c r="D296" s="2">
        <f>geracao_kwh!D296*lcae!$D$2</f>
        <v>56056672463.999817</v>
      </c>
      <c r="E296" s="2">
        <f>geracao_kwh!E296*lcae!$E$2</f>
        <v>666832011846.0011</v>
      </c>
      <c r="F296" s="2">
        <f>geracao_kwh!F296*lcae!$F$2</f>
        <v>141922477554.00171</v>
      </c>
      <c r="G296" s="2">
        <f>geracao_kwh!G296*lcae!$G$2</f>
        <v>239226963937.99963</v>
      </c>
      <c r="H296" s="2">
        <f>geracao_kwh!H296*lcae!$H$2</f>
        <v>1217022515730.0007</v>
      </c>
      <c r="I296" s="2">
        <f>geracao_kwh!I296*lcae!$I$2</f>
        <v>663813678716.98035</v>
      </c>
      <c r="J296" s="2">
        <f>geracao_kwh!J296*lcae!$J$2</f>
        <v>2913634920.000001</v>
      </c>
      <c r="K296" s="2">
        <f>geracao_kwh!K296*lcae!$K$2</f>
        <v>19393858289.000008</v>
      </c>
      <c r="L296" s="2">
        <f>geracao_kwh!L296*lcae!$L$2</f>
        <v>40787876640.000053</v>
      </c>
      <c r="M296" s="2">
        <f>geracao_kwh!M296*lcae!$M$2</f>
        <v>5467785959.9999981</v>
      </c>
      <c r="N296" s="2">
        <f>geracao_kwh!N296*lcae!$N$2</f>
        <v>0</v>
      </c>
      <c r="O296" s="2">
        <f>geracao_kwh!O296*lcae!$O$2</f>
        <v>0</v>
      </c>
    </row>
    <row r="297" spans="1:15" x14ac:dyDescent="0.3">
      <c r="A297" s="6">
        <v>296</v>
      </c>
      <c r="B297" s="6">
        <v>2024</v>
      </c>
      <c r="C297" s="6">
        <v>8</v>
      </c>
      <c r="D297" s="2">
        <f>geracao_kwh!D297*lcae!$D$2</f>
        <v>56411439239.999283</v>
      </c>
      <c r="E297" s="2">
        <f>geracao_kwh!E297*lcae!$E$2</f>
        <v>890737873025.00085</v>
      </c>
      <c r="F297" s="2">
        <f>geracao_kwh!F297*lcae!$F$2</f>
        <v>154498687810.9978</v>
      </c>
      <c r="G297" s="2">
        <f>geracao_kwh!G297*lcae!$G$2</f>
        <v>274918638917.00226</v>
      </c>
      <c r="H297" s="2">
        <f>geracao_kwh!H297*lcae!$H$2</f>
        <v>1569584418047.9912</v>
      </c>
      <c r="I297" s="2">
        <f>geracao_kwh!I297*lcae!$I$2</f>
        <v>632883238721.99182</v>
      </c>
      <c r="J297" s="2">
        <f>geracao_kwh!J297*lcae!$J$2</f>
        <v>3920219519.9999986</v>
      </c>
      <c r="K297" s="2">
        <f>geracao_kwh!K297*lcae!$K$2</f>
        <v>19402698328.000008</v>
      </c>
      <c r="L297" s="2">
        <f>geracao_kwh!L297*lcae!$L$2</f>
        <v>74453859479.999878</v>
      </c>
      <c r="M297" s="2">
        <f>geracao_kwh!M297*lcae!$M$2</f>
        <v>7944100080</v>
      </c>
      <c r="N297" s="2">
        <f>geracao_kwh!N297*lcae!$N$2</f>
        <v>0</v>
      </c>
      <c r="O297" s="2">
        <f>geracao_kwh!O297*lcae!$O$2</f>
        <v>0</v>
      </c>
    </row>
    <row r="298" spans="1:15" x14ac:dyDescent="0.3">
      <c r="A298" s="6">
        <v>297</v>
      </c>
      <c r="B298" s="6">
        <v>2024</v>
      </c>
      <c r="C298" s="6">
        <v>9</v>
      </c>
      <c r="D298" s="2">
        <f>geracao_kwh!D298*lcae!$D$2</f>
        <v>62175133540</v>
      </c>
      <c r="E298" s="2">
        <f>geracao_kwh!E298*lcae!$E$2</f>
        <v>984184959757.99829</v>
      </c>
      <c r="F298" s="2">
        <f>geracao_kwh!F298*lcae!$F$2</f>
        <v>153796921979.99979</v>
      </c>
      <c r="G298" s="2">
        <f>geracao_kwh!G298*lcae!$G$2</f>
        <v>290651788904.00079</v>
      </c>
      <c r="H298" s="2">
        <f>geracao_kwh!H298*lcae!$H$2</f>
        <v>2330243379018.0273</v>
      </c>
      <c r="I298" s="2">
        <f>geracao_kwh!I298*lcae!$I$2</f>
        <v>602935946318.99548</v>
      </c>
      <c r="J298" s="2">
        <f>geracao_kwh!J298*lcae!$J$2</f>
        <v>4320904559.9999962</v>
      </c>
      <c r="K298" s="2">
        <f>geracao_kwh!K298*lcae!$K$2</f>
        <v>18549099113.999989</v>
      </c>
      <c r="L298" s="2">
        <f>geracao_kwh!L298*lcae!$L$2</f>
        <v>103861496759.99997</v>
      </c>
      <c r="M298" s="2">
        <f>geracao_kwh!M298*lcae!$M$2</f>
        <v>29237838000.000019</v>
      </c>
      <c r="N298" s="2">
        <f>geracao_kwh!N298*lcae!$N$2</f>
        <v>0</v>
      </c>
      <c r="O298" s="2">
        <f>geracao_kwh!O298*lcae!$O$2</f>
        <v>0</v>
      </c>
    </row>
    <row r="299" spans="1:15" x14ac:dyDescent="0.3">
      <c r="A299" s="6">
        <v>298</v>
      </c>
      <c r="B299" s="6">
        <v>2024</v>
      </c>
      <c r="C299" s="6">
        <v>10</v>
      </c>
      <c r="D299" s="2">
        <f>geracao_kwh!D299*lcae!$D$2</f>
        <v>50990405128.000183</v>
      </c>
      <c r="E299" s="2">
        <f>geracao_kwh!E299*lcae!$E$2</f>
        <v>1727817645553.9993</v>
      </c>
      <c r="F299" s="2">
        <f>geracao_kwh!F299*lcae!$F$2</f>
        <v>139759503234.00153</v>
      </c>
      <c r="G299" s="2">
        <f>geracao_kwh!G299*lcae!$G$2</f>
        <v>327631572786.00085</v>
      </c>
      <c r="H299" s="2">
        <f>geracao_kwh!H299*lcae!$H$2</f>
        <v>2517183104057.9956</v>
      </c>
      <c r="I299" s="2">
        <f>geracao_kwh!I299*lcae!$I$2</f>
        <v>628687753091.98523</v>
      </c>
      <c r="J299" s="2">
        <f>geracao_kwh!J299*lcae!$J$2</f>
        <v>1871663640.0000024</v>
      </c>
      <c r="K299" s="2">
        <f>geracao_kwh!K299*lcae!$K$2</f>
        <v>19308637374.000015</v>
      </c>
      <c r="L299" s="2">
        <f>geracao_kwh!L299*lcae!$L$2</f>
        <v>73040626679.999985</v>
      </c>
      <c r="M299" s="2">
        <f>geracao_kwh!M299*lcae!$M$2</f>
        <v>17377580640.000008</v>
      </c>
      <c r="N299" s="2">
        <f>geracao_kwh!N299*lcae!$N$2</f>
        <v>0</v>
      </c>
      <c r="O299" s="2">
        <f>geracao_kwh!O299*lcae!$O$2</f>
        <v>0</v>
      </c>
    </row>
    <row r="300" spans="1:15" x14ac:dyDescent="0.3">
      <c r="A300" s="6">
        <v>299</v>
      </c>
      <c r="B300" s="6">
        <v>2024</v>
      </c>
      <c r="C300" s="6">
        <v>11</v>
      </c>
      <c r="D300" s="2">
        <f>geracao_kwh!D300*lcae!$D$2</f>
        <v>42146735383.999557</v>
      </c>
      <c r="E300" s="2">
        <f>geracao_kwh!E300*lcae!$E$2</f>
        <v>946052258151.00439</v>
      </c>
      <c r="F300" s="2">
        <f>geracao_kwh!F300*lcae!$F$2</f>
        <v>130059594613.00032</v>
      </c>
      <c r="G300" s="2">
        <f>geracao_kwh!G300*lcae!$G$2</f>
        <v>315101252902.00006</v>
      </c>
      <c r="H300" s="2">
        <f>geracao_kwh!H300*lcae!$H$2</f>
        <v>1612543345578.0137</v>
      </c>
      <c r="I300" s="2">
        <f>geracao_kwh!I300*lcae!$I$2</f>
        <v>696981737360.96875</v>
      </c>
      <c r="J300" s="2">
        <f>geracao_kwh!J300*lcae!$J$2</f>
        <v>1483530720</v>
      </c>
      <c r="K300" s="2">
        <f>geracao_kwh!K300*lcae!$K$2</f>
        <v>8993848564.9999905</v>
      </c>
      <c r="L300" s="2">
        <f>geracao_kwh!L300*lcae!$L$2</f>
        <v>77480510520.000092</v>
      </c>
      <c r="M300" s="2">
        <f>geracao_kwh!M300*lcae!$M$2</f>
        <v>4591520639.999999</v>
      </c>
      <c r="N300" s="2">
        <f>geracao_kwh!N300*lcae!$N$2</f>
        <v>0</v>
      </c>
      <c r="O300" s="2">
        <f>geracao_kwh!O300*lcae!$O$2</f>
        <v>0</v>
      </c>
    </row>
    <row r="301" spans="1:15" x14ac:dyDescent="0.3">
      <c r="A301" s="6">
        <v>300</v>
      </c>
      <c r="B301" s="6">
        <v>2024</v>
      </c>
      <c r="C301" s="6">
        <v>12</v>
      </c>
      <c r="D301" s="2">
        <f>geracao_kwh!D301*lcae!$D$2</f>
        <v>23181087020.000702</v>
      </c>
      <c r="E301" s="2">
        <f>geracao_kwh!E301*lcae!$E$2</f>
        <v>753913038878.99939</v>
      </c>
      <c r="F301" s="2">
        <f>geracao_kwh!F301*lcae!$F$2</f>
        <v>122319726672.00266</v>
      </c>
      <c r="G301" s="2">
        <f>geracao_kwh!G301*lcae!$G$2</f>
        <v>332953765431.99884</v>
      </c>
      <c r="H301" s="2">
        <f>geracao_kwh!H301*lcae!$H$2</f>
        <v>1397679351353.9932</v>
      </c>
      <c r="I301" s="2">
        <f>geracao_kwh!I301*lcae!$I$2</f>
        <v>750645362312.96558</v>
      </c>
      <c r="J301" s="2">
        <f>geracao_kwh!J301*lcae!$J$2</f>
        <v>2284719359.999999</v>
      </c>
      <c r="K301" s="2">
        <f>geracao_kwh!K301*lcae!$K$2</f>
        <v>10004326344.999994</v>
      </c>
      <c r="L301" s="2">
        <f>geracao_kwh!L301*lcae!$L$2</f>
        <v>20770391039.999989</v>
      </c>
      <c r="M301" s="2">
        <f>geracao_kwh!M301*lcae!$M$2</f>
        <v>11869197479.99999</v>
      </c>
      <c r="N301" s="2">
        <f>geracao_kwh!N301*lcae!$N$2</f>
        <v>0</v>
      </c>
      <c r="O301" s="2">
        <f>geracao_kwh!O301*lcae!$O$2</f>
        <v>0</v>
      </c>
    </row>
    <row r="302" spans="1:15" x14ac:dyDescent="0.3">
      <c r="A302" s="6">
        <v>301</v>
      </c>
      <c r="B302" s="6">
        <v>2025</v>
      </c>
      <c r="C302" s="6">
        <v>1</v>
      </c>
      <c r="D302" s="2">
        <f>geracao_kwh!D302*lcae!$D$2</f>
        <v>12058809620.000053</v>
      </c>
      <c r="E302" s="2">
        <f>geracao_kwh!E302*lcae!$E$2</f>
        <v>306386412331.99994</v>
      </c>
      <c r="F302" s="2">
        <f>geracao_kwh!F302*lcae!$F$2</f>
        <v>75559674449.998856</v>
      </c>
      <c r="G302" s="2">
        <f>geracao_kwh!G302*lcae!$G$2</f>
        <v>332694797415.99713</v>
      </c>
      <c r="H302" s="2">
        <f>geracao_kwh!H302*lcae!$H$2</f>
        <v>1098374242715.9967</v>
      </c>
      <c r="I302" s="2">
        <f>geracao_kwh!I302*lcae!$I$2</f>
        <v>916123278063.01489</v>
      </c>
      <c r="J302" s="2">
        <f>geracao_kwh!J302*lcae!$J$2</f>
        <v>2496049919.9999971</v>
      </c>
      <c r="K302" s="2">
        <f>geracao_kwh!K302*lcae!$K$2</f>
        <v>17647292494.000015</v>
      </c>
      <c r="L302" s="2">
        <f>geracao_kwh!L302*lcae!$L$2</f>
        <v>18845942639.999992</v>
      </c>
      <c r="M302" s="2">
        <f>geracao_kwh!M302*lcae!$M$2</f>
        <v>4101295800</v>
      </c>
      <c r="N302" s="2">
        <f>geracao_kwh!N302*lcae!$N$2</f>
        <v>0</v>
      </c>
      <c r="O302" s="2">
        <f>geracao_kwh!O302*lcae!$O$2</f>
        <v>0</v>
      </c>
    </row>
    <row r="303" spans="1:15" x14ac:dyDescent="0.3">
      <c r="A303" s="6">
        <v>302</v>
      </c>
      <c r="B303" s="6">
        <v>2025</v>
      </c>
      <c r="C303" s="6">
        <v>2</v>
      </c>
      <c r="D303" s="2">
        <f>geracao_kwh!D303*lcae!$D$2</f>
        <v>14954451512.000549</v>
      </c>
      <c r="E303" s="2">
        <f>geracao_kwh!E303*lcae!$E$2</f>
        <v>631328256558.99951</v>
      </c>
      <c r="F303" s="2">
        <f>geracao_kwh!F303*lcae!$F$2</f>
        <v>95213101749.999756</v>
      </c>
      <c r="G303" s="2">
        <f>geracao_kwh!G303*lcae!$G$2</f>
        <v>316328268523.00098</v>
      </c>
      <c r="H303" s="2">
        <f>geracao_kwh!H303*lcae!$H$2</f>
        <v>739337187438</v>
      </c>
      <c r="I303" s="2">
        <f>geracao_kwh!I303*lcae!$I$2</f>
        <v>868104060263.98938</v>
      </c>
      <c r="J303" s="2">
        <f>geracao_kwh!J303*lcae!$J$2</f>
        <v>1703787120.0000017</v>
      </c>
      <c r="K303" s="2">
        <f>geracao_kwh!K303*lcae!$K$2</f>
        <v>17295540716.999962</v>
      </c>
      <c r="L303" s="2">
        <f>geracao_kwh!L303*lcae!$L$2</f>
        <v>13296160080.000002</v>
      </c>
      <c r="M303" s="2">
        <f>geracao_kwh!M303*lcae!$M$2</f>
        <v>8689516919.9999962</v>
      </c>
      <c r="N303" s="2">
        <f>geracao_kwh!N303*lcae!$N$2</f>
        <v>0</v>
      </c>
      <c r="O303" s="2">
        <f>geracao_kwh!O303*lcae!$O$2</f>
        <v>0</v>
      </c>
    </row>
    <row r="304" spans="1:15" x14ac:dyDescent="0.3">
      <c r="A304" s="6">
        <v>303</v>
      </c>
      <c r="B304" s="6">
        <v>2025</v>
      </c>
      <c r="C304" s="6">
        <v>3</v>
      </c>
      <c r="D304" s="2">
        <f>geracao_kwh!D304*lcae!$D$2</f>
        <v>18785706628.000786</v>
      </c>
      <c r="E304" s="2">
        <f>geracao_kwh!E304*lcae!$E$2</f>
        <v>488477209220.00061</v>
      </c>
      <c r="F304" s="2">
        <f>geracao_kwh!F304*lcae!$F$2</f>
        <v>108195600851.00249</v>
      </c>
      <c r="G304" s="2">
        <f>geracao_kwh!G304*lcae!$G$2</f>
        <v>366899668016.99854</v>
      </c>
      <c r="H304" s="2">
        <f>geracao_kwh!H304*lcae!$H$2</f>
        <v>764103207978.00293</v>
      </c>
      <c r="I304" s="2">
        <f>geracao_kwh!I304*lcae!$I$2</f>
        <v>892661329665.00598</v>
      </c>
      <c r="J304" s="2">
        <f>geracao_kwh!J304*lcae!$J$2</f>
        <v>1242381839.9999993</v>
      </c>
      <c r="K304" s="2">
        <f>geracao_kwh!K304*lcae!$K$2</f>
        <v>18761389907</v>
      </c>
      <c r="L304" s="2">
        <f>geracao_kwh!L304*lcae!$L$2</f>
        <v>10254448680.00001</v>
      </c>
      <c r="M304" s="2">
        <f>geracao_kwh!M304*lcae!$M$2</f>
        <v>10186322160</v>
      </c>
      <c r="N304" s="2">
        <f>geracao_kwh!N304*lcae!$N$2</f>
        <v>0</v>
      </c>
      <c r="O304" s="2">
        <f>geracao_kwh!O304*lcae!$O$2</f>
        <v>0</v>
      </c>
    </row>
    <row r="305" spans="1:15" x14ac:dyDescent="0.3">
      <c r="A305" s="6">
        <v>304</v>
      </c>
      <c r="B305" s="6">
        <v>2025</v>
      </c>
      <c r="C305" s="6">
        <v>4</v>
      </c>
      <c r="D305" s="2">
        <f>geracao_kwh!D305*lcae!$D$2</f>
        <v>28824744988.00005</v>
      </c>
      <c r="E305" s="2">
        <f>geracao_kwh!E305*lcae!$E$2</f>
        <v>625604945966</v>
      </c>
      <c r="F305" s="2">
        <f>geracao_kwh!F305*lcae!$F$2</f>
        <v>96996631263.999527</v>
      </c>
      <c r="G305" s="2">
        <f>geracao_kwh!G305*lcae!$G$2</f>
        <v>309233642407.99915</v>
      </c>
      <c r="H305" s="2">
        <f>geracao_kwh!H305*lcae!$H$2</f>
        <v>889084951344.0011</v>
      </c>
      <c r="I305" s="2">
        <f>geracao_kwh!I305*lcae!$I$2</f>
        <v>784603592178.00366</v>
      </c>
      <c r="J305" s="2">
        <f>geracao_kwh!J305*lcae!$J$2</f>
        <v>1355497080</v>
      </c>
      <c r="K305" s="2">
        <f>geracao_kwh!K305*lcae!$K$2</f>
        <v>13343258656</v>
      </c>
      <c r="L305" s="2">
        <f>geracao_kwh!L305*lcae!$L$2</f>
        <v>7935265799.9999971</v>
      </c>
      <c r="M305" s="2">
        <f>geracao_kwh!M305*lcae!$M$2</f>
        <v>7803662160.0000029</v>
      </c>
      <c r="N305" s="2">
        <f>geracao_kwh!N305*lcae!$N$2</f>
        <v>0</v>
      </c>
      <c r="O305" s="2">
        <f>geracao_kwh!O305*lcae!$O$2</f>
        <v>0</v>
      </c>
    </row>
    <row r="306" spans="1:15" x14ac:dyDescent="0.3">
      <c r="A306" s="6">
        <v>305</v>
      </c>
      <c r="B306" s="6">
        <v>2025</v>
      </c>
      <c r="C306" s="6">
        <v>5</v>
      </c>
      <c r="D306" s="2">
        <f>geracao_kwh!D306*lcae!$D$2</f>
        <v>45444865023.999756</v>
      </c>
      <c r="E306" s="2">
        <f>geracao_kwh!E306*lcae!$E$2</f>
        <v>591417548722.00085</v>
      </c>
      <c r="F306" s="2">
        <f>geracao_kwh!F306*lcae!$F$2</f>
        <v>137104796257.00151</v>
      </c>
      <c r="G306" s="2">
        <f>geracao_kwh!G306*lcae!$G$2</f>
        <v>290375096545.99957</v>
      </c>
      <c r="H306" s="2">
        <f>geracao_kwh!H306*lcae!$H$2</f>
        <v>943577489447.99548</v>
      </c>
      <c r="I306" s="2">
        <f>geracao_kwh!I306*lcae!$I$2</f>
        <v>700437935127.0083</v>
      </c>
      <c r="J306" s="2">
        <f>geracao_kwh!J306*lcae!$J$2</f>
        <v>918024240.0000006</v>
      </c>
      <c r="K306" s="2">
        <f>geracao_kwh!K306*lcae!$K$2</f>
        <v>13123335900.999994</v>
      </c>
      <c r="L306" s="2">
        <f>geracao_kwh!L306*lcae!$L$2</f>
        <v>7779361800</v>
      </c>
      <c r="M306" s="2">
        <f>geracao_kwh!M306*lcae!$M$2</f>
        <v>2432051159.9999976</v>
      </c>
      <c r="N306" s="2">
        <f>geracao_kwh!N306*lcae!$N$2</f>
        <v>0</v>
      </c>
      <c r="O306" s="2">
        <f>geracao_kwh!O306*lcae!$O$2</f>
        <v>0</v>
      </c>
    </row>
    <row r="307" spans="1:15" x14ac:dyDescent="0.3">
      <c r="A307" s="6">
        <v>306</v>
      </c>
      <c r="B307" s="6">
        <v>2025</v>
      </c>
      <c r="C307" s="6">
        <v>6</v>
      </c>
      <c r="D307" s="2">
        <f>geracao_kwh!D307*lcae!$D$2</f>
        <v>48464733200.000343</v>
      </c>
      <c r="E307" s="2">
        <f>geracao_kwh!E307*lcae!$E$2</f>
        <v>902742995154.00012</v>
      </c>
      <c r="F307" s="2">
        <f>geracao_kwh!F307*lcae!$F$2</f>
        <v>139001119061.99966</v>
      </c>
      <c r="G307" s="2">
        <f>geracao_kwh!G307*lcae!$G$2</f>
        <v>266032115684.0004</v>
      </c>
      <c r="H307" s="2">
        <f>geracao_kwh!H307*lcae!$H$2</f>
        <v>1179707494049.998</v>
      </c>
      <c r="I307" s="2">
        <f>geracao_kwh!I307*lcae!$I$2</f>
        <v>636140858976.01904</v>
      </c>
      <c r="J307" s="2">
        <f>geracao_kwh!J307*lcae!$J$2</f>
        <v>1092367080.0000005</v>
      </c>
      <c r="K307" s="2">
        <f>geracao_kwh!K307*lcae!$K$2</f>
        <v>12746809205.000019</v>
      </c>
      <c r="L307" s="2">
        <f>geracao_kwh!L307*lcae!$L$2</f>
        <v>5104596000.0000019</v>
      </c>
      <c r="M307" s="2">
        <f>geracao_kwh!M307*lcae!$M$2</f>
        <v>7661321639.9999981</v>
      </c>
      <c r="N307" s="2">
        <f>geracao_kwh!N307*lcae!$N$2</f>
        <v>0</v>
      </c>
      <c r="O307" s="2">
        <f>geracao_kwh!O307*lcae!$O$2</f>
        <v>0</v>
      </c>
    </row>
    <row r="308" spans="1:15" x14ac:dyDescent="0.3">
      <c r="A308" s="6">
        <v>307</v>
      </c>
      <c r="B308" s="6">
        <v>2025</v>
      </c>
      <c r="C308" s="6">
        <v>7</v>
      </c>
      <c r="D308" s="2">
        <f>geracao_kwh!D308*lcae!$D$2</f>
        <v>45887306191.999863</v>
      </c>
      <c r="E308" s="2">
        <f>geracao_kwh!E308*lcae!$E$2</f>
        <v>911882968996.99976</v>
      </c>
      <c r="F308" s="2">
        <f>geracao_kwh!F308*lcae!$F$2</f>
        <v>146189265586.00153</v>
      </c>
      <c r="G308" s="2">
        <f>geracao_kwh!G308*lcae!$G$2</f>
        <v>294665058626.00128</v>
      </c>
      <c r="H308" s="2">
        <f>geracao_kwh!H308*lcae!$H$2</f>
        <v>2110236369498.001</v>
      </c>
      <c r="I308" s="2">
        <f>geracao_kwh!I308*lcae!$I$2</f>
        <v>601443810975.00732</v>
      </c>
      <c r="J308" s="2">
        <f>geracao_kwh!J308*lcae!$J$2</f>
        <v>1585335359.9999988</v>
      </c>
      <c r="K308" s="2">
        <f>geracao_kwh!K308*lcae!$K$2</f>
        <v>16845305646.000021</v>
      </c>
      <c r="L308" s="2">
        <f>geracao_kwh!L308*lcae!$L$2</f>
        <v>9192994440.0000439</v>
      </c>
      <c r="M308" s="2">
        <f>geracao_kwh!M308*lcae!$M$2</f>
        <v>6663305880</v>
      </c>
      <c r="N308" s="2">
        <f>geracao_kwh!N308*lcae!$N$2</f>
        <v>0</v>
      </c>
      <c r="O308" s="2">
        <f>geracao_kwh!O308*lcae!$O$2</f>
        <v>0</v>
      </c>
    </row>
    <row r="309" spans="1:15" x14ac:dyDescent="0.3">
      <c r="A309" s="6">
        <v>308</v>
      </c>
      <c r="B309" s="6">
        <v>2025</v>
      </c>
      <c r="C309" s="6">
        <v>8</v>
      </c>
      <c r="D309" s="2">
        <f>geracao_kwh!D309*lcae!$D$2</f>
        <v>48595518451.999931</v>
      </c>
      <c r="E309" s="2">
        <f>geracao_kwh!E309*lcae!$E$2</f>
        <v>1156099857913.0002</v>
      </c>
      <c r="F309" s="2">
        <f>geracao_kwh!F309*lcae!$F$2</f>
        <v>151943898898.99969</v>
      </c>
      <c r="G309" s="2">
        <f>geracao_kwh!G309*lcae!$G$2</f>
        <v>313795114529.00067</v>
      </c>
      <c r="H309" s="2">
        <f>geracao_kwh!H309*lcae!$H$2</f>
        <v>2225080183967.9941</v>
      </c>
      <c r="I309" s="2">
        <f>geracao_kwh!I309*lcae!$I$2</f>
        <v>559151367642.00293</v>
      </c>
      <c r="J309" s="2">
        <f>geracao_kwh!J309*lcae!$J$2</f>
        <v>1684638479.9999993</v>
      </c>
      <c r="K309" s="2">
        <f>geracao_kwh!K309*lcae!$K$2</f>
        <v>19464995497.999969</v>
      </c>
      <c r="L309" s="2">
        <f>geracao_kwh!L309*lcae!$L$2</f>
        <v>12988741080.000015</v>
      </c>
      <c r="M309" s="2">
        <f>geracao_kwh!M309*lcae!$M$2</f>
        <v>7783176240.0000029</v>
      </c>
      <c r="N309" s="2">
        <f>geracao_kwh!N309*lcae!$N$2</f>
        <v>0</v>
      </c>
      <c r="O309" s="2">
        <f>geracao_kwh!O309*lcae!$O$2</f>
        <v>0</v>
      </c>
    </row>
    <row r="310" spans="1:15" x14ac:dyDescent="0.3">
      <c r="A310" s="6">
        <v>309</v>
      </c>
      <c r="B310" s="6">
        <v>2025</v>
      </c>
      <c r="C310" s="6">
        <v>9</v>
      </c>
      <c r="D310" s="2">
        <f>geracao_kwh!D310*lcae!$D$2</f>
        <v>30310453471.999821</v>
      </c>
      <c r="E310" s="2">
        <f>geracao_kwh!E310*lcae!$E$2</f>
        <v>1086786040340.0022</v>
      </c>
      <c r="F310" s="2">
        <f>geracao_kwh!F310*lcae!$F$2</f>
        <v>160916521766.00046</v>
      </c>
      <c r="G310" s="2">
        <f>geracao_kwh!G310*lcae!$G$2</f>
        <v>330356577428.99902</v>
      </c>
      <c r="H310" s="2">
        <f>geracao_kwh!H310*lcae!$H$2</f>
        <v>1721413258739.9954</v>
      </c>
      <c r="I310" s="2">
        <f>geracao_kwh!I310*lcae!$I$2</f>
        <v>563831313360.00745</v>
      </c>
      <c r="J310" s="2">
        <f>geracao_kwh!J310*lcae!$J$2</f>
        <v>1455003480.0000005</v>
      </c>
      <c r="K310" s="2">
        <f>geracao_kwh!K310*lcae!$K$2</f>
        <v>18840467126.000015</v>
      </c>
      <c r="L310" s="2">
        <f>geracao_kwh!L310*lcae!$L$2</f>
        <v>5045244539.999999</v>
      </c>
      <c r="M310" s="2">
        <f>geracao_kwh!M310*lcae!$M$2</f>
        <v>6624988439.9999933</v>
      </c>
      <c r="N310" s="2">
        <f>geracao_kwh!N310*lcae!$N$2</f>
        <v>0</v>
      </c>
      <c r="O310" s="2">
        <f>geracao_kwh!O310*lcae!$O$2</f>
        <v>0</v>
      </c>
    </row>
    <row r="311" spans="1:15" x14ac:dyDescent="0.3">
      <c r="A311" s="6">
        <v>310</v>
      </c>
      <c r="B311" s="6">
        <v>2025</v>
      </c>
      <c r="C311" s="6">
        <v>10</v>
      </c>
      <c r="D311" s="2">
        <f>geracao_kwh!D311*lcae!$D$2</f>
        <v>12808741348.000149</v>
      </c>
      <c r="E311" s="2">
        <f>geracao_kwh!E311*lcae!$E$2</f>
        <v>1130017900010.9963</v>
      </c>
      <c r="F311" s="2">
        <f>geracao_kwh!F311*lcae!$F$2</f>
        <v>153951466071.00302</v>
      </c>
      <c r="G311" s="2">
        <f>geracao_kwh!G311*lcae!$G$2</f>
        <v>363983242724.99841</v>
      </c>
      <c r="H311" s="2">
        <f>geracao_kwh!H311*lcae!$H$2</f>
        <v>2504826456372.0088</v>
      </c>
      <c r="I311" s="2">
        <f>geracao_kwh!I311*lcae!$I$2</f>
        <v>589728448890.02344</v>
      </c>
      <c r="J311" s="2">
        <f>geracao_kwh!J311*lcae!$J$2</f>
        <v>2034417839.9999993</v>
      </c>
      <c r="K311" s="2">
        <f>geracao_kwh!K311*lcae!$K$2</f>
        <v>19420906114.999977</v>
      </c>
      <c r="L311" s="2">
        <f>geracao_kwh!L311*lcae!$L$2</f>
        <v>278927879.99999994</v>
      </c>
      <c r="M311" s="2">
        <f>geracao_kwh!M311*lcae!$M$2</f>
        <v>3188096519.999999</v>
      </c>
      <c r="N311" s="2">
        <f>geracao_kwh!N311*lcae!$N$2</f>
        <v>0</v>
      </c>
      <c r="O311" s="2">
        <f>geracao_kwh!O311*lcae!$O$2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4CC8-69BB-4D85-8D57-B9FE73737734}">
  <dimension ref="A1:U311"/>
  <sheetViews>
    <sheetView topLeftCell="A286" workbookViewId="0">
      <selection activeCell="S2" sqref="S2:S311"/>
    </sheetView>
  </sheetViews>
  <sheetFormatPr defaultRowHeight="14.4" x14ac:dyDescent="0.3"/>
  <cols>
    <col min="2" max="2" width="11.44140625" bestFit="1" customWidth="1"/>
    <col min="3" max="3" width="9.33203125" customWidth="1"/>
    <col min="4" max="4" width="15" bestFit="1" customWidth="1"/>
    <col min="5" max="6" width="16" bestFit="1" customWidth="1"/>
    <col min="7" max="7" width="15" bestFit="1" customWidth="1"/>
    <col min="8" max="8" width="15" customWidth="1"/>
    <col min="9" max="9" width="15" bestFit="1" customWidth="1"/>
    <col min="10" max="10" width="16" bestFit="1" customWidth="1"/>
    <col min="11" max="11" width="16" customWidth="1"/>
    <col min="12" max="12" width="17" bestFit="1" customWidth="1"/>
    <col min="13" max="13" width="12.88671875" bestFit="1" customWidth="1"/>
    <col min="14" max="15" width="15" bestFit="1" customWidth="1"/>
    <col min="16" max="16" width="15" customWidth="1"/>
    <col min="17" max="18" width="15" bestFit="1" customWidth="1"/>
    <col min="19" max="19" width="11.44140625" bestFit="1" customWidth="1"/>
  </cols>
  <sheetData>
    <row r="1" spans="1:19" ht="43.2" x14ac:dyDescent="0.3">
      <c r="A1" s="5" t="s">
        <v>14</v>
      </c>
      <c r="B1" s="5" t="s">
        <v>0</v>
      </c>
      <c r="C1" s="5" t="s">
        <v>13</v>
      </c>
      <c r="D1" s="18" t="s">
        <v>1</v>
      </c>
      <c r="E1" s="18" t="s">
        <v>3</v>
      </c>
      <c r="F1" s="18" t="s">
        <v>4</v>
      </c>
      <c r="G1" s="18" t="s">
        <v>7</v>
      </c>
      <c r="H1" s="18" t="s">
        <v>327</v>
      </c>
      <c r="I1" s="15" t="s">
        <v>2</v>
      </c>
      <c r="J1" s="15" t="s">
        <v>5</v>
      </c>
      <c r="K1" s="15" t="s">
        <v>328</v>
      </c>
      <c r="L1" s="16" t="s">
        <v>330</v>
      </c>
      <c r="M1" s="17" t="s">
        <v>12</v>
      </c>
      <c r="N1" s="17" t="s">
        <v>8</v>
      </c>
      <c r="O1" s="17" t="s">
        <v>9</v>
      </c>
      <c r="P1" s="17" t="s">
        <v>329</v>
      </c>
      <c r="Q1" s="8" t="s">
        <v>10</v>
      </c>
      <c r="R1" s="8" t="s">
        <v>11</v>
      </c>
      <c r="S1" s="5" t="s">
        <v>16</v>
      </c>
    </row>
    <row r="2" spans="1:19" x14ac:dyDescent="0.3">
      <c r="A2" s="6">
        <v>1</v>
      </c>
      <c r="B2" s="6">
        <v>2000</v>
      </c>
      <c r="C2" s="6">
        <v>1</v>
      </c>
      <c r="D2" s="10">
        <f>(co2e_g_kwh!D2)/1000000000000</f>
        <v>2.639291199999999E-3</v>
      </c>
      <c r="E2" s="10">
        <f>(co2e_g_kwh!F2)/1000000000000</f>
        <v>0</v>
      </c>
      <c r="F2" s="10">
        <f>(co2e_g_kwh!G2)/1000000000000</f>
        <v>0</v>
      </c>
      <c r="G2" s="10">
        <f>(co2e_g_kwh!K2)/1000000000000</f>
        <v>5.4350152999999993E-3</v>
      </c>
      <c r="H2" s="19">
        <f>SUM(D2:G2)</f>
        <v>8.0743064999999978E-3</v>
      </c>
      <c r="I2" s="10">
        <f>(co2e_g_kwh!E2)/1000000000000</f>
        <v>0.77173666569999999</v>
      </c>
      <c r="J2" s="10">
        <f>(co2e_g_kwh!H2)/1000000000000</f>
        <v>0.24798130560000006</v>
      </c>
      <c r="K2" s="20">
        <f>SUM(I2:J2)</f>
        <v>1.0197179713</v>
      </c>
      <c r="L2" s="21">
        <f>(co2e_g_kwh!I2)/1000000000000</f>
        <v>0.58193656184999365</v>
      </c>
      <c r="M2" s="10">
        <f>(co2e_g_kwh!J2)/1000000000000</f>
        <v>0</v>
      </c>
      <c r="N2" s="10">
        <f>(co2e_g_kwh!L2)/1000000000000</f>
        <v>9.4005324000000112E-2</v>
      </c>
      <c r="O2" s="10">
        <f>(co2e_g_kwh!M2)/1000000000000</f>
        <v>0</v>
      </c>
      <c r="P2" s="22">
        <f>SUM(M2:O2)</f>
        <v>9.4005324000000112E-2</v>
      </c>
      <c r="Q2" s="10">
        <f>(co2e_g_kwh!N2)/1000000000000</f>
        <v>0</v>
      </c>
      <c r="R2" s="10">
        <f>(co2e_g_kwh!O2)/1000000000000</f>
        <v>0</v>
      </c>
      <c r="S2" s="14">
        <f>D2+E2+F2+G2+I2+J2+L2+M2+N2+O2</f>
        <v>1.7037341636499936</v>
      </c>
    </row>
    <row r="3" spans="1:19" x14ac:dyDescent="0.3">
      <c r="A3" s="6">
        <v>2</v>
      </c>
      <c r="B3" s="6">
        <v>2000</v>
      </c>
      <c r="C3" s="6">
        <v>2</v>
      </c>
      <c r="D3" s="10">
        <f>(co2e_g_kwh!D3)/1000000000000</f>
        <v>5.9482800000000015E-4</v>
      </c>
      <c r="E3" s="10">
        <f>(co2e_g_kwh!F3)/1000000000000</f>
        <v>0</v>
      </c>
      <c r="F3" s="10">
        <f>(co2e_g_kwh!G3)/1000000000000</f>
        <v>0</v>
      </c>
      <c r="G3" s="10">
        <f>(co2e_g_kwh!K3)/1000000000000</f>
        <v>5.2005602999999996E-3</v>
      </c>
      <c r="H3" s="19">
        <f t="shared" ref="H3:H66" si="0">SUM(D3:G3)</f>
        <v>5.7953882999999999E-3</v>
      </c>
      <c r="I3" s="10">
        <f>(co2e_g_kwh!E3)/1000000000000</f>
        <v>0.72616564020000041</v>
      </c>
      <c r="J3" s="10">
        <f>(co2e_g_kwh!H3)/1000000000000</f>
        <v>0.28188447119999988</v>
      </c>
      <c r="K3" s="20">
        <f t="shared" ref="K3:K66" si="1">SUM(I3:J3)</f>
        <v>1.0080501114000002</v>
      </c>
      <c r="L3" s="21">
        <f>(co2e_g_kwh!I3)/1000000000000</f>
        <v>0.56384848800000986</v>
      </c>
      <c r="M3" s="10">
        <f>(co2e_g_kwh!J3)/1000000000000</f>
        <v>0</v>
      </c>
      <c r="N3" s="10">
        <f>(co2e_g_kwh!L3)/1000000000000</f>
        <v>5.8057103999999977E-2</v>
      </c>
      <c r="O3" s="10">
        <f>(co2e_g_kwh!M3)/1000000000000</f>
        <v>0</v>
      </c>
      <c r="P3" s="22">
        <f t="shared" ref="P3:P66" si="2">SUM(M3:O3)</f>
        <v>5.8057103999999977E-2</v>
      </c>
      <c r="Q3" s="10">
        <f>(co2e_g_kwh!N3)/1000000000000</f>
        <v>0</v>
      </c>
      <c r="R3" s="10">
        <f>(co2e_g_kwh!O3)/1000000000000</f>
        <v>0</v>
      </c>
      <c r="S3" s="14">
        <f t="shared" ref="S3:S66" si="3">D3+E3+F3+G3+I3+J3+L3+M3+N3+O3</f>
        <v>1.6357510917000102</v>
      </c>
    </row>
    <row r="4" spans="1:19" x14ac:dyDescent="0.3">
      <c r="A4" s="6">
        <v>3</v>
      </c>
      <c r="B4" s="6">
        <v>2000</v>
      </c>
      <c r="C4" s="6">
        <v>3</v>
      </c>
      <c r="D4" s="10">
        <f>(co2e_g_kwh!D4)/1000000000000</f>
        <v>1.999608E-4</v>
      </c>
      <c r="E4" s="10">
        <f>(co2e_g_kwh!F4)/1000000000000</f>
        <v>0</v>
      </c>
      <c r="F4" s="10">
        <f>(co2e_g_kwh!G4)/1000000000000</f>
        <v>0</v>
      </c>
      <c r="G4" s="10">
        <f>(co2e_g_kwh!K4)/1000000000000</f>
        <v>5.2024323000000013E-3</v>
      </c>
      <c r="H4" s="19">
        <f t="shared" si="0"/>
        <v>5.4023931000000015E-3</v>
      </c>
      <c r="I4" s="10">
        <f>(co2e_g_kwh!E4)/1000000000000</f>
        <v>0.68648424844999911</v>
      </c>
      <c r="J4" s="10">
        <f>(co2e_g_kwh!H4)/1000000000000</f>
        <v>0.24934967748000003</v>
      </c>
      <c r="K4" s="20">
        <f t="shared" si="1"/>
        <v>0.93583392592999914</v>
      </c>
      <c r="L4" s="21">
        <f>(co2e_g_kwh!I4)/1000000000000</f>
        <v>0.60457706176014037</v>
      </c>
      <c r="M4" s="10">
        <f>(co2e_g_kwh!J4)/1000000000000</f>
        <v>0</v>
      </c>
      <c r="N4" s="10">
        <f>(co2e_g_kwh!L4)/1000000000000</f>
        <v>6.5685774084000184E-2</v>
      </c>
      <c r="O4" s="10">
        <f>(co2e_g_kwh!M4)/1000000000000</f>
        <v>0</v>
      </c>
      <c r="P4" s="22">
        <f t="shared" si="2"/>
        <v>6.5685774084000184E-2</v>
      </c>
      <c r="Q4" s="10">
        <f>(co2e_g_kwh!N4)/1000000000000</f>
        <v>0</v>
      </c>
      <c r="R4" s="10">
        <f>(co2e_g_kwh!O4)/1000000000000</f>
        <v>0</v>
      </c>
      <c r="S4" s="14">
        <f t="shared" si="3"/>
        <v>1.6114991548741397</v>
      </c>
    </row>
    <row r="5" spans="1:19" x14ac:dyDescent="0.3">
      <c r="A5" s="6">
        <v>4</v>
      </c>
      <c r="B5" s="6">
        <v>2000</v>
      </c>
      <c r="C5" s="6">
        <v>4</v>
      </c>
      <c r="D5" s="10">
        <f>(co2e_g_kwh!D5)/1000000000000</f>
        <v>1.872E-4</v>
      </c>
      <c r="E5" s="10">
        <f>(co2e_g_kwh!F5)/1000000000000</f>
        <v>0</v>
      </c>
      <c r="F5" s="10">
        <f>(co2e_g_kwh!G5)/1000000000000</f>
        <v>0</v>
      </c>
      <c r="G5" s="10">
        <f>(co2e_g_kwh!K5)/1000000000000</f>
        <v>4.6655128000000013E-3</v>
      </c>
      <c r="H5" s="19">
        <f t="shared" si="0"/>
        <v>4.8527128000000015E-3</v>
      </c>
      <c r="I5" s="10">
        <f>(co2e_g_kwh!E5)/1000000000000</f>
        <v>0.67627730170000011</v>
      </c>
      <c r="J5" s="10">
        <f>(co2e_g_kwh!H5)/1000000000000</f>
        <v>0.16397795519999994</v>
      </c>
      <c r="K5" s="20">
        <f t="shared" si="1"/>
        <v>0.84025525690000002</v>
      </c>
      <c r="L5" s="21">
        <f>(co2e_g_kwh!I5)/1000000000000</f>
        <v>0.58402257689999826</v>
      </c>
      <c r="M5" s="10">
        <f>(co2e_g_kwh!J5)/1000000000000</f>
        <v>0</v>
      </c>
      <c r="N5" s="10">
        <f>(co2e_g_kwh!L5)/1000000000000</f>
        <v>3.3001164000000013E-2</v>
      </c>
      <c r="O5" s="10">
        <f>(co2e_g_kwh!M5)/1000000000000</f>
        <v>0</v>
      </c>
      <c r="P5" s="22">
        <f t="shared" si="2"/>
        <v>3.3001164000000013E-2</v>
      </c>
      <c r="Q5" s="10">
        <f>(co2e_g_kwh!N5)/1000000000000</f>
        <v>0</v>
      </c>
      <c r="R5" s="10">
        <f>(co2e_g_kwh!O5)/1000000000000</f>
        <v>0</v>
      </c>
      <c r="S5" s="14">
        <f t="shared" si="3"/>
        <v>1.4621317105999985</v>
      </c>
    </row>
    <row r="6" spans="1:19" x14ac:dyDescent="0.3">
      <c r="A6" s="6">
        <v>5</v>
      </c>
      <c r="B6" s="6">
        <v>2000</v>
      </c>
      <c r="C6" s="6">
        <v>5</v>
      </c>
      <c r="D6" s="10">
        <f>(co2e_g_kwh!D6)/1000000000000</f>
        <v>2.2896120000000001E-4</v>
      </c>
      <c r="E6" s="10">
        <f>(co2e_g_kwh!F6)/1000000000000</f>
        <v>0</v>
      </c>
      <c r="F6" s="10">
        <f>(co2e_g_kwh!G6)/1000000000000</f>
        <v>0</v>
      </c>
      <c r="G6" s="10">
        <f>(co2e_g_kwh!K6)/1000000000000</f>
        <v>0</v>
      </c>
      <c r="H6" s="19">
        <f t="shared" si="0"/>
        <v>2.2896120000000001E-4</v>
      </c>
      <c r="I6" s="10">
        <f>(co2e_g_kwh!E6)/1000000000000</f>
        <v>0.72660057469999806</v>
      </c>
      <c r="J6" s="10">
        <f>(co2e_g_kwh!H6)/1000000000000</f>
        <v>0.24456759299999972</v>
      </c>
      <c r="K6" s="20">
        <f t="shared" si="1"/>
        <v>0.97116816769999781</v>
      </c>
      <c r="L6" s="21">
        <f>(co2e_g_kwh!I6)/1000000000000</f>
        <v>0.6050812319999973</v>
      </c>
      <c r="M6" s="10">
        <f>(co2e_g_kwh!J6)/1000000000000</f>
        <v>0</v>
      </c>
      <c r="N6" s="10">
        <f>(co2e_g_kwh!L6)/1000000000000</f>
        <v>8.5222619999999999E-2</v>
      </c>
      <c r="O6" s="10">
        <f>(co2e_g_kwh!M6)/1000000000000</f>
        <v>0</v>
      </c>
      <c r="P6" s="22">
        <f t="shared" si="2"/>
        <v>8.5222619999999999E-2</v>
      </c>
      <c r="Q6" s="10">
        <f>(co2e_g_kwh!N6)/1000000000000</f>
        <v>0</v>
      </c>
      <c r="R6" s="10">
        <f>(co2e_g_kwh!O6)/1000000000000</f>
        <v>0</v>
      </c>
      <c r="S6" s="14">
        <f t="shared" si="3"/>
        <v>1.661700980899995</v>
      </c>
    </row>
    <row r="7" spans="1:19" x14ac:dyDescent="0.3">
      <c r="A7" s="6">
        <v>6</v>
      </c>
      <c r="B7" s="6">
        <v>2000</v>
      </c>
      <c r="C7" s="6">
        <v>6</v>
      </c>
      <c r="D7" s="10">
        <f>(co2e_g_kwh!D7)/1000000000000</f>
        <v>3.919188E-4</v>
      </c>
      <c r="E7" s="10">
        <f>(co2e_g_kwh!F7)/1000000000000</f>
        <v>0</v>
      </c>
      <c r="F7" s="10">
        <f>(co2e_g_kwh!G7)/1000000000000</f>
        <v>0</v>
      </c>
      <c r="G7" s="10">
        <f>(co2e_g_kwh!K7)/1000000000000</f>
        <v>1.4429999999999999E-7</v>
      </c>
      <c r="H7" s="19">
        <f t="shared" si="0"/>
        <v>3.9206309999999998E-4</v>
      </c>
      <c r="I7" s="10">
        <f>(co2e_g_kwh!E7)/1000000000000</f>
        <v>0.72572650150000051</v>
      </c>
      <c r="J7" s="10">
        <f>(co2e_g_kwh!H7)/1000000000000</f>
        <v>0.27912515760000001</v>
      </c>
      <c r="K7" s="20">
        <f t="shared" si="1"/>
        <v>1.0048516591000005</v>
      </c>
      <c r="L7" s="21">
        <f>(co2e_g_kwh!I7)/1000000000000</f>
        <v>0.57490465829999959</v>
      </c>
      <c r="M7" s="10">
        <f>(co2e_g_kwh!J7)/1000000000000</f>
        <v>0</v>
      </c>
      <c r="N7" s="10">
        <f>(co2e_g_kwh!L7)/1000000000000</f>
        <v>8.9038656000000049E-2</v>
      </c>
      <c r="O7" s="10">
        <f>(co2e_g_kwh!M7)/1000000000000</f>
        <v>0</v>
      </c>
      <c r="P7" s="22">
        <f t="shared" si="2"/>
        <v>8.9038656000000049E-2</v>
      </c>
      <c r="Q7" s="10">
        <f>(co2e_g_kwh!N7)/1000000000000</f>
        <v>0</v>
      </c>
      <c r="R7" s="10">
        <f>(co2e_g_kwh!O7)/1000000000000</f>
        <v>0</v>
      </c>
      <c r="S7" s="14">
        <f t="shared" si="3"/>
        <v>1.6691870364999999</v>
      </c>
    </row>
    <row r="8" spans="1:19" x14ac:dyDescent="0.3">
      <c r="A8" s="6">
        <v>7</v>
      </c>
      <c r="B8" s="6">
        <v>2000</v>
      </c>
      <c r="C8" s="6">
        <v>7</v>
      </c>
      <c r="D8" s="10">
        <f>(co2e_g_kwh!D8)/1000000000000</f>
        <v>2.6767000000000002E-4</v>
      </c>
      <c r="E8" s="10">
        <f>(co2e_g_kwh!F8)/1000000000000</f>
        <v>0</v>
      </c>
      <c r="F8" s="10">
        <f>(co2e_g_kwh!G8)/1000000000000</f>
        <v>0</v>
      </c>
      <c r="G8" s="10">
        <f>(co2e_g_kwh!K8)/1000000000000</f>
        <v>8.8245299999999962E-4</v>
      </c>
      <c r="H8" s="19">
        <f t="shared" si="0"/>
        <v>1.1501229999999996E-3</v>
      </c>
      <c r="I8" s="10">
        <f>(co2e_g_kwh!E8)/1000000000000</f>
        <v>0.60810579830000078</v>
      </c>
      <c r="J8" s="10">
        <f>(co2e_g_kwh!H8)/1000000000000</f>
        <v>0.2624849550000003</v>
      </c>
      <c r="K8" s="20">
        <f t="shared" si="1"/>
        <v>0.87059075330000102</v>
      </c>
      <c r="L8" s="21">
        <f>(co2e_g_kwh!I8)/1000000000000</f>
        <v>0.58126425062999687</v>
      </c>
      <c r="M8" s="10">
        <f>(co2e_g_kwh!J8)/1000000000000</f>
        <v>0</v>
      </c>
      <c r="N8" s="10">
        <f>(co2e_g_kwh!L8)/1000000000000</f>
        <v>0.10937388000000003</v>
      </c>
      <c r="O8" s="10">
        <f>(co2e_g_kwh!M8)/1000000000000</f>
        <v>0</v>
      </c>
      <c r="P8" s="22">
        <f t="shared" si="2"/>
        <v>0.10937388000000003</v>
      </c>
      <c r="Q8" s="10">
        <f>(co2e_g_kwh!N8)/1000000000000</f>
        <v>0</v>
      </c>
      <c r="R8" s="10">
        <f>(co2e_g_kwh!O8)/1000000000000</f>
        <v>0</v>
      </c>
      <c r="S8" s="14">
        <f t="shared" si="3"/>
        <v>1.5623790069299979</v>
      </c>
    </row>
    <row r="9" spans="1:19" x14ac:dyDescent="0.3">
      <c r="A9" s="6">
        <v>8</v>
      </c>
      <c r="B9" s="6">
        <v>2000</v>
      </c>
      <c r="C9" s="6">
        <v>8</v>
      </c>
      <c r="D9" s="10">
        <f>(co2e_g_kwh!D9)/1000000000000</f>
        <v>4.2583840000000008E-4</v>
      </c>
      <c r="E9" s="10">
        <f>(co2e_g_kwh!F9)/1000000000000</f>
        <v>0</v>
      </c>
      <c r="F9" s="10">
        <f>(co2e_g_kwh!G9)/1000000000000</f>
        <v>0</v>
      </c>
      <c r="G9" s="10">
        <f>(co2e_g_kwh!K9)/1000000000000</f>
        <v>8.7410804000000036E-3</v>
      </c>
      <c r="H9" s="19">
        <f t="shared" si="0"/>
        <v>9.1669188000000033E-3</v>
      </c>
      <c r="I9" s="10">
        <f>(co2e_g_kwh!E9)/1000000000000</f>
        <v>0.62812519769999919</v>
      </c>
      <c r="J9" s="10">
        <f>(co2e_g_kwh!H9)/1000000000000</f>
        <v>0.26589944520000025</v>
      </c>
      <c r="K9" s="20">
        <f t="shared" si="1"/>
        <v>0.89402464289999939</v>
      </c>
      <c r="L9" s="21">
        <f>(co2e_g_kwh!I9)/1000000000000</f>
        <v>0.58405763849999337</v>
      </c>
      <c r="M9" s="10">
        <f>(co2e_g_kwh!J9)/1000000000000</f>
        <v>0</v>
      </c>
      <c r="N9" s="10">
        <f>(co2e_g_kwh!L9)/1000000000000</f>
        <v>0.10721818800000023</v>
      </c>
      <c r="O9" s="10">
        <f>(co2e_g_kwh!M9)/1000000000000</f>
        <v>0</v>
      </c>
      <c r="P9" s="22">
        <f t="shared" si="2"/>
        <v>0.10721818800000023</v>
      </c>
      <c r="Q9" s="10">
        <f>(co2e_g_kwh!N9)/1000000000000</f>
        <v>0</v>
      </c>
      <c r="R9" s="10">
        <f>(co2e_g_kwh!O9)/1000000000000</f>
        <v>0</v>
      </c>
      <c r="S9" s="14">
        <f t="shared" si="3"/>
        <v>1.5944673881999931</v>
      </c>
    </row>
    <row r="10" spans="1:19" x14ac:dyDescent="0.3">
      <c r="A10" s="6">
        <v>9</v>
      </c>
      <c r="B10" s="6">
        <v>2000</v>
      </c>
      <c r="C10" s="6">
        <v>9</v>
      </c>
      <c r="D10" s="10">
        <f>(co2e_g_kwh!D10)/1000000000000</f>
        <v>9.7798999999999998E-4</v>
      </c>
      <c r="E10" s="10">
        <f>(co2e_g_kwh!F10)/1000000000000</f>
        <v>0</v>
      </c>
      <c r="F10" s="10">
        <f>(co2e_g_kwh!G10)/1000000000000</f>
        <v>0</v>
      </c>
      <c r="G10" s="10">
        <f>(co2e_g_kwh!K10)/1000000000000</f>
        <v>1.0155550599999993E-2</v>
      </c>
      <c r="H10" s="19">
        <f t="shared" si="0"/>
        <v>1.1133540599999993E-2</v>
      </c>
      <c r="I10" s="10">
        <f>(co2e_g_kwh!E10)/1000000000000</f>
        <v>0.39775756020000003</v>
      </c>
      <c r="J10" s="10">
        <f>(co2e_g_kwh!H10)/1000000000000</f>
        <v>0.24313841279999951</v>
      </c>
      <c r="K10" s="20">
        <f t="shared" si="1"/>
        <v>0.64089597299999956</v>
      </c>
      <c r="L10" s="21">
        <f>(co2e_g_kwh!I10)/1000000000000</f>
        <v>0.57714256698000233</v>
      </c>
      <c r="M10" s="10">
        <f>(co2e_g_kwh!J10)/1000000000000</f>
        <v>0</v>
      </c>
      <c r="N10" s="10">
        <f>(co2e_g_kwh!L10)/1000000000000</f>
        <v>6.7530313200000053E-2</v>
      </c>
      <c r="O10" s="10">
        <f>(co2e_g_kwh!M10)/1000000000000</f>
        <v>0</v>
      </c>
      <c r="P10" s="22">
        <f t="shared" si="2"/>
        <v>6.7530313200000053E-2</v>
      </c>
      <c r="Q10" s="10">
        <f>(co2e_g_kwh!N10)/1000000000000</f>
        <v>0</v>
      </c>
      <c r="R10" s="10">
        <f>(co2e_g_kwh!O10)/1000000000000</f>
        <v>0</v>
      </c>
      <c r="S10" s="14">
        <f t="shared" si="3"/>
        <v>1.296702393780002</v>
      </c>
    </row>
    <row r="11" spans="1:19" x14ac:dyDescent="0.3">
      <c r="A11" s="6">
        <v>10</v>
      </c>
      <c r="B11" s="6">
        <v>2000</v>
      </c>
      <c r="C11" s="6">
        <v>10</v>
      </c>
      <c r="D11" s="10">
        <f>(co2e_g_kwh!D11)/1000000000000</f>
        <v>1.8390839999999996E-4</v>
      </c>
      <c r="E11" s="10">
        <f>(co2e_g_kwh!F11)/1000000000000</f>
        <v>0</v>
      </c>
      <c r="F11" s="10">
        <f>(co2e_g_kwh!G11)/1000000000000</f>
        <v>0</v>
      </c>
      <c r="G11" s="10">
        <f>(co2e_g_kwh!K11)/1000000000000</f>
        <v>7.0839098147999942E-3</v>
      </c>
      <c r="H11" s="19">
        <f t="shared" si="0"/>
        <v>7.2678182147999943E-3</v>
      </c>
      <c r="I11" s="10">
        <f>(co2e_g_kwh!E11)/1000000000000</f>
        <v>0.33768094360000012</v>
      </c>
      <c r="J11" s="10">
        <f>(co2e_g_kwh!H11)/1000000000000</f>
        <v>0.26792378099999953</v>
      </c>
      <c r="K11" s="20">
        <f t="shared" si="1"/>
        <v>0.60560472459999959</v>
      </c>
      <c r="L11" s="21">
        <f>(co2e_g_kwh!I11)/1000000000000</f>
        <v>0.63072910761000367</v>
      </c>
      <c r="M11" s="10">
        <f>(co2e_g_kwh!J11)/1000000000000</f>
        <v>0</v>
      </c>
      <c r="N11" s="10">
        <f>(co2e_g_kwh!L11)/1000000000000</f>
        <v>5.9195388000000015E-2</v>
      </c>
      <c r="O11" s="10">
        <f>(co2e_g_kwh!M11)/1000000000000</f>
        <v>0</v>
      </c>
      <c r="P11" s="22">
        <f t="shared" si="2"/>
        <v>5.9195388000000015E-2</v>
      </c>
      <c r="Q11" s="10">
        <f>(co2e_g_kwh!N11)/1000000000000</f>
        <v>0</v>
      </c>
      <c r="R11" s="10">
        <f>(co2e_g_kwh!O11)/1000000000000</f>
        <v>0</v>
      </c>
      <c r="S11" s="14">
        <f t="shared" si="3"/>
        <v>1.3027970384248033</v>
      </c>
    </row>
    <row r="12" spans="1:19" x14ac:dyDescent="0.3">
      <c r="A12" s="6">
        <v>11</v>
      </c>
      <c r="B12" s="6">
        <v>2000</v>
      </c>
      <c r="C12" s="6">
        <v>11</v>
      </c>
      <c r="D12" s="10">
        <f>(co2e_g_kwh!D12)/1000000000000</f>
        <v>1.8584279999999998E-4</v>
      </c>
      <c r="E12" s="10">
        <f>(co2e_g_kwh!F12)/1000000000000</f>
        <v>0</v>
      </c>
      <c r="F12" s="10">
        <f>(co2e_g_kwh!G12)/1000000000000</f>
        <v>0</v>
      </c>
      <c r="G12" s="10">
        <f>(co2e_g_kwh!K12)/1000000000000</f>
        <v>1.4661986697800014E-2</v>
      </c>
      <c r="H12" s="19">
        <f t="shared" si="0"/>
        <v>1.4847829497800015E-2</v>
      </c>
      <c r="I12" s="10">
        <f>(co2e_g_kwh!E12)/1000000000000</f>
        <v>0.49047848849999975</v>
      </c>
      <c r="J12" s="10">
        <f>(co2e_g_kwh!H12)/1000000000000</f>
        <v>0.26655641999999996</v>
      </c>
      <c r="K12" s="20">
        <f t="shared" si="1"/>
        <v>0.75703490849999966</v>
      </c>
      <c r="L12" s="21">
        <f>(co2e_g_kwh!I12)/1000000000000</f>
        <v>0.5798925843900028</v>
      </c>
      <c r="M12" s="10">
        <f>(co2e_g_kwh!J12)/1000000000000</f>
        <v>0</v>
      </c>
      <c r="N12" s="10">
        <f>(co2e_g_kwh!L12)/1000000000000</f>
        <v>8.4331800000000096E-2</v>
      </c>
      <c r="O12" s="10">
        <f>(co2e_g_kwh!M12)/1000000000000</f>
        <v>0</v>
      </c>
      <c r="P12" s="22">
        <f t="shared" si="2"/>
        <v>8.4331800000000096E-2</v>
      </c>
      <c r="Q12" s="10">
        <f>(co2e_g_kwh!N12)/1000000000000</f>
        <v>0</v>
      </c>
      <c r="R12" s="10">
        <f>(co2e_g_kwh!O12)/1000000000000</f>
        <v>0</v>
      </c>
      <c r="S12" s="14">
        <f t="shared" si="3"/>
        <v>1.4361071223878028</v>
      </c>
    </row>
    <row r="13" spans="1:19" x14ac:dyDescent="0.3">
      <c r="A13" s="6">
        <v>12</v>
      </c>
      <c r="B13" s="6">
        <v>2000</v>
      </c>
      <c r="C13" s="6">
        <v>12</v>
      </c>
      <c r="D13" s="10">
        <f>(co2e_g_kwh!D13)/1000000000000</f>
        <v>4.798976E-4</v>
      </c>
      <c r="E13" s="10">
        <f>(co2e_g_kwh!F13)/1000000000000</f>
        <v>0</v>
      </c>
      <c r="F13" s="10">
        <f>(co2e_g_kwh!G13)/1000000000000</f>
        <v>0</v>
      </c>
      <c r="G13" s="10">
        <f>(co2e_g_kwh!K13)/1000000000000</f>
        <v>1.592314468029999E-2</v>
      </c>
      <c r="H13" s="19">
        <f t="shared" si="0"/>
        <v>1.6403042280299991E-2</v>
      </c>
      <c r="I13" s="10">
        <f>(co2e_g_kwh!E13)/1000000000000</f>
        <v>0.6407899497999997</v>
      </c>
      <c r="J13" s="10">
        <f>(co2e_g_kwh!H13)/1000000000000</f>
        <v>0.32729349239999972</v>
      </c>
      <c r="K13" s="20">
        <f t="shared" si="1"/>
        <v>0.96808344219999942</v>
      </c>
      <c r="L13" s="21">
        <f>(co2e_g_kwh!I13)/1000000000000</f>
        <v>0.57997168026000145</v>
      </c>
      <c r="M13" s="10">
        <f>(co2e_g_kwh!J13)/1000000000000</f>
        <v>0</v>
      </c>
      <c r="N13" s="10">
        <f>(co2e_g_kwh!L13)/1000000000000</f>
        <v>7.9146059999999935E-2</v>
      </c>
      <c r="O13" s="10">
        <f>(co2e_g_kwh!M13)/1000000000000</f>
        <v>0</v>
      </c>
      <c r="P13" s="22">
        <f t="shared" si="2"/>
        <v>7.9146059999999935E-2</v>
      </c>
      <c r="Q13" s="10">
        <f>(co2e_g_kwh!N13)/1000000000000</f>
        <v>0</v>
      </c>
      <c r="R13" s="10">
        <f>(co2e_g_kwh!O13)/1000000000000</f>
        <v>0</v>
      </c>
      <c r="S13" s="14">
        <f t="shared" si="3"/>
        <v>1.6436042247403009</v>
      </c>
    </row>
    <row r="14" spans="1:19" x14ac:dyDescent="0.3">
      <c r="A14" s="6">
        <v>13</v>
      </c>
      <c r="B14" s="6">
        <v>2001</v>
      </c>
      <c r="C14" s="6">
        <v>1</v>
      </c>
      <c r="D14" s="10">
        <f>(co2e_g_kwh!D14)/1000000000000</f>
        <v>2.2870120000000001E-4</v>
      </c>
      <c r="E14" s="10">
        <f>(co2e_g_kwh!F14)/1000000000000</f>
        <v>0</v>
      </c>
      <c r="F14" s="10">
        <f>(co2e_g_kwh!G14)/1000000000000</f>
        <v>0</v>
      </c>
      <c r="G14" s="10">
        <f>(co2e_g_kwh!K14)/1000000000000</f>
        <v>1.301036309559999E-2</v>
      </c>
      <c r="H14" s="19">
        <f t="shared" si="0"/>
        <v>1.3239064295599991E-2</v>
      </c>
      <c r="I14" s="10">
        <f>(co2e_g_kwh!E14)/1000000000000</f>
        <v>0.59412022670000231</v>
      </c>
      <c r="J14" s="10">
        <f>(co2e_g_kwh!H14)/1000000000000</f>
        <v>0.36081237780000075</v>
      </c>
      <c r="K14" s="20">
        <f t="shared" si="1"/>
        <v>0.95493260450000306</v>
      </c>
      <c r="L14" s="21">
        <f>(co2e_g_kwh!I14)/1000000000000</f>
        <v>0.60821003711999166</v>
      </c>
      <c r="M14" s="10">
        <f>(co2e_g_kwh!J14)/1000000000000</f>
        <v>0</v>
      </c>
      <c r="N14" s="10">
        <f>(co2e_g_kwh!L14)/1000000000000</f>
        <v>6.8591627999999918E-2</v>
      </c>
      <c r="O14" s="10">
        <f>(co2e_g_kwh!M14)/1000000000000</f>
        <v>0</v>
      </c>
      <c r="P14" s="22">
        <f t="shared" si="2"/>
        <v>6.8591627999999918E-2</v>
      </c>
      <c r="Q14" s="10">
        <f>(co2e_g_kwh!N14)/1000000000000</f>
        <v>0</v>
      </c>
      <c r="R14" s="10">
        <f>(co2e_g_kwh!O14)/1000000000000</f>
        <v>0</v>
      </c>
      <c r="S14" s="14">
        <f t="shared" si="3"/>
        <v>1.6449733339155945</v>
      </c>
    </row>
    <row r="15" spans="1:19" x14ac:dyDescent="0.3">
      <c r="A15" s="6">
        <v>14</v>
      </c>
      <c r="B15" s="6">
        <v>2001</v>
      </c>
      <c r="C15" s="6">
        <v>2</v>
      </c>
      <c r="D15" s="10">
        <f>(co2e_g_kwh!D15)/1000000000000</f>
        <v>1.5517840000000001E-4</v>
      </c>
      <c r="E15" s="10">
        <f>(co2e_g_kwh!F15)/1000000000000</f>
        <v>0</v>
      </c>
      <c r="F15" s="10">
        <f>(co2e_g_kwh!G15)/1000000000000</f>
        <v>0</v>
      </c>
      <c r="G15" s="10">
        <f>(co2e_g_kwh!K15)/1000000000000</f>
        <v>1.458034928999997E-2</v>
      </c>
      <c r="H15" s="19">
        <f t="shared" si="0"/>
        <v>1.473552768999997E-2</v>
      </c>
      <c r="I15" s="10">
        <f>(co2e_g_kwh!E15)/1000000000000</f>
        <v>0.45983327390000045</v>
      </c>
      <c r="J15" s="10">
        <f>(co2e_g_kwh!H15)/1000000000000</f>
        <v>0.38396323080000061</v>
      </c>
      <c r="K15" s="20">
        <f t="shared" si="1"/>
        <v>0.84379650470000112</v>
      </c>
      <c r="L15" s="21">
        <f>(co2e_g_kwh!I15)/1000000000000</f>
        <v>0.56519289960000829</v>
      </c>
      <c r="M15" s="10">
        <f>(co2e_g_kwh!J15)/1000000000000</f>
        <v>0</v>
      </c>
      <c r="N15" s="10">
        <f>(co2e_g_kwh!L15)/1000000000000</f>
        <v>7.3726884000000104E-2</v>
      </c>
      <c r="O15" s="10">
        <f>(co2e_g_kwh!M15)/1000000000000</f>
        <v>0</v>
      </c>
      <c r="P15" s="22">
        <f t="shared" si="2"/>
        <v>7.3726884000000104E-2</v>
      </c>
      <c r="Q15" s="10">
        <f>(co2e_g_kwh!N15)/1000000000000</f>
        <v>0</v>
      </c>
      <c r="R15" s="10">
        <f>(co2e_g_kwh!O15)/1000000000000</f>
        <v>0</v>
      </c>
      <c r="S15" s="14">
        <f t="shared" si="3"/>
        <v>1.4974518159900092</v>
      </c>
    </row>
    <row r="16" spans="1:19" x14ac:dyDescent="0.3">
      <c r="A16" s="6">
        <v>15</v>
      </c>
      <c r="B16" s="6">
        <v>2001</v>
      </c>
      <c r="C16" s="6">
        <v>3</v>
      </c>
      <c r="D16" s="10">
        <f>(co2e_g_kwh!D16)/1000000000000</f>
        <v>1.9397559999999997E-4</v>
      </c>
      <c r="E16" s="10">
        <f>(co2e_g_kwh!F16)/1000000000000</f>
        <v>0</v>
      </c>
      <c r="F16" s="10">
        <f>(co2e_g_kwh!G16)/1000000000000</f>
        <v>0</v>
      </c>
      <c r="G16" s="10">
        <f>(co2e_g_kwh!K16)/1000000000000</f>
        <v>1.6556150910000025E-2</v>
      </c>
      <c r="H16" s="19">
        <f t="shared" si="0"/>
        <v>1.6750126510000025E-2</v>
      </c>
      <c r="I16" s="10">
        <f>(co2e_g_kwh!E16)/1000000000000</f>
        <v>0.58755366669999887</v>
      </c>
      <c r="J16" s="10">
        <f>(co2e_g_kwh!H16)/1000000000000</f>
        <v>0.464850981</v>
      </c>
      <c r="K16" s="20">
        <f t="shared" si="1"/>
        <v>1.0524046476999989</v>
      </c>
      <c r="L16" s="21">
        <f>(co2e_g_kwh!I16)/1000000000000</f>
        <v>0.62598070920000137</v>
      </c>
      <c r="M16" s="10">
        <f>(co2e_g_kwh!J16)/1000000000000</f>
        <v>0</v>
      </c>
      <c r="N16" s="10">
        <f>(co2e_g_kwh!L16)/1000000000000</f>
        <v>4.9768404000000044E-2</v>
      </c>
      <c r="O16" s="10">
        <f>(co2e_g_kwh!M16)/1000000000000</f>
        <v>0</v>
      </c>
      <c r="P16" s="22">
        <f t="shared" si="2"/>
        <v>4.9768404000000044E-2</v>
      </c>
      <c r="Q16" s="10">
        <f>(co2e_g_kwh!N16)/1000000000000</f>
        <v>0</v>
      </c>
      <c r="R16" s="10">
        <f>(co2e_g_kwh!O16)/1000000000000</f>
        <v>0</v>
      </c>
      <c r="S16" s="14">
        <f t="shared" si="3"/>
        <v>1.7449038874100005</v>
      </c>
    </row>
    <row r="17" spans="1:19" x14ac:dyDescent="0.3">
      <c r="A17" s="6">
        <v>16</v>
      </c>
      <c r="B17" s="6">
        <v>2001</v>
      </c>
      <c r="C17" s="6">
        <v>4</v>
      </c>
      <c r="D17" s="10">
        <f>(co2e_g_kwh!D17)/1000000000000</f>
        <v>1.4976E-4</v>
      </c>
      <c r="E17" s="10">
        <f>(co2e_g_kwh!F17)/1000000000000</f>
        <v>0</v>
      </c>
      <c r="F17" s="10">
        <f>(co2e_g_kwh!G17)/1000000000000</f>
        <v>0</v>
      </c>
      <c r="G17" s="10">
        <f>(co2e_g_kwh!K17)/1000000000000</f>
        <v>1.0745134660000011E-2</v>
      </c>
      <c r="H17" s="19">
        <f t="shared" si="0"/>
        <v>1.0894894660000012E-2</v>
      </c>
      <c r="I17" s="10">
        <f>(co2e_g_kwh!E17)/1000000000000</f>
        <v>0.59055606609999822</v>
      </c>
      <c r="J17" s="10">
        <f>(co2e_g_kwh!H17)/1000000000000</f>
        <v>0.43589236968</v>
      </c>
      <c r="K17" s="20">
        <f t="shared" si="1"/>
        <v>1.0264484357799981</v>
      </c>
      <c r="L17" s="21">
        <f>(co2e_g_kwh!I17)/1000000000000</f>
        <v>0.59032422372000704</v>
      </c>
      <c r="M17" s="10">
        <f>(co2e_g_kwh!J17)/1000000000000</f>
        <v>0</v>
      </c>
      <c r="N17" s="10">
        <f>(co2e_g_kwh!L17)/1000000000000</f>
        <v>8.3255087999999908E-2</v>
      </c>
      <c r="O17" s="10">
        <f>(co2e_g_kwh!M17)/1000000000000</f>
        <v>0</v>
      </c>
      <c r="P17" s="22">
        <f t="shared" si="2"/>
        <v>8.3255087999999908E-2</v>
      </c>
      <c r="Q17" s="10">
        <f>(co2e_g_kwh!N17)/1000000000000</f>
        <v>0</v>
      </c>
      <c r="R17" s="10">
        <f>(co2e_g_kwh!O17)/1000000000000</f>
        <v>0</v>
      </c>
      <c r="S17" s="14">
        <f t="shared" si="3"/>
        <v>1.7109226421600052</v>
      </c>
    </row>
    <row r="18" spans="1:19" x14ac:dyDescent="0.3">
      <c r="A18" s="6">
        <v>17</v>
      </c>
      <c r="B18" s="6">
        <v>2001</v>
      </c>
      <c r="C18" s="6">
        <v>5</v>
      </c>
      <c r="D18" s="10">
        <f>(co2e_g_kwh!D18)/1000000000000</f>
        <v>2.8004599999999989E-4</v>
      </c>
      <c r="E18" s="10">
        <f>(co2e_g_kwh!F18)/1000000000000</f>
        <v>0</v>
      </c>
      <c r="F18" s="10">
        <f>(co2e_g_kwh!G18)/1000000000000</f>
        <v>0</v>
      </c>
      <c r="G18" s="10">
        <f>(co2e_g_kwh!K18)/1000000000000</f>
        <v>1.0264078889999993E-2</v>
      </c>
      <c r="H18" s="19">
        <f t="shared" si="0"/>
        <v>1.0544124889999992E-2</v>
      </c>
      <c r="I18" s="10">
        <f>(co2e_g_kwh!E18)/1000000000000</f>
        <v>0.61878947130000195</v>
      </c>
      <c r="J18" s="10">
        <f>(co2e_g_kwh!H18)/1000000000000</f>
        <v>0.49862652299999949</v>
      </c>
      <c r="K18" s="20">
        <f t="shared" si="1"/>
        <v>1.1174159943000015</v>
      </c>
      <c r="L18" s="21">
        <f>(co2e_g_kwh!I18)/1000000000000</f>
        <v>0.5592105951600066</v>
      </c>
      <c r="M18" s="10">
        <f>(co2e_g_kwh!J18)/1000000000000</f>
        <v>0</v>
      </c>
      <c r="N18" s="10">
        <f>(co2e_g_kwh!L18)/1000000000000</f>
        <v>0.1183008120000001</v>
      </c>
      <c r="O18" s="10">
        <f>(co2e_g_kwh!M18)/1000000000000</f>
        <v>0</v>
      </c>
      <c r="P18" s="22">
        <f t="shared" si="2"/>
        <v>0.1183008120000001</v>
      </c>
      <c r="Q18" s="10">
        <f>(co2e_g_kwh!N18)/1000000000000</f>
        <v>0</v>
      </c>
      <c r="R18" s="10">
        <f>(co2e_g_kwh!O18)/1000000000000</f>
        <v>0</v>
      </c>
      <c r="S18" s="14">
        <f t="shared" si="3"/>
        <v>1.8054715263500083</v>
      </c>
    </row>
    <row r="19" spans="1:19" x14ac:dyDescent="0.3">
      <c r="A19" s="6">
        <v>18</v>
      </c>
      <c r="B19" s="6">
        <v>2001</v>
      </c>
      <c r="C19" s="6">
        <v>6</v>
      </c>
      <c r="D19" s="10">
        <f>(co2e_g_kwh!D19)/1000000000000</f>
        <v>7.3678800000000026E-4</v>
      </c>
      <c r="E19" s="10">
        <f>(co2e_g_kwh!F19)/1000000000000</f>
        <v>0</v>
      </c>
      <c r="F19" s="10">
        <f>(co2e_g_kwh!G19)/1000000000000</f>
        <v>0</v>
      </c>
      <c r="G19" s="10">
        <f>(co2e_g_kwh!K19)/1000000000000</f>
        <v>1.5248149669999971E-2</v>
      </c>
      <c r="H19" s="19">
        <f t="shared" si="0"/>
        <v>1.598493766999997E-2</v>
      </c>
      <c r="I19" s="10">
        <f>(co2e_g_kwh!E19)/1000000000000</f>
        <v>0.58322103839999773</v>
      </c>
      <c r="J19" s="10">
        <f>(co2e_g_kwh!H19)/1000000000000</f>
        <v>0.43012103219999887</v>
      </c>
      <c r="K19" s="20">
        <f t="shared" si="1"/>
        <v>1.0133420705999967</v>
      </c>
      <c r="L19" s="21">
        <f>(co2e_g_kwh!I19)/1000000000000</f>
        <v>0.44056517022000186</v>
      </c>
      <c r="M19" s="10">
        <f>(co2e_g_kwh!J19)/1000000000000</f>
        <v>0</v>
      </c>
      <c r="N19" s="10">
        <f>(co2e_g_kwh!L19)/1000000000000</f>
        <v>0.10575070800000001</v>
      </c>
      <c r="O19" s="10">
        <f>(co2e_g_kwh!M19)/1000000000000</f>
        <v>0</v>
      </c>
      <c r="P19" s="22">
        <f t="shared" si="2"/>
        <v>0.10575070800000001</v>
      </c>
      <c r="Q19" s="10">
        <f>(co2e_g_kwh!N19)/1000000000000</f>
        <v>0</v>
      </c>
      <c r="R19" s="10">
        <f>(co2e_g_kwh!O19)/1000000000000</f>
        <v>0</v>
      </c>
      <c r="S19" s="14">
        <f t="shared" si="3"/>
        <v>1.5756428864899985</v>
      </c>
    </row>
    <row r="20" spans="1:19" x14ac:dyDescent="0.3">
      <c r="A20" s="6">
        <v>19</v>
      </c>
      <c r="B20" s="6">
        <v>2001</v>
      </c>
      <c r="C20" s="6">
        <v>7</v>
      </c>
      <c r="D20" s="10">
        <f>(co2e_g_kwh!D20)/1000000000000</f>
        <v>2.8392519999999994E-4</v>
      </c>
      <c r="E20" s="10">
        <f>(co2e_g_kwh!F20)/1000000000000</f>
        <v>0</v>
      </c>
      <c r="F20" s="10">
        <f>(co2e_g_kwh!G20)/1000000000000</f>
        <v>0</v>
      </c>
      <c r="G20" s="10">
        <f>(co2e_g_kwh!K20)/1000000000000</f>
        <v>1.8754157239999993E-2</v>
      </c>
      <c r="H20" s="19">
        <f t="shared" si="0"/>
        <v>1.9038082439999993E-2</v>
      </c>
      <c r="I20" s="10">
        <f>(co2e_g_kwh!E20)/1000000000000</f>
        <v>0.4517702188999998</v>
      </c>
      <c r="J20" s="10">
        <f>(co2e_g_kwh!H20)/1000000000000</f>
        <v>0.43615054259999964</v>
      </c>
      <c r="K20" s="20">
        <f t="shared" si="1"/>
        <v>0.88792076149999943</v>
      </c>
      <c r="L20" s="21">
        <f>(co2e_g_kwh!I20)/1000000000000</f>
        <v>0.45195499880999401</v>
      </c>
      <c r="M20" s="10">
        <f>(co2e_g_kwh!J20)/1000000000000</f>
        <v>0</v>
      </c>
      <c r="N20" s="10">
        <f>(co2e_g_kwh!L20)/1000000000000</f>
        <v>7.6305599999999946E-2</v>
      </c>
      <c r="O20" s="10">
        <f>(co2e_g_kwh!M20)/1000000000000</f>
        <v>0</v>
      </c>
      <c r="P20" s="22">
        <f t="shared" si="2"/>
        <v>7.6305599999999946E-2</v>
      </c>
      <c r="Q20" s="10">
        <f>(co2e_g_kwh!N20)/1000000000000</f>
        <v>0</v>
      </c>
      <c r="R20" s="10">
        <f>(co2e_g_kwh!O20)/1000000000000</f>
        <v>0</v>
      </c>
      <c r="S20" s="14">
        <f t="shared" si="3"/>
        <v>1.4352194427499934</v>
      </c>
    </row>
    <row r="21" spans="1:19" x14ac:dyDescent="0.3">
      <c r="A21" s="6">
        <v>20</v>
      </c>
      <c r="B21" s="6">
        <v>2001</v>
      </c>
      <c r="C21" s="6">
        <v>8</v>
      </c>
      <c r="D21" s="10">
        <f>(co2e_g_kwh!D21)/1000000000000</f>
        <v>2.4013599999999995E-4</v>
      </c>
      <c r="E21" s="10">
        <f>(co2e_g_kwh!F21)/1000000000000</f>
        <v>0</v>
      </c>
      <c r="F21" s="10">
        <f>(co2e_g_kwh!G21)/1000000000000</f>
        <v>0</v>
      </c>
      <c r="G21" s="10">
        <f>(co2e_g_kwh!K21)/1000000000000</f>
        <v>1.8476720210000019E-2</v>
      </c>
      <c r="H21" s="19">
        <f t="shared" si="0"/>
        <v>1.8716856210000018E-2</v>
      </c>
      <c r="I21" s="10">
        <f>(co2e_g_kwh!E21)/1000000000000</f>
        <v>0.49776666940000025</v>
      </c>
      <c r="J21" s="10">
        <f>(co2e_g_kwh!H21)/1000000000000</f>
        <v>0.541230498</v>
      </c>
      <c r="K21" s="20">
        <f t="shared" si="1"/>
        <v>1.0389971674000003</v>
      </c>
      <c r="L21" s="21">
        <f>(co2e_g_kwh!I21)/1000000000000</f>
        <v>0.45270469020000303</v>
      </c>
      <c r="M21" s="10">
        <f>(co2e_g_kwh!J21)/1000000000000</f>
        <v>0</v>
      </c>
      <c r="N21" s="10">
        <f>(co2e_g_kwh!L21)/1000000000000</f>
        <v>8.6600723999999948E-2</v>
      </c>
      <c r="O21" s="10">
        <f>(co2e_g_kwh!M21)/1000000000000</f>
        <v>0</v>
      </c>
      <c r="P21" s="22">
        <f t="shared" si="2"/>
        <v>8.6600723999999948E-2</v>
      </c>
      <c r="Q21" s="10">
        <f>(co2e_g_kwh!N21)/1000000000000</f>
        <v>0</v>
      </c>
      <c r="R21" s="10">
        <f>(co2e_g_kwh!O21)/1000000000000</f>
        <v>0</v>
      </c>
      <c r="S21" s="14">
        <f t="shared" si="3"/>
        <v>1.5970194378100031</v>
      </c>
    </row>
    <row r="22" spans="1:19" x14ac:dyDescent="0.3">
      <c r="A22" s="6">
        <v>21</v>
      </c>
      <c r="B22" s="6">
        <v>2001</v>
      </c>
      <c r="C22" s="6">
        <v>9</v>
      </c>
      <c r="D22" s="10">
        <f>(co2e_g_kwh!D22)/1000000000000</f>
        <v>2.69256E-4</v>
      </c>
      <c r="E22" s="10">
        <f>(co2e_g_kwh!F22)/1000000000000</f>
        <v>0</v>
      </c>
      <c r="F22" s="10">
        <f>(co2e_g_kwh!G22)/1000000000000</f>
        <v>0</v>
      </c>
      <c r="G22" s="10">
        <f>(co2e_g_kwh!K22)/1000000000000</f>
        <v>1.8324578089999911E-2</v>
      </c>
      <c r="H22" s="19">
        <f t="shared" si="0"/>
        <v>1.859383408999991E-2</v>
      </c>
      <c r="I22" s="10">
        <f>(co2e_g_kwh!E22)/1000000000000</f>
        <v>0.53178435309999883</v>
      </c>
      <c r="J22" s="10">
        <f>(co2e_g_kwh!H22)/1000000000000</f>
        <v>0.50818729482000069</v>
      </c>
      <c r="K22" s="20">
        <f t="shared" si="1"/>
        <v>1.0399716479199994</v>
      </c>
      <c r="L22" s="21">
        <f>(co2e_g_kwh!I22)/1000000000000</f>
        <v>0.43263362519999793</v>
      </c>
      <c r="M22" s="10">
        <f>(co2e_g_kwh!J22)/1000000000000</f>
        <v>0</v>
      </c>
      <c r="N22" s="10">
        <f>(co2e_g_kwh!L22)/1000000000000</f>
        <v>8.2880700000000002E-2</v>
      </c>
      <c r="O22" s="10">
        <f>(co2e_g_kwh!M22)/1000000000000</f>
        <v>0</v>
      </c>
      <c r="P22" s="22">
        <f t="shared" si="2"/>
        <v>8.2880700000000002E-2</v>
      </c>
      <c r="Q22" s="10">
        <f>(co2e_g_kwh!N22)/1000000000000</f>
        <v>0</v>
      </c>
      <c r="R22" s="10">
        <f>(co2e_g_kwh!O22)/1000000000000</f>
        <v>0</v>
      </c>
      <c r="S22" s="14">
        <f t="shared" si="3"/>
        <v>1.5740798072099973</v>
      </c>
    </row>
    <row r="23" spans="1:19" x14ac:dyDescent="0.3">
      <c r="A23" s="6">
        <v>22</v>
      </c>
      <c r="B23" s="6">
        <v>2001</v>
      </c>
      <c r="C23" s="6">
        <v>10</v>
      </c>
      <c r="D23" s="10">
        <f>(co2e_g_kwh!D23)/1000000000000</f>
        <v>2.0234759999999998E-4</v>
      </c>
      <c r="E23" s="10">
        <f>(co2e_g_kwh!F23)/1000000000000</f>
        <v>0</v>
      </c>
      <c r="F23" s="10">
        <f>(co2e_g_kwh!G23)/1000000000000</f>
        <v>0</v>
      </c>
      <c r="G23" s="10">
        <f>(co2e_g_kwh!K23)/1000000000000</f>
        <v>1.8735351297000016E-2</v>
      </c>
      <c r="H23" s="19">
        <f t="shared" si="0"/>
        <v>1.8937698897000015E-2</v>
      </c>
      <c r="I23" s="10">
        <f>(co2e_g_kwh!E23)/1000000000000</f>
        <v>0.38814065289999994</v>
      </c>
      <c r="J23" s="10">
        <f>(co2e_g_kwh!H23)/1000000000000</f>
        <v>0.54138009366000195</v>
      </c>
      <c r="K23" s="20">
        <f t="shared" si="1"/>
        <v>0.92952074656000194</v>
      </c>
      <c r="L23" s="21">
        <f>(co2e_g_kwh!I23)/1000000000000</f>
        <v>0.47539114413000194</v>
      </c>
      <c r="M23" s="10">
        <f>(co2e_g_kwh!J23)/1000000000000</f>
        <v>0</v>
      </c>
      <c r="N23" s="10">
        <f>(co2e_g_kwh!L23)/1000000000000</f>
        <v>7.749411600000003E-2</v>
      </c>
      <c r="O23" s="10">
        <f>(co2e_g_kwh!M23)/1000000000000</f>
        <v>0</v>
      </c>
      <c r="P23" s="22">
        <f t="shared" si="2"/>
        <v>7.749411600000003E-2</v>
      </c>
      <c r="Q23" s="10">
        <f>(co2e_g_kwh!N23)/1000000000000</f>
        <v>0</v>
      </c>
      <c r="R23" s="10">
        <f>(co2e_g_kwh!O23)/1000000000000</f>
        <v>0</v>
      </c>
      <c r="S23" s="14">
        <f t="shared" si="3"/>
        <v>1.5013437055870038</v>
      </c>
    </row>
    <row r="24" spans="1:19" x14ac:dyDescent="0.3">
      <c r="A24" s="6">
        <v>23</v>
      </c>
      <c r="B24" s="6">
        <v>2001</v>
      </c>
      <c r="C24" s="6">
        <v>11</v>
      </c>
      <c r="D24" s="10">
        <f>(co2e_g_kwh!D24)/1000000000000</f>
        <v>1.9221799999999999E-4</v>
      </c>
      <c r="E24" s="10">
        <f>(co2e_g_kwh!F24)/1000000000000</f>
        <v>0</v>
      </c>
      <c r="F24" s="10">
        <f>(co2e_g_kwh!G24)/1000000000000</f>
        <v>0</v>
      </c>
      <c r="G24" s="10">
        <f>(co2e_g_kwh!K24)/1000000000000</f>
        <v>1.3907809240000043E-2</v>
      </c>
      <c r="H24" s="19">
        <f t="shared" si="0"/>
        <v>1.4100027240000042E-2</v>
      </c>
      <c r="I24" s="10">
        <f>(co2e_g_kwh!E24)/1000000000000</f>
        <v>0.43526593109999745</v>
      </c>
      <c r="J24" s="10">
        <f>(co2e_g_kwh!H24)/1000000000000</f>
        <v>0.64347766632000303</v>
      </c>
      <c r="K24" s="20">
        <f t="shared" si="1"/>
        <v>1.0787435974200004</v>
      </c>
      <c r="L24" s="21">
        <f>(co2e_g_kwh!I24)/1000000000000</f>
        <v>0.46356562433999821</v>
      </c>
      <c r="M24" s="10">
        <f>(co2e_g_kwh!J24)/1000000000000</f>
        <v>0</v>
      </c>
      <c r="N24" s="10">
        <f>(co2e_g_kwh!L24)/1000000000000</f>
        <v>8.2429871999999821E-2</v>
      </c>
      <c r="O24" s="10">
        <f>(co2e_g_kwh!M24)/1000000000000</f>
        <v>0</v>
      </c>
      <c r="P24" s="22">
        <f t="shared" si="2"/>
        <v>8.2429871999999821E-2</v>
      </c>
      <c r="Q24" s="10">
        <f>(co2e_g_kwh!N24)/1000000000000</f>
        <v>0</v>
      </c>
      <c r="R24" s="10">
        <f>(co2e_g_kwh!O24)/1000000000000</f>
        <v>0</v>
      </c>
      <c r="S24" s="14">
        <f t="shared" si="3"/>
        <v>1.6388391209999984</v>
      </c>
    </row>
    <row r="25" spans="1:19" x14ac:dyDescent="0.3">
      <c r="A25" s="6">
        <v>24</v>
      </c>
      <c r="B25" s="6">
        <v>2001</v>
      </c>
      <c r="C25" s="6">
        <v>12</v>
      </c>
      <c r="D25" s="10">
        <f>(co2e_g_kwh!D25)/1000000000000</f>
        <v>1.87954E-4</v>
      </c>
      <c r="E25" s="10">
        <f>(co2e_g_kwh!F25)/1000000000000</f>
        <v>0</v>
      </c>
      <c r="F25" s="10">
        <f>(co2e_g_kwh!G25)/1000000000000</f>
        <v>0</v>
      </c>
      <c r="G25" s="10">
        <f>(co2e_g_kwh!K25)/1000000000000</f>
        <v>1.7949433579999965E-2</v>
      </c>
      <c r="H25" s="19">
        <f t="shared" si="0"/>
        <v>1.8137387579999966E-2</v>
      </c>
      <c r="I25" s="10">
        <f>(co2e_g_kwh!E25)/1000000000000</f>
        <v>0.44894279429999995</v>
      </c>
      <c r="J25" s="10">
        <f>(co2e_g_kwh!H25)/1000000000000</f>
        <v>0.63477178308000004</v>
      </c>
      <c r="K25" s="20">
        <f t="shared" si="1"/>
        <v>1.0837145773799999</v>
      </c>
      <c r="L25" s="21">
        <f>(co2e_g_kwh!I25)/1000000000000</f>
        <v>0.47522569163999456</v>
      </c>
      <c r="M25" s="10">
        <f>(co2e_g_kwh!J25)/1000000000000</f>
        <v>0</v>
      </c>
      <c r="N25" s="10">
        <f>(co2e_g_kwh!L25)/1000000000000</f>
        <v>7.4253060000000107E-2</v>
      </c>
      <c r="O25" s="10">
        <f>(co2e_g_kwh!M25)/1000000000000</f>
        <v>0</v>
      </c>
      <c r="P25" s="22">
        <f t="shared" si="2"/>
        <v>7.4253060000000107E-2</v>
      </c>
      <c r="Q25" s="10">
        <f>(co2e_g_kwh!N25)/1000000000000</f>
        <v>0</v>
      </c>
      <c r="R25" s="10">
        <f>(co2e_g_kwh!O25)/1000000000000</f>
        <v>0</v>
      </c>
      <c r="S25" s="14">
        <f t="shared" si="3"/>
        <v>1.6513307165999946</v>
      </c>
    </row>
    <row r="26" spans="1:19" x14ac:dyDescent="0.3">
      <c r="A26" s="6">
        <v>25</v>
      </c>
      <c r="B26" s="6">
        <v>2002</v>
      </c>
      <c r="C26" s="6">
        <v>1</v>
      </c>
      <c r="D26" s="10">
        <f>(co2e_g_kwh!D26)/1000000000000</f>
        <v>1.9343999999999999E-4</v>
      </c>
      <c r="E26" s="10">
        <f>(co2e_g_kwh!F26)/1000000000000</f>
        <v>0</v>
      </c>
      <c r="F26" s="10">
        <f>(co2e_g_kwh!G26)/1000000000000</f>
        <v>0</v>
      </c>
      <c r="G26" s="10">
        <f>(co2e_g_kwh!K26)/1000000000000</f>
        <v>1.6625327550000006E-2</v>
      </c>
      <c r="H26" s="19">
        <f t="shared" si="0"/>
        <v>1.6818767550000006E-2</v>
      </c>
      <c r="I26" s="10">
        <f>(co2e_g_kwh!E26)/1000000000000</f>
        <v>0.48194976830000053</v>
      </c>
      <c r="J26" s="10">
        <f>(co2e_g_kwh!H26)/1000000000000</f>
        <v>0.63327754205999709</v>
      </c>
      <c r="K26" s="20">
        <f t="shared" si="1"/>
        <v>1.1152273103599977</v>
      </c>
      <c r="L26" s="21">
        <f>(co2e_g_kwh!I26)/1000000000000</f>
        <v>0.49635454637999271</v>
      </c>
      <c r="M26" s="10">
        <f>(co2e_g_kwh!J26)/1000000000000</f>
        <v>0</v>
      </c>
      <c r="N26" s="10">
        <f>(co2e_g_kwh!L26)/1000000000000</f>
        <v>7.2684527999999943E-2</v>
      </c>
      <c r="O26" s="10">
        <f>(co2e_g_kwh!M26)/1000000000000</f>
        <v>0</v>
      </c>
      <c r="P26" s="22">
        <f t="shared" si="2"/>
        <v>7.2684527999999943E-2</v>
      </c>
      <c r="Q26" s="10">
        <f>(co2e_g_kwh!N26)/1000000000000</f>
        <v>0</v>
      </c>
      <c r="R26" s="10">
        <f>(co2e_g_kwh!O26)/1000000000000</f>
        <v>0</v>
      </c>
      <c r="S26" s="14">
        <f t="shared" si="3"/>
        <v>1.7010851522899904</v>
      </c>
    </row>
    <row r="27" spans="1:19" x14ac:dyDescent="0.3">
      <c r="A27" s="6">
        <v>26</v>
      </c>
      <c r="B27" s="6">
        <v>2002</v>
      </c>
      <c r="C27" s="6">
        <v>2</v>
      </c>
      <c r="D27" s="10">
        <f>(co2e_g_kwh!D27)/1000000000000</f>
        <v>1.7472000000000001E-4</v>
      </c>
      <c r="E27" s="10">
        <f>(co2e_g_kwh!F27)/1000000000000</f>
        <v>0</v>
      </c>
      <c r="F27" s="10">
        <f>(co2e_g_kwh!G27)/1000000000000</f>
        <v>0</v>
      </c>
      <c r="G27" s="10">
        <f>(co2e_g_kwh!K27)/1000000000000</f>
        <v>1.5678835380000044E-2</v>
      </c>
      <c r="H27" s="19">
        <f t="shared" si="0"/>
        <v>1.5853555380000044E-2</v>
      </c>
      <c r="I27" s="10">
        <f>(co2e_g_kwh!E27)/1000000000000</f>
        <v>0.46742966269999903</v>
      </c>
      <c r="J27" s="10">
        <f>(co2e_g_kwh!H27)/1000000000000</f>
        <v>0.47118043602000015</v>
      </c>
      <c r="K27" s="20">
        <f t="shared" si="1"/>
        <v>0.93861009871999923</v>
      </c>
      <c r="L27" s="21">
        <f>(co2e_g_kwh!I27)/1000000000000</f>
        <v>0.47528532890999481</v>
      </c>
      <c r="M27" s="10">
        <f>(co2e_g_kwh!J27)/1000000000000</f>
        <v>0</v>
      </c>
      <c r="N27" s="10">
        <f>(co2e_g_kwh!L27)/1000000000000</f>
        <v>2.9087520000000009E-2</v>
      </c>
      <c r="O27" s="10">
        <f>(co2e_g_kwh!M27)/1000000000000</f>
        <v>3.0542399999999999E-4</v>
      </c>
      <c r="P27" s="22">
        <f t="shared" si="2"/>
        <v>2.9392944000000008E-2</v>
      </c>
      <c r="Q27" s="10">
        <f>(co2e_g_kwh!N27)/1000000000000</f>
        <v>0</v>
      </c>
      <c r="R27" s="10">
        <f>(co2e_g_kwh!O27)/1000000000000</f>
        <v>0</v>
      </c>
      <c r="S27" s="14">
        <f t="shared" si="3"/>
        <v>1.4591419270099941</v>
      </c>
    </row>
    <row r="28" spans="1:19" x14ac:dyDescent="0.3">
      <c r="A28" s="6">
        <v>27</v>
      </c>
      <c r="B28" s="6">
        <v>2002</v>
      </c>
      <c r="C28" s="6">
        <v>3</v>
      </c>
      <c r="D28" s="10">
        <f>(co2e_g_kwh!D28)/1000000000000</f>
        <v>2.0192119999999997E-4</v>
      </c>
      <c r="E28" s="10">
        <f>(co2e_g_kwh!F28)/1000000000000</f>
        <v>0</v>
      </c>
      <c r="F28" s="10">
        <f>(co2e_g_kwh!G28)/1000000000000</f>
        <v>0</v>
      </c>
      <c r="G28" s="10">
        <f>(co2e_g_kwh!K28)/1000000000000</f>
        <v>8.2935968699999717E-3</v>
      </c>
      <c r="H28" s="19">
        <f t="shared" si="0"/>
        <v>8.4955180699999716E-3</v>
      </c>
      <c r="I28" s="10">
        <f>(co2e_g_kwh!E28)/1000000000000</f>
        <v>0.55945449560000149</v>
      </c>
      <c r="J28" s="10">
        <f>(co2e_g_kwh!H28)/1000000000000</f>
        <v>0.60694740828000382</v>
      </c>
      <c r="K28" s="20">
        <f t="shared" si="1"/>
        <v>1.1664019038800053</v>
      </c>
      <c r="L28" s="21">
        <f>(co2e_g_kwh!I28)/1000000000000</f>
        <v>0.57194818149001436</v>
      </c>
      <c r="M28" s="10">
        <f>(co2e_g_kwh!J28)/1000000000000</f>
        <v>0</v>
      </c>
      <c r="N28" s="10">
        <f>(co2e_g_kwh!L28)/1000000000000</f>
        <v>1.2406968000000001E-2</v>
      </c>
      <c r="O28" s="10">
        <f>(co2e_g_kwh!M28)/1000000000000</f>
        <v>1.0334519999999999E-4</v>
      </c>
      <c r="P28" s="22">
        <f t="shared" si="2"/>
        <v>1.2510313200000001E-2</v>
      </c>
      <c r="Q28" s="10">
        <f>(co2e_g_kwh!N28)/1000000000000</f>
        <v>0</v>
      </c>
      <c r="R28" s="10">
        <f>(co2e_g_kwh!O28)/1000000000000</f>
        <v>0</v>
      </c>
      <c r="S28" s="14">
        <f t="shared" si="3"/>
        <v>1.7593559166400199</v>
      </c>
    </row>
    <row r="29" spans="1:19" x14ac:dyDescent="0.3">
      <c r="A29" s="6">
        <v>28</v>
      </c>
      <c r="B29" s="6">
        <v>2002</v>
      </c>
      <c r="C29" s="6">
        <v>4</v>
      </c>
      <c r="D29" s="10">
        <f>(co2e_g_kwh!D29)/1000000000000</f>
        <v>1.872E-4</v>
      </c>
      <c r="E29" s="10">
        <f>(co2e_g_kwh!F29)/1000000000000</f>
        <v>0</v>
      </c>
      <c r="F29" s="10">
        <f>(co2e_g_kwh!G29)/1000000000000</f>
        <v>0</v>
      </c>
      <c r="G29" s="10">
        <f>(co2e_g_kwh!K29)/1000000000000</f>
        <v>1.486708470000005E-2</v>
      </c>
      <c r="H29" s="19">
        <f t="shared" si="0"/>
        <v>1.505428470000005E-2</v>
      </c>
      <c r="I29" s="10">
        <f>(co2e_g_kwh!E29)/1000000000000</f>
        <v>0.45168283159999945</v>
      </c>
      <c r="J29" s="10">
        <f>(co2e_g_kwh!H29)/1000000000000</f>
        <v>0.5543744506199989</v>
      </c>
      <c r="K29" s="20">
        <f t="shared" si="1"/>
        <v>1.0060572822199982</v>
      </c>
      <c r="L29" s="21">
        <f>(co2e_g_kwh!I29)/1000000000000</f>
        <v>0.55728201059999793</v>
      </c>
      <c r="M29" s="10">
        <f>(co2e_g_kwh!J29)/1000000000000</f>
        <v>0</v>
      </c>
      <c r="N29" s="10">
        <f>(co2e_g_kwh!L29)/1000000000000</f>
        <v>1.8984840000000024E-2</v>
      </c>
      <c r="O29" s="10">
        <f>(co2e_g_kwh!M29)/1000000000000</f>
        <v>1.1703074040000005E-3</v>
      </c>
      <c r="P29" s="22">
        <f t="shared" si="2"/>
        <v>2.0155147404000023E-2</v>
      </c>
      <c r="Q29" s="10">
        <f>(co2e_g_kwh!N29)/1000000000000</f>
        <v>0</v>
      </c>
      <c r="R29" s="10">
        <f>(co2e_g_kwh!O29)/1000000000000</f>
        <v>0</v>
      </c>
      <c r="S29" s="14">
        <f t="shared" si="3"/>
        <v>1.5985487249239965</v>
      </c>
    </row>
    <row r="30" spans="1:19" x14ac:dyDescent="0.3">
      <c r="A30" s="6">
        <v>29</v>
      </c>
      <c r="B30" s="6">
        <v>2002</v>
      </c>
      <c r="C30" s="6">
        <v>5</v>
      </c>
      <c r="D30" s="10">
        <f>(co2e_g_kwh!D30)/1000000000000</f>
        <v>1.8911359999999999E-4</v>
      </c>
      <c r="E30" s="10">
        <f>(co2e_g_kwh!F30)/1000000000000</f>
        <v>0</v>
      </c>
      <c r="F30" s="10">
        <f>(co2e_g_kwh!G30)/1000000000000</f>
        <v>0</v>
      </c>
      <c r="G30" s="10">
        <f>(co2e_g_kwh!K30)/1000000000000</f>
        <v>1.7777997380000049E-2</v>
      </c>
      <c r="H30" s="19">
        <f t="shared" si="0"/>
        <v>1.7967110980000048E-2</v>
      </c>
      <c r="I30" s="10">
        <f>(co2e_g_kwh!E30)/1000000000000</f>
        <v>0.40687867220000024</v>
      </c>
      <c r="J30" s="10">
        <f>(co2e_g_kwh!H30)/1000000000000</f>
        <v>0.57297193900199894</v>
      </c>
      <c r="K30" s="20">
        <f t="shared" si="1"/>
        <v>0.97985061120199912</v>
      </c>
      <c r="L30" s="21">
        <f>(co2e_g_kwh!I30)/1000000000000</f>
        <v>0.54820408986000335</v>
      </c>
      <c r="M30" s="10">
        <f>(co2e_g_kwh!J30)/1000000000000</f>
        <v>0</v>
      </c>
      <c r="N30" s="10">
        <f>(co2e_g_kwh!L30)/1000000000000</f>
        <v>2.9217887999999973E-2</v>
      </c>
      <c r="O30" s="10">
        <f>(co2e_g_kwh!M30)/1000000000000</f>
        <v>4.7507039999999983E-4</v>
      </c>
      <c r="P30" s="22">
        <f t="shared" si="2"/>
        <v>2.9692958399999973E-2</v>
      </c>
      <c r="Q30" s="10">
        <f>(co2e_g_kwh!N30)/1000000000000</f>
        <v>0</v>
      </c>
      <c r="R30" s="10">
        <f>(co2e_g_kwh!O30)/1000000000000</f>
        <v>0</v>
      </c>
      <c r="S30" s="14">
        <f t="shared" si="3"/>
        <v>1.5757147704420027</v>
      </c>
    </row>
    <row r="31" spans="1:19" x14ac:dyDescent="0.3">
      <c r="A31" s="6">
        <v>30</v>
      </c>
      <c r="B31" s="6">
        <v>2002</v>
      </c>
      <c r="C31" s="6">
        <v>6</v>
      </c>
      <c r="D31" s="10">
        <f>(co2e_g_kwh!D31)/1000000000000</f>
        <v>1.709084E-4</v>
      </c>
      <c r="E31" s="10">
        <f>(co2e_g_kwh!F31)/1000000000000</f>
        <v>0</v>
      </c>
      <c r="F31" s="10">
        <f>(co2e_g_kwh!G31)/1000000000000</f>
        <v>0</v>
      </c>
      <c r="G31" s="10">
        <f>(co2e_g_kwh!K31)/1000000000000</f>
        <v>1.6966946490000002E-2</v>
      </c>
      <c r="H31" s="19">
        <f t="shared" si="0"/>
        <v>1.7137854890000002E-2</v>
      </c>
      <c r="I31" s="10">
        <f>(co2e_g_kwh!E31)/1000000000000</f>
        <v>0.43616943370000011</v>
      </c>
      <c r="J31" s="10">
        <f>(co2e_g_kwh!H31)/1000000000000</f>
        <v>0.47503800177660105</v>
      </c>
      <c r="K31" s="20">
        <f t="shared" si="1"/>
        <v>0.9112074354766011</v>
      </c>
      <c r="L31" s="21">
        <f>(co2e_g_kwh!I31)/1000000000000</f>
        <v>0.52838633043000494</v>
      </c>
      <c r="M31" s="10">
        <f>(co2e_g_kwh!J31)/1000000000000</f>
        <v>0</v>
      </c>
      <c r="N31" s="10">
        <f>(co2e_g_kwh!L31)/1000000000000</f>
        <v>3.2423747999999995E-2</v>
      </c>
      <c r="O31" s="10">
        <f>(co2e_g_kwh!M31)/1000000000000</f>
        <v>4.8752760000000001E-4</v>
      </c>
      <c r="P31" s="22">
        <f t="shared" si="2"/>
        <v>3.2911275599999998E-2</v>
      </c>
      <c r="Q31" s="10">
        <f>(co2e_g_kwh!N31)/1000000000000</f>
        <v>0</v>
      </c>
      <c r="R31" s="10">
        <f>(co2e_g_kwh!O31)/1000000000000</f>
        <v>0</v>
      </c>
      <c r="S31" s="14">
        <f t="shared" si="3"/>
        <v>1.4896428963966062</v>
      </c>
    </row>
    <row r="32" spans="1:19" x14ac:dyDescent="0.3">
      <c r="A32" s="6">
        <v>31</v>
      </c>
      <c r="B32" s="6">
        <v>2002</v>
      </c>
      <c r="C32" s="6">
        <v>7</v>
      </c>
      <c r="D32" s="10">
        <f>(co2e_g_kwh!D32)/1000000000000</f>
        <v>1.150656E-4</v>
      </c>
      <c r="E32" s="10">
        <f>(co2e_g_kwh!F32)/1000000000000</f>
        <v>0</v>
      </c>
      <c r="F32" s="10">
        <f>(co2e_g_kwh!G32)/1000000000000</f>
        <v>0</v>
      </c>
      <c r="G32" s="10">
        <f>(co2e_g_kwh!K32)/1000000000000</f>
        <v>1.5781642369999963E-2</v>
      </c>
      <c r="H32" s="19">
        <f t="shared" si="0"/>
        <v>1.5896707969999962E-2</v>
      </c>
      <c r="I32" s="10">
        <f>(co2e_g_kwh!E32)/1000000000000</f>
        <v>0.43476443010000221</v>
      </c>
      <c r="J32" s="10">
        <f>(co2e_g_kwh!H32)/1000000000000</f>
        <v>0.45440852450399538</v>
      </c>
      <c r="K32" s="20">
        <f t="shared" si="1"/>
        <v>0.88917295460399759</v>
      </c>
      <c r="L32" s="21">
        <f>(co2e_g_kwh!I32)/1000000000000</f>
        <v>0.54822423537000564</v>
      </c>
      <c r="M32" s="10">
        <f>(co2e_g_kwh!J32)/1000000000000</f>
        <v>0</v>
      </c>
      <c r="N32" s="10">
        <f>(co2e_g_kwh!L32)/1000000000000</f>
        <v>3.1557976799999971E-2</v>
      </c>
      <c r="O32" s="10">
        <f>(co2e_g_kwh!M32)/1000000000000</f>
        <v>2.8326312000000008E-4</v>
      </c>
      <c r="P32" s="22">
        <f t="shared" si="2"/>
        <v>3.1841239919999972E-2</v>
      </c>
      <c r="Q32" s="10">
        <f>(co2e_g_kwh!N32)/1000000000000</f>
        <v>0</v>
      </c>
      <c r="R32" s="10">
        <f>(co2e_g_kwh!O32)/1000000000000</f>
        <v>0</v>
      </c>
      <c r="S32" s="14">
        <f t="shared" si="3"/>
        <v>1.4851351378640032</v>
      </c>
    </row>
    <row r="33" spans="1:19" x14ac:dyDescent="0.3">
      <c r="A33" s="6">
        <v>32</v>
      </c>
      <c r="B33" s="6">
        <v>2002</v>
      </c>
      <c r="C33" s="6">
        <v>8</v>
      </c>
      <c r="D33" s="10">
        <f>(co2e_g_kwh!D33)/1000000000000</f>
        <v>1.2480000000000001E-5</v>
      </c>
      <c r="E33" s="10">
        <f>(co2e_g_kwh!F33)/1000000000000</f>
        <v>0</v>
      </c>
      <c r="F33" s="10">
        <f>(co2e_g_kwh!G33)/1000000000000</f>
        <v>0</v>
      </c>
      <c r="G33" s="10">
        <f>(co2e_g_kwh!K33)/1000000000000</f>
        <v>1.2528187490000014E-2</v>
      </c>
      <c r="H33" s="19">
        <f t="shared" si="0"/>
        <v>1.2540667490000015E-2</v>
      </c>
      <c r="I33" s="10">
        <f>(co2e_g_kwh!E33)/1000000000000</f>
        <v>0.3526199677000002</v>
      </c>
      <c r="J33" s="10">
        <f>(co2e_g_kwh!H33)/1000000000000</f>
        <v>0.51279030773999834</v>
      </c>
      <c r="K33" s="20">
        <f t="shared" si="1"/>
        <v>0.8654102754399986</v>
      </c>
      <c r="L33" s="21">
        <f>(co2e_g_kwh!I33)/1000000000000</f>
        <v>0.57093714236999804</v>
      </c>
      <c r="M33" s="10">
        <f>(co2e_g_kwh!J33)/1000000000000</f>
        <v>0</v>
      </c>
      <c r="N33" s="10">
        <f>(co2e_g_kwh!L33)/1000000000000</f>
        <v>3.1000283999999972E-2</v>
      </c>
      <c r="O33" s="10">
        <f>(co2e_g_kwh!M33)/1000000000000</f>
        <v>7.9867200000000005E-7</v>
      </c>
      <c r="P33" s="22">
        <f t="shared" si="2"/>
        <v>3.1001082671999972E-2</v>
      </c>
      <c r="Q33" s="10">
        <f>(co2e_g_kwh!N33)/1000000000000</f>
        <v>0</v>
      </c>
      <c r="R33" s="10">
        <f>(co2e_g_kwh!O33)/1000000000000</f>
        <v>0</v>
      </c>
      <c r="S33" s="14">
        <f t="shared" si="3"/>
        <v>1.4798891679719965</v>
      </c>
    </row>
    <row r="34" spans="1:19" x14ac:dyDescent="0.3">
      <c r="A34" s="6">
        <v>33</v>
      </c>
      <c r="B34" s="6">
        <v>2002</v>
      </c>
      <c r="C34" s="6">
        <v>9</v>
      </c>
      <c r="D34" s="10">
        <f>(co2e_g_kwh!D34)/1000000000000</f>
        <v>0</v>
      </c>
      <c r="E34" s="10">
        <f>(co2e_g_kwh!F34)/1000000000000</f>
        <v>0</v>
      </c>
      <c r="F34" s="10">
        <f>(co2e_g_kwh!G34)/1000000000000</f>
        <v>0</v>
      </c>
      <c r="G34" s="10">
        <f>(co2e_g_kwh!K34)/1000000000000</f>
        <v>1.5016432729999994E-2</v>
      </c>
      <c r="H34" s="19">
        <f t="shared" si="0"/>
        <v>1.5016432729999994E-2</v>
      </c>
      <c r="I34" s="10">
        <f>(co2e_g_kwh!E34)/1000000000000</f>
        <v>0.37854616799999907</v>
      </c>
      <c r="J34" s="10">
        <f>(co2e_g_kwh!H34)/1000000000000</f>
        <v>0.48463304724000023</v>
      </c>
      <c r="K34" s="20">
        <f t="shared" si="1"/>
        <v>0.8631792152399993</v>
      </c>
      <c r="L34" s="21">
        <f>(co2e_g_kwh!I34)/1000000000000</f>
        <v>0.54360179390999797</v>
      </c>
      <c r="M34" s="10">
        <f>(co2e_g_kwh!J34)/1000000000000</f>
        <v>0</v>
      </c>
      <c r="N34" s="10">
        <f>(co2e_g_kwh!L34)/1000000000000</f>
        <v>3.0812829599999973E-2</v>
      </c>
      <c r="O34" s="10">
        <f>(co2e_g_kwh!M34)/1000000000000</f>
        <v>6.7621680000000005E-4</v>
      </c>
      <c r="P34" s="22">
        <f t="shared" si="2"/>
        <v>3.148904639999997E-2</v>
      </c>
      <c r="Q34" s="10">
        <f>(co2e_g_kwh!N34)/1000000000000</f>
        <v>0</v>
      </c>
      <c r="R34" s="10">
        <f>(co2e_g_kwh!O34)/1000000000000</f>
        <v>0</v>
      </c>
      <c r="S34" s="14">
        <f t="shared" si="3"/>
        <v>1.4532864882799972</v>
      </c>
    </row>
    <row r="35" spans="1:19" x14ac:dyDescent="0.3">
      <c r="A35" s="6">
        <v>34</v>
      </c>
      <c r="B35" s="6">
        <v>2002</v>
      </c>
      <c r="C35" s="6">
        <v>10</v>
      </c>
      <c r="D35" s="10">
        <f>(co2e_g_kwh!D35)/1000000000000</f>
        <v>1.0344880000000002E-5</v>
      </c>
      <c r="E35" s="10">
        <f>(co2e_g_kwh!F35)/1000000000000</f>
        <v>0</v>
      </c>
      <c r="F35" s="10">
        <f>(co2e_g_kwh!G35)/1000000000000</f>
        <v>0</v>
      </c>
      <c r="G35" s="10">
        <f>(co2e_g_kwh!K35)/1000000000000</f>
        <v>1.54698553100001E-2</v>
      </c>
      <c r="H35" s="19">
        <f t="shared" si="0"/>
        <v>1.54802001900001E-2</v>
      </c>
      <c r="I35" s="10">
        <f>(co2e_g_kwh!E35)/1000000000000</f>
        <v>0.37701684020000054</v>
      </c>
      <c r="J35" s="10">
        <f>(co2e_g_kwh!H35)/1000000000000</f>
        <v>0.42808268847060099</v>
      </c>
      <c r="K35" s="20">
        <f t="shared" si="1"/>
        <v>0.80509952867060153</v>
      </c>
      <c r="L35" s="21">
        <f>(co2e_g_kwh!I35)/1000000000000</f>
        <v>0.6075395220300065</v>
      </c>
      <c r="M35" s="10">
        <f>(co2e_g_kwh!J35)/1000000000000</f>
        <v>0</v>
      </c>
      <c r="N35" s="10">
        <f>(co2e_g_kwh!L35)/1000000000000</f>
        <v>3.2149874400000014E-2</v>
      </c>
      <c r="O35" s="10">
        <f>(co2e_g_kwh!M35)/1000000000000</f>
        <v>1.1899087199999998E-2</v>
      </c>
      <c r="P35" s="22">
        <f t="shared" si="2"/>
        <v>4.4048961600000013E-2</v>
      </c>
      <c r="Q35" s="10">
        <f>(co2e_g_kwh!N35)/1000000000000</f>
        <v>0</v>
      </c>
      <c r="R35" s="10">
        <f>(co2e_g_kwh!O35)/1000000000000</f>
        <v>0</v>
      </c>
      <c r="S35" s="14">
        <f t="shared" si="3"/>
        <v>1.4721682124906079</v>
      </c>
    </row>
    <row r="36" spans="1:19" x14ac:dyDescent="0.3">
      <c r="A36" s="6">
        <v>35</v>
      </c>
      <c r="B36" s="6">
        <v>2002</v>
      </c>
      <c r="C36" s="6">
        <v>11</v>
      </c>
      <c r="D36" s="10">
        <f>(co2e_g_kwh!D36)/1000000000000</f>
        <v>3.7440000000000001E-5</v>
      </c>
      <c r="E36" s="10">
        <f>(co2e_g_kwh!F36)/1000000000000</f>
        <v>0</v>
      </c>
      <c r="F36" s="10">
        <f>(co2e_g_kwh!G36)/1000000000000</f>
        <v>0</v>
      </c>
      <c r="G36" s="10">
        <f>(co2e_g_kwh!K36)/1000000000000</f>
        <v>1.4762152470000078E-2</v>
      </c>
      <c r="H36" s="19">
        <f t="shared" si="0"/>
        <v>1.4799592470000077E-2</v>
      </c>
      <c r="I36" s="10">
        <f>(co2e_g_kwh!E36)/1000000000000</f>
        <v>0.33300196929999976</v>
      </c>
      <c r="J36" s="10">
        <f>(co2e_g_kwh!H36)/1000000000000</f>
        <v>0.29316288852000216</v>
      </c>
      <c r="K36" s="20">
        <f t="shared" si="1"/>
        <v>0.62616485782000186</v>
      </c>
      <c r="L36" s="21">
        <f>(co2e_g_kwh!I36)/1000000000000</f>
        <v>0.58398941202000054</v>
      </c>
      <c r="M36" s="10">
        <f>(co2e_g_kwh!J36)/1000000000000</f>
        <v>0</v>
      </c>
      <c r="N36" s="10">
        <f>(co2e_g_kwh!L36)/1000000000000</f>
        <v>3.265118639999999E-2</v>
      </c>
      <c r="O36" s="10">
        <f>(co2e_g_kwh!M36)/1000000000000</f>
        <v>1.4567271600000001E-2</v>
      </c>
      <c r="P36" s="22">
        <f t="shared" si="2"/>
        <v>4.7218457999999991E-2</v>
      </c>
      <c r="Q36" s="10">
        <f>(co2e_g_kwh!N36)/1000000000000</f>
        <v>0</v>
      </c>
      <c r="R36" s="10">
        <f>(co2e_g_kwh!O36)/1000000000000</f>
        <v>0</v>
      </c>
      <c r="S36" s="14">
        <f t="shared" si="3"/>
        <v>1.2721723203100028</v>
      </c>
    </row>
    <row r="37" spans="1:19" x14ac:dyDescent="0.3">
      <c r="A37" s="6">
        <v>36</v>
      </c>
      <c r="B37" s="6">
        <v>2002</v>
      </c>
      <c r="C37" s="6">
        <v>12</v>
      </c>
      <c r="D37" s="10">
        <f>(co2e_g_kwh!D37)/1000000000000</f>
        <v>9.9673599999999977E-6</v>
      </c>
      <c r="E37" s="10">
        <f>(co2e_g_kwh!F37)/1000000000000</f>
        <v>0</v>
      </c>
      <c r="F37" s="10">
        <f>(co2e_g_kwh!G37)/1000000000000</f>
        <v>0</v>
      </c>
      <c r="G37" s="10">
        <f>(co2e_g_kwh!K37)/1000000000000</f>
        <v>1.6089101340000092E-2</v>
      </c>
      <c r="H37" s="19">
        <f t="shared" si="0"/>
        <v>1.6099068700000094E-2</v>
      </c>
      <c r="I37" s="10">
        <f>(co2e_g_kwh!E37)/1000000000000</f>
        <v>0.36222396210000102</v>
      </c>
      <c r="J37" s="10">
        <f>(co2e_g_kwh!H37)/1000000000000</f>
        <v>0.26981512289999954</v>
      </c>
      <c r="K37" s="20">
        <f t="shared" si="1"/>
        <v>0.63203908500000061</v>
      </c>
      <c r="L37" s="21">
        <f>(co2e_g_kwh!I37)/1000000000000</f>
        <v>0.59279218928999899</v>
      </c>
      <c r="M37" s="10">
        <f>(co2e_g_kwh!J37)/1000000000000</f>
        <v>0</v>
      </c>
      <c r="N37" s="10">
        <f>(co2e_g_kwh!L37)/1000000000000</f>
        <v>2.9648388000000001E-2</v>
      </c>
      <c r="O37" s="10">
        <f>(co2e_g_kwh!M37)/1000000000000</f>
        <v>3.1151609999999989E-2</v>
      </c>
      <c r="P37" s="22">
        <f t="shared" si="2"/>
        <v>6.0799997999999994E-2</v>
      </c>
      <c r="Q37" s="10">
        <f>(co2e_g_kwh!N37)/1000000000000</f>
        <v>0</v>
      </c>
      <c r="R37" s="10">
        <f>(co2e_g_kwh!O37)/1000000000000</f>
        <v>0</v>
      </c>
      <c r="S37" s="14">
        <f t="shared" si="3"/>
        <v>1.3017303409899996</v>
      </c>
    </row>
    <row r="38" spans="1:19" x14ac:dyDescent="0.3">
      <c r="A38" s="6">
        <v>37</v>
      </c>
      <c r="B38" s="6">
        <v>2003</v>
      </c>
      <c r="C38" s="6">
        <v>1</v>
      </c>
      <c r="D38" s="10">
        <f>(co2e_g_kwh!D38)/1000000000000</f>
        <v>2.8844400000000005E-6</v>
      </c>
      <c r="E38" s="10">
        <f>(co2e_g_kwh!F38)/1000000000000</f>
        <v>0</v>
      </c>
      <c r="F38" s="10">
        <f>(co2e_g_kwh!G38)/1000000000000</f>
        <v>0</v>
      </c>
      <c r="G38" s="10">
        <f>(co2e_g_kwh!K38)/1000000000000</f>
        <v>1.5231006960000043E-2</v>
      </c>
      <c r="H38" s="19">
        <f t="shared" si="0"/>
        <v>1.5233891400000043E-2</v>
      </c>
      <c r="I38" s="10">
        <f>(co2e_g_kwh!E38)/1000000000000</f>
        <v>0.36396480119999858</v>
      </c>
      <c r="J38" s="10">
        <f>(co2e_g_kwh!H38)/1000000000000</f>
        <v>0.3357264866400006</v>
      </c>
      <c r="K38" s="20">
        <f t="shared" si="1"/>
        <v>0.69969128783999923</v>
      </c>
      <c r="L38" s="21">
        <f>(co2e_g_kwh!I38)/1000000000000</f>
        <v>0.60041670528000113</v>
      </c>
      <c r="M38" s="10">
        <f>(co2e_g_kwh!J38)/1000000000000</f>
        <v>0</v>
      </c>
      <c r="N38" s="10">
        <f>(co2e_g_kwh!L38)/1000000000000</f>
        <v>1.8653711999999982E-2</v>
      </c>
      <c r="O38" s="10">
        <f>(co2e_g_kwh!M38)/1000000000000</f>
        <v>5.4465600000000002E-5</v>
      </c>
      <c r="P38" s="22">
        <f t="shared" si="2"/>
        <v>1.8708177599999983E-2</v>
      </c>
      <c r="Q38" s="10">
        <f>(co2e_g_kwh!N38)/1000000000000</f>
        <v>0</v>
      </c>
      <c r="R38" s="10">
        <f>(co2e_g_kwh!O38)/1000000000000</f>
        <v>0</v>
      </c>
      <c r="S38" s="14">
        <f t="shared" si="3"/>
        <v>1.3340500621200004</v>
      </c>
    </row>
    <row r="39" spans="1:19" x14ac:dyDescent="0.3">
      <c r="A39" s="6">
        <v>38</v>
      </c>
      <c r="B39" s="6">
        <v>2003</v>
      </c>
      <c r="C39" s="6">
        <v>2</v>
      </c>
      <c r="D39" s="10">
        <f>(co2e_g_kwh!D39)/1000000000000</f>
        <v>0</v>
      </c>
      <c r="E39" s="10">
        <f>(co2e_g_kwh!F39)/1000000000000</f>
        <v>0</v>
      </c>
      <c r="F39" s="10">
        <f>(co2e_g_kwh!G39)/1000000000000</f>
        <v>0</v>
      </c>
      <c r="G39" s="10">
        <f>(co2e_g_kwh!K39)/1000000000000</f>
        <v>1.3858347360000028E-2</v>
      </c>
      <c r="H39" s="19">
        <f t="shared" si="0"/>
        <v>1.3858347360000028E-2</v>
      </c>
      <c r="I39" s="10">
        <f>(co2e_g_kwh!E39)/1000000000000</f>
        <v>0.36931764870000056</v>
      </c>
      <c r="J39" s="10">
        <f>(co2e_g_kwh!H39)/1000000000000</f>
        <v>0.33670150469999965</v>
      </c>
      <c r="K39" s="20">
        <f t="shared" si="1"/>
        <v>0.70601915340000021</v>
      </c>
      <c r="L39" s="21">
        <f>(co2e_g_kwh!I39)/1000000000000</f>
        <v>0.56847296015999993</v>
      </c>
      <c r="M39" s="10">
        <f>(co2e_g_kwh!J39)/1000000000000</f>
        <v>0</v>
      </c>
      <c r="N39" s="10">
        <f>(co2e_g_kwh!L39)/1000000000000</f>
        <v>0</v>
      </c>
      <c r="O39" s="10">
        <f>(co2e_g_kwh!M39)/1000000000000</f>
        <v>1.1613335999999997E-2</v>
      </c>
      <c r="P39" s="22">
        <f t="shared" si="2"/>
        <v>1.1613335999999997E-2</v>
      </c>
      <c r="Q39" s="10">
        <f>(co2e_g_kwh!N39)/1000000000000</f>
        <v>0</v>
      </c>
      <c r="R39" s="10">
        <f>(co2e_g_kwh!O39)/1000000000000</f>
        <v>0</v>
      </c>
      <c r="S39" s="14">
        <f t="shared" si="3"/>
        <v>1.2999637969200002</v>
      </c>
    </row>
    <row r="40" spans="1:19" x14ac:dyDescent="0.3">
      <c r="A40" s="6">
        <v>39</v>
      </c>
      <c r="B40" s="6">
        <v>2003</v>
      </c>
      <c r="C40" s="6">
        <v>3</v>
      </c>
      <c r="D40" s="10">
        <f>(co2e_g_kwh!D40)/1000000000000</f>
        <v>3.0056000000000001E-6</v>
      </c>
      <c r="E40" s="10">
        <f>(co2e_g_kwh!F40)/1000000000000</f>
        <v>0</v>
      </c>
      <c r="F40" s="10">
        <f>(co2e_g_kwh!G40)/1000000000000</f>
        <v>0</v>
      </c>
      <c r="G40" s="10">
        <f>(co2e_g_kwh!K40)/1000000000000</f>
        <v>1.5338503830000145E-2</v>
      </c>
      <c r="H40" s="19">
        <f t="shared" si="0"/>
        <v>1.5341509430000145E-2</v>
      </c>
      <c r="I40" s="10">
        <f>(co2e_g_kwh!E40)/1000000000000</f>
        <v>0.43011348379999964</v>
      </c>
      <c r="J40" s="10">
        <f>(co2e_g_kwh!H40)/1000000000000</f>
        <v>0.29061481482000157</v>
      </c>
      <c r="K40" s="20">
        <f t="shared" si="1"/>
        <v>0.72072829862000121</v>
      </c>
      <c r="L40" s="21">
        <f>(co2e_g_kwh!I40)/1000000000000</f>
        <v>0.60912979470000628</v>
      </c>
      <c r="M40" s="10">
        <f>(co2e_g_kwh!J40)/1000000000000</f>
        <v>0</v>
      </c>
      <c r="N40" s="10">
        <f>(co2e_g_kwh!L40)/1000000000000</f>
        <v>3.9543840000000005E-4</v>
      </c>
      <c r="O40" s="10">
        <f>(co2e_g_kwh!M40)/1000000000000</f>
        <v>1.5621177600000013E-2</v>
      </c>
      <c r="P40" s="22">
        <f t="shared" si="2"/>
        <v>1.6016616000000015E-2</v>
      </c>
      <c r="Q40" s="10">
        <f>(co2e_g_kwh!N40)/1000000000000</f>
        <v>0</v>
      </c>
      <c r="R40" s="10">
        <f>(co2e_g_kwh!O40)/1000000000000</f>
        <v>0</v>
      </c>
      <c r="S40" s="14">
        <f t="shared" si="3"/>
        <v>1.3612162187500076</v>
      </c>
    </row>
    <row r="41" spans="1:19" x14ac:dyDescent="0.3">
      <c r="A41" s="6">
        <v>40</v>
      </c>
      <c r="B41" s="6">
        <v>2003</v>
      </c>
      <c r="C41" s="6">
        <v>4</v>
      </c>
      <c r="D41" s="10">
        <f>(co2e_g_kwh!D41)/1000000000000</f>
        <v>6.2400000000000004E-6</v>
      </c>
      <c r="E41" s="10">
        <f>(co2e_g_kwh!F41)/1000000000000</f>
        <v>0</v>
      </c>
      <c r="F41" s="10">
        <f>(co2e_g_kwh!G41)/1000000000000</f>
        <v>0</v>
      </c>
      <c r="G41" s="10">
        <f>(co2e_g_kwh!K41)/1000000000000</f>
        <v>9.5525918800000269E-3</v>
      </c>
      <c r="H41" s="19">
        <f t="shared" si="0"/>
        <v>9.5588318800000262E-3</v>
      </c>
      <c r="I41" s="10">
        <f>(co2e_g_kwh!E41)/1000000000000</f>
        <v>0.43526903419999946</v>
      </c>
      <c r="J41" s="10">
        <f>(co2e_g_kwh!H41)/1000000000000</f>
        <v>0.3252864339000005</v>
      </c>
      <c r="K41" s="20">
        <f t="shared" si="1"/>
        <v>0.76055546809999997</v>
      </c>
      <c r="L41" s="21">
        <f>(co2e_g_kwh!I41)/1000000000000</f>
        <v>0.59284910126399681</v>
      </c>
      <c r="M41" s="10">
        <f>(co2e_g_kwh!J41)/1000000000000</f>
        <v>0</v>
      </c>
      <c r="N41" s="10">
        <f>(co2e_g_kwh!L41)/1000000000000</f>
        <v>0</v>
      </c>
      <c r="O41" s="10">
        <f>(co2e_g_kwh!M41)/1000000000000</f>
        <v>2.8250039999999996E-4</v>
      </c>
      <c r="P41" s="22">
        <f t="shared" si="2"/>
        <v>2.8250039999999996E-4</v>
      </c>
      <c r="Q41" s="10">
        <f>(co2e_g_kwh!N41)/1000000000000</f>
        <v>0</v>
      </c>
      <c r="R41" s="10">
        <f>(co2e_g_kwh!O41)/1000000000000</f>
        <v>0</v>
      </c>
      <c r="S41" s="14">
        <f t="shared" si="3"/>
        <v>1.3632459016439968</v>
      </c>
    </row>
    <row r="42" spans="1:19" x14ac:dyDescent="0.3">
      <c r="A42" s="6">
        <v>41</v>
      </c>
      <c r="B42" s="6">
        <v>2003</v>
      </c>
      <c r="C42" s="6">
        <v>5</v>
      </c>
      <c r="D42" s="10">
        <f>(co2e_g_kwh!D42)/1000000000000</f>
        <v>0</v>
      </c>
      <c r="E42" s="10">
        <f>(co2e_g_kwh!F42)/1000000000000</f>
        <v>0</v>
      </c>
      <c r="F42" s="10">
        <f>(co2e_g_kwh!G42)/1000000000000</f>
        <v>0</v>
      </c>
      <c r="G42" s="10">
        <f>(co2e_g_kwh!K42)/1000000000000</f>
        <v>1.2775706060000072E-2</v>
      </c>
      <c r="H42" s="19">
        <f t="shared" si="0"/>
        <v>1.2775706060000072E-2</v>
      </c>
      <c r="I42" s="10">
        <f>(co2e_g_kwh!E42)/1000000000000</f>
        <v>0.43669806180000026</v>
      </c>
      <c r="J42" s="10">
        <f>(co2e_g_kwh!H42)/1000000000000</f>
        <v>0.30483802909799951</v>
      </c>
      <c r="K42" s="20">
        <f t="shared" si="1"/>
        <v>0.74153609089799977</v>
      </c>
      <c r="L42" s="21">
        <f>(co2e_g_kwh!I42)/1000000000000</f>
        <v>0.59247621300000952</v>
      </c>
      <c r="M42" s="10">
        <f>(co2e_g_kwh!J42)/1000000000000</f>
        <v>0</v>
      </c>
      <c r="N42" s="10">
        <f>(co2e_g_kwh!L42)/1000000000000</f>
        <v>2.6141640000000004E-3</v>
      </c>
      <c r="O42" s="10">
        <f>(co2e_g_kwh!M42)/1000000000000</f>
        <v>0</v>
      </c>
      <c r="P42" s="22">
        <f t="shared" si="2"/>
        <v>2.6141640000000004E-3</v>
      </c>
      <c r="Q42" s="10">
        <f>(co2e_g_kwh!N42)/1000000000000</f>
        <v>0</v>
      </c>
      <c r="R42" s="10">
        <f>(co2e_g_kwh!O42)/1000000000000</f>
        <v>0</v>
      </c>
      <c r="S42" s="14">
        <f t="shared" si="3"/>
        <v>1.3494021739580091</v>
      </c>
    </row>
    <row r="43" spans="1:19" x14ac:dyDescent="0.3">
      <c r="A43" s="6">
        <v>42</v>
      </c>
      <c r="B43" s="6">
        <v>2003</v>
      </c>
      <c r="C43" s="6">
        <v>6</v>
      </c>
      <c r="D43" s="10">
        <f>(co2e_g_kwh!D43)/1000000000000</f>
        <v>0</v>
      </c>
      <c r="E43" s="10">
        <f>(co2e_g_kwh!F43)/1000000000000</f>
        <v>0</v>
      </c>
      <c r="F43" s="10">
        <f>(co2e_g_kwh!G43)/1000000000000</f>
        <v>0</v>
      </c>
      <c r="G43" s="10">
        <f>(co2e_g_kwh!K43)/1000000000000</f>
        <v>1.7205101420000077E-2</v>
      </c>
      <c r="H43" s="19">
        <f t="shared" si="0"/>
        <v>1.7205101420000077E-2</v>
      </c>
      <c r="I43" s="10">
        <f>(co2e_g_kwh!E43)/1000000000000</f>
        <v>0.42056934920000022</v>
      </c>
      <c r="J43" s="10">
        <f>(co2e_g_kwh!H43)/1000000000000</f>
        <v>0.41403738805199974</v>
      </c>
      <c r="K43" s="20">
        <f t="shared" si="1"/>
        <v>0.83460673725199996</v>
      </c>
      <c r="L43" s="21">
        <f>(co2e_g_kwh!I43)/1000000000000</f>
        <v>0.55654615163699461</v>
      </c>
      <c r="M43" s="10">
        <f>(co2e_g_kwh!J43)/1000000000000</f>
        <v>0</v>
      </c>
      <c r="N43" s="10">
        <f>(co2e_g_kwh!L43)/1000000000000</f>
        <v>0</v>
      </c>
      <c r="O43" s="10">
        <f>(co2e_g_kwh!M43)/1000000000000</f>
        <v>2.3204815199999992E-2</v>
      </c>
      <c r="P43" s="22">
        <f t="shared" si="2"/>
        <v>2.3204815199999992E-2</v>
      </c>
      <c r="Q43" s="10">
        <f>(co2e_g_kwh!N43)/1000000000000</f>
        <v>0</v>
      </c>
      <c r="R43" s="10">
        <f>(co2e_g_kwh!O43)/1000000000000</f>
        <v>0</v>
      </c>
      <c r="S43" s="14">
        <f t="shared" si="3"/>
        <v>1.4315628055089946</v>
      </c>
    </row>
    <row r="44" spans="1:19" x14ac:dyDescent="0.3">
      <c r="A44" s="6">
        <v>43</v>
      </c>
      <c r="B44" s="6">
        <v>2003</v>
      </c>
      <c r="C44" s="6">
        <v>7</v>
      </c>
      <c r="D44" s="10">
        <f>(co2e_g_kwh!D44)/1000000000000</f>
        <v>0</v>
      </c>
      <c r="E44" s="10">
        <f>(co2e_g_kwh!F44)/1000000000000</f>
        <v>0</v>
      </c>
      <c r="F44" s="10">
        <f>(co2e_g_kwh!G44)/1000000000000</f>
        <v>0</v>
      </c>
      <c r="G44" s="10">
        <f>(co2e_g_kwh!K44)/1000000000000</f>
        <v>1.7879017390000009E-2</v>
      </c>
      <c r="H44" s="19">
        <f t="shared" si="0"/>
        <v>1.7879017390000009E-2</v>
      </c>
      <c r="I44" s="10">
        <f>(co2e_g_kwh!E44)/1000000000000</f>
        <v>0.45203137980000008</v>
      </c>
      <c r="J44" s="10">
        <f>(co2e_g_kwh!H44)/1000000000000</f>
        <v>0.40459018859999851</v>
      </c>
      <c r="K44" s="20">
        <f t="shared" si="1"/>
        <v>0.85662156839999859</v>
      </c>
      <c r="L44" s="21">
        <f>(co2e_g_kwh!I44)/1000000000000</f>
        <v>0.57611893457999663</v>
      </c>
      <c r="M44" s="10">
        <f>(co2e_g_kwh!J44)/1000000000000</f>
        <v>0</v>
      </c>
      <c r="N44" s="10">
        <f>(co2e_g_kwh!L44)/1000000000000</f>
        <v>2.1057959999999996E-3</v>
      </c>
      <c r="O44" s="10">
        <f>(co2e_g_kwh!M44)/1000000000000</f>
        <v>1.6808651999999998E-3</v>
      </c>
      <c r="P44" s="22">
        <f t="shared" si="2"/>
        <v>3.7866611999999994E-3</v>
      </c>
      <c r="Q44" s="10">
        <f>(co2e_g_kwh!N44)/1000000000000</f>
        <v>0</v>
      </c>
      <c r="R44" s="10">
        <f>(co2e_g_kwh!O44)/1000000000000</f>
        <v>0</v>
      </c>
      <c r="S44" s="14">
        <f t="shared" si="3"/>
        <v>1.4544061815699951</v>
      </c>
    </row>
    <row r="45" spans="1:19" x14ac:dyDescent="0.3">
      <c r="A45" s="6">
        <v>44</v>
      </c>
      <c r="B45" s="6">
        <v>2003</v>
      </c>
      <c r="C45" s="6">
        <v>8</v>
      </c>
      <c r="D45" s="10">
        <f>(co2e_g_kwh!D45)/1000000000000</f>
        <v>0</v>
      </c>
      <c r="E45" s="10">
        <f>(co2e_g_kwh!F45)/1000000000000</f>
        <v>0</v>
      </c>
      <c r="F45" s="10">
        <f>(co2e_g_kwh!G45)/1000000000000</f>
        <v>0</v>
      </c>
      <c r="G45" s="10">
        <f>(co2e_g_kwh!K45)/1000000000000</f>
        <v>1.4148860570000046E-2</v>
      </c>
      <c r="H45" s="19">
        <f t="shared" si="0"/>
        <v>1.4148860570000046E-2</v>
      </c>
      <c r="I45" s="10">
        <f>(co2e_g_kwh!E45)/1000000000000</f>
        <v>0.43710516850000142</v>
      </c>
      <c r="J45" s="10">
        <f>(co2e_g_kwh!H45)/1000000000000</f>
        <v>0.41402983464000059</v>
      </c>
      <c r="K45" s="20">
        <f t="shared" si="1"/>
        <v>0.85113500314000201</v>
      </c>
      <c r="L45" s="21">
        <f>(co2e_g_kwh!I45)/1000000000000</f>
        <v>0.58317191814001013</v>
      </c>
      <c r="M45" s="10">
        <f>(co2e_g_kwh!J45)/1000000000000</f>
        <v>0</v>
      </c>
      <c r="N45" s="10">
        <f>(co2e_g_kwh!L45)/1000000000000</f>
        <v>0</v>
      </c>
      <c r="O45" s="10">
        <f>(co2e_g_kwh!M45)/1000000000000</f>
        <v>9.6470639999999999E-4</v>
      </c>
      <c r="P45" s="22">
        <f t="shared" si="2"/>
        <v>9.6470639999999999E-4</v>
      </c>
      <c r="Q45" s="10">
        <f>(co2e_g_kwh!N45)/1000000000000</f>
        <v>0</v>
      </c>
      <c r="R45" s="10">
        <f>(co2e_g_kwh!O45)/1000000000000</f>
        <v>0</v>
      </c>
      <c r="S45" s="14">
        <f t="shared" si="3"/>
        <v>1.4494204882500121</v>
      </c>
    </row>
    <row r="46" spans="1:19" x14ac:dyDescent="0.3">
      <c r="A46" s="6">
        <v>45</v>
      </c>
      <c r="B46" s="6">
        <v>2003</v>
      </c>
      <c r="C46" s="6">
        <v>9</v>
      </c>
      <c r="D46" s="10">
        <f>(co2e_g_kwh!D46)/1000000000000</f>
        <v>0</v>
      </c>
      <c r="E46" s="10">
        <f>(co2e_g_kwh!F46)/1000000000000</f>
        <v>0</v>
      </c>
      <c r="F46" s="10">
        <f>(co2e_g_kwh!G46)/1000000000000</f>
        <v>0</v>
      </c>
      <c r="G46" s="10">
        <f>(co2e_g_kwh!K46)/1000000000000</f>
        <v>1.2710026680000014E-2</v>
      </c>
      <c r="H46" s="19">
        <f t="shared" si="0"/>
        <v>1.2710026680000014E-2</v>
      </c>
      <c r="I46" s="10">
        <f>(co2e_g_kwh!E46)/1000000000000</f>
        <v>0.43978599664999996</v>
      </c>
      <c r="J46" s="10">
        <f>(co2e_g_kwh!H46)/1000000000000</f>
        <v>0.31807203606000023</v>
      </c>
      <c r="K46" s="20">
        <f t="shared" si="1"/>
        <v>0.75785803271000018</v>
      </c>
      <c r="L46" s="21">
        <f>(co2e_g_kwh!I46)/1000000000000</f>
        <v>0.58810703175000856</v>
      </c>
      <c r="M46" s="10">
        <f>(co2e_g_kwh!J46)/1000000000000</f>
        <v>0</v>
      </c>
      <c r="N46" s="10">
        <f>(co2e_g_kwh!L46)/1000000000000</f>
        <v>2.2545600000000001E-3</v>
      </c>
      <c r="O46" s="10">
        <f>(co2e_g_kwh!M46)/1000000000000</f>
        <v>9.1643076000000011E-3</v>
      </c>
      <c r="P46" s="22">
        <f t="shared" si="2"/>
        <v>1.14188676E-2</v>
      </c>
      <c r="Q46" s="10">
        <f>(co2e_g_kwh!N46)/1000000000000</f>
        <v>0</v>
      </c>
      <c r="R46" s="10">
        <f>(co2e_g_kwh!O46)/1000000000000</f>
        <v>0</v>
      </c>
      <c r="S46" s="14">
        <f t="shared" si="3"/>
        <v>1.3700939587400087</v>
      </c>
    </row>
    <row r="47" spans="1:19" x14ac:dyDescent="0.3">
      <c r="A47" s="6">
        <v>46</v>
      </c>
      <c r="B47" s="6">
        <v>2003</v>
      </c>
      <c r="C47" s="6">
        <v>10</v>
      </c>
      <c r="D47" s="10">
        <f>(co2e_g_kwh!D47)/1000000000000</f>
        <v>0</v>
      </c>
      <c r="E47" s="10">
        <f>(co2e_g_kwh!F47)/1000000000000</f>
        <v>0</v>
      </c>
      <c r="F47" s="10">
        <f>(co2e_g_kwh!G47)/1000000000000</f>
        <v>0</v>
      </c>
      <c r="G47" s="10">
        <f>(co2e_g_kwh!K47)/1000000000000</f>
        <v>1.0711790569999992E-2</v>
      </c>
      <c r="H47" s="19">
        <f t="shared" si="0"/>
        <v>1.0711790569999992E-2</v>
      </c>
      <c r="I47" s="10">
        <f>(co2e_g_kwh!E47)/1000000000000</f>
        <v>0.46033300313000025</v>
      </c>
      <c r="J47" s="10">
        <f>(co2e_g_kwh!H47)/1000000000000</f>
        <v>0.46445230062000137</v>
      </c>
      <c r="K47" s="20">
        <f t="shared" si="1"/>
        <v>0.92478530375000156</v>
      </c>
      <c r="L47" s="21">
        <f>(co2e_g_kwh!I47)/1000000000000</f>
        <v>0.61793961390000196</v>
      </c>
      <c r="M47" s="10">
        <f>(co2e_g_kwh!J47)/1000000000000</f>
        <v>0</v>
      </c>
      <c r="N47" s="10">
        <f>(co2e_g_kwh!L47)/1000000000000</f>
        <v>0</v>
      </c>
      <c r="O47" s="10">
        <f>(co2e_g_kwh!M47)/1000000000000</f>
        <v>6.9385646400000001E-2</v>
      </c>
      <c r="P47" s="22">
        <f t="shared" si="2"/>
        <v>6.9385646400000001E-2</v>
      </c>
      <c r="Q47" s="10">
        <f>(co2e_g_kwh!N47)/1000000000000</f>
        <v>0</v>
      </c>
      <c r="R47" s="10">
        <f>(co2e_g_kwh!O47)/1000000000000</f>
        <v>0</v>
      </c>
      <c r="S47" s="14">
        <f t="shared" si="3"/>
        <v>1.6228223546200036</v>
      </c>
    </row>
    <row r="48" spans="1:19" x14ac:dyDescent="0.3">
      <c r="A48" s="6">
        <v>47</v>
      </c>
      <c r="B48" s="6">
        <v>2003</v>
      </c>
      <c r="C48" s="6">
        <v>11</v>
      </c>
      <c r="D48" s="10">
        <f>(co2e_g_kwh!D48)/1000000000000</f>
        <v>5.3918800000000003E-6</v>
      </c>
      <c r="E48" s="10">
        <f>(co2e_g_kwh!F48)/1000000000000</f>
        <v>0</v>
      </c>
      <c r="F48" s="10">
        <f>(co2e_g_kwh!G48)/1000000000000</f>
        <v>0</v>
      </c>
      <c r="G48" s="10">
        <f>(co2e_g_kwh!K48)/1000000000000</f>
        <v>1.5955825796299991E-2</v>
      </c>
      <c r="H48" s="19">
        <f t="shared" si="0"/>
        <v>1.5961217676299991E-2</v>
      </c>
      <c r="I48" s="10">
        <f>(co2e_g_kwh!E48)/1000000000000</f>
        <v>0.51009324366000131</v>
      </c>
      <c r="J48" s="10">
        <f>(co2e_g_kwh!H48)/1000000000000</f>
        <v>0.56794854726000199</v>
      </c>
      <c r="K48" s="20">
        <f t="shared" si="1"/>
        <v>1.0780417909200033</v>
      </c>
      <c r="L48" s="21">
        <f>(co2e_g_kwh!I48)/1000000000000</f>
        <v>0.58675054641000524</v>
      </c>
      <c r="M48" s="10">
        <f>(co2e_g_kwh!J48)/1000000000000</f>
        <v>0</v>
      </c>
      <c r="N48" s="10">
        <f>(co2e_g_kwh!L48)/1000000000000</f>
        <v>2.9632679999999994E-3</v>
      </c>
      <c r="O48" s="10">
        <f>(co2e_g_kwh!M48)/1000000000000</f>
        <v>2.8446448800000006E-2</v>
      </c>
      <c r="P48" s="22">
        <f t="shared" si="2"/>
        <v>3.1409716800000008E-2</v>
      </c>
      <c r="Q48" s="10">
        <f>(co2e_g_kwh!N48)/1000000000000</f>
        <v>0</v>
      </c>
      <c r="R48" s="10">
        <f>(co2e_g_kwh!O48)/1000000000000</f>
        <v>0</v>
      </c>
      <c r="S48" s="14">
        <f t="shared" si="3"/>
        <v>1.7121632718063087</v>
      </c>
    </row>
    <row r="49" spans="1:19" x14ac:dyDescent="0.3">
      <c r="A49" s="6">
        <v>48</v>
      </c>
      <c r="B49" s="6">
        <v>2003</v>
      </c>
      <c r="C49" s="6">
        <v>12</v>
      </c>
      <c r="D49" s="10">
        <f>(co2e_g_kwh!D49)/1000000000000</f>
        <v>1.419288E-5</v>
      </c>
      <c r="E49" s="10">
        <f>(co2e_g_kwh!F49)/1000000000000</f>
        <v>0</v>
      </c>
      <c r="F49" s="10">
        <f>(co2e_g_kwh!G49)/1000000000000</f>
        <v>0</v>
      </c>
      <c r="G49" s="10">
        <f>(co2e_g_kwh!K49)/1000000000000</f>
        <v>1.8012726679999827E-2</v>
      </c>
      <c r="H49" s="19">
        <f t="shared" si="0"/>
        <v>1.8026919559999827E-2</v>
      </c>
      <c r="I49" s="10">
        <f>(co2e_g_kwh!E49)/1000000000000</f>
        <v>0.48899849999000061</v>
      </c>
      <c r="J49" s="10">
        <f>(co2e_g_kwh!H49)/1000000000000</f>
        <v>0.60040667934000136</v>
      </c>
      <c r="K49" s="20">
        <f t="shared" si="1"/>
        <v>1.0894051793300019</v>
      </c>
      <c r="L49" s="21">
        <f>(co2e_g_kwh!I49)/1000000000000</f>
        <v>0.60051631751999612</v>
      </c>
      <c r="M49" s="10">
        <f>(co2e_g_kwh!J49)/1000000000000</f>
        <v>0</v>
      </c>
      <c r="N49" s="10">
        <f>(co2e_g_kwh!L49)/1000000000000</f>
        <v>1.6929847199999994E-2</v>
      </c>
      <c r="O49" s="10">
        <f>(co2e_g_kwh!M49)/1000000000000</f>
        <v>1.7835249600000009E-2</v>
      </c>
      <c r="P49" s="22">
        <f t="shared" si="2"/>
        <v>3.4765096800000006E-2</v>
      </c>
      <c r="Q49" s="10">
        <f>(co2e_g_kwh!N49)/1000000000000</f>
        <v>0</v>
      </c>
      <c r="R49" s="10">
        <f>(co2e_g_kwh!O49)/1000000000000</f>
        <v>0</v>
      </c>
      <c r="S49" s="14">
        <f t="shared" si="3"/>
        <v>1.7427135132099978</v>
      </c>
    </row>
    <row r="50" spans="1:19" x14ac:dyDescent="0.3">
      <c r="A50" s="6">
        <v>49</v>
      </c>
      <c r="B50" s="6">
        <v>2004</v>
      </c>
      <c r="C50" s="6">
        <v>1</v>
      </c>
      <c r="D50" s="10">
        <f>(co2e_g_kwh!D50)/1000000000000</f>
        <v>0</v>
      </c>
      <c r="E50" s="10">
        <f>(co2e_g_kwh!F50)/1000000000000</f>
        <v>0</v>
      </c>
      <c r="F50" s="10">
        <f>(co2e_g_kwh!G50)/1000000000000</f>
        <v>0</v>
      </c>
      <c r="G50" s="10">
        <f>(co2e_g_kwh!K50)/1000000000000</f>
        <v>1.7676829299999936E-2</v>
      </c>
      <c r="H50" s="19">
        <f t="shared" si="0"/>
        <v>1.7676829299999936E-2</v>
      </c>
      <c r="I50" s="10">
        <f>(co2e_g_kwh!E50)/1000000000000</f>
        <v>0.51828473696999977</v>
      </c>
      <c r="J50" s="10">
        <f>(co2e_g_kwh!H50)/1000000000000</f>
        <v>0.60343659287999907</v>
      </c>
      <c r="K50" s="20">
        <f t="shared" si="1"/>
        <v>1.1217213298499988</v>
      </c>
      <c r="L50" s="21">
        <f>(co2e_g_kwh!I50)/1000000000000</f>
        <v>0.58924338690000266</v>
      </c>
      <c r="M50" s="10">
        <f>(co2e_g_kwh!J50)/1000000000000</f>
        <v>0</v>
      </c>
      <c r="N50" s="10">
        <f>(co2e_g_kwh!L50)/1000000000000</f>
        <v>7.7493979920000164E-2</v>
      </c>
      <c r="O50" s="10">
        <f>(co2e_g_kwh!M50)/1000000000000</f>
        <v>0.1601807423999993</v>
      </c>
      <c r="P50" s="22">
        <f t="shared" si="2"/>
        <v>0.23767472231999948</v>
      </c>
      <c r="Q50" s="10">
        <f>(co2e_g_kwh!N50)/1000000000000</f>
        <v>0</v>
      </c>
      <c r="R50" s="10">
        <f>(co2e_g_kwh!O50)/1000000000000</f>
        <v>0</v>
      </c>
      <c r="S50" s="14">
        <f t="shared" si="3"/>
        <v>1.9663162683700008</v>
      </c>
    </row>
    <row r="51" spans="1:19" x14ac:dyDescent="0.3">
      <c r="A51" s="6">
        <v>50</v>
      </c>
      <c r="B51" s="6">
        <v>2004</v>
      </c>
      <c r="C51" s="6">
        <v>2</v>
      </c>
      <c r="D51" s="10">
        <f>(co2e_g_kwh!D51)/1000000000000</f>
        <v>0</v>
      </c>
      <c r="E51" s="10">
        <f>(co2e_g_kwh!F51)/1000000000000</f>
        <v>0</v>
      </c>
      <c r="F51" s="10">
        <f>(co2e_g_kwh!G51)/1000000000000</f>
        <v>0</v>
      </c>
      <c r="G51" s="10">
        <f>(co2e_g_kwh!K51)/1000000000000</f>
        <v>1.480651172E-2</v>
      </c>
      <c r="H51" s="19">
        <f t="shared" si="0"/>
        <v>1.480651172E-2</v>
      </c>
      <c r="I51" s="10">
        <f>(co2e_g_kwh!E51)/1000000000000</f>
        <v>0.47021971997000084</v>
      </c>
      <c r="J51" s="10">
        <f>(co2e_g_kwh!H51)/1000000000000</f>
        <v>0.52884836010000003</v>
      </c>
      <c r="K51" s="20">
        <f t="shared" si="1"/>
        <v>0.99906808007000092</v>
      </c>
      <c r="L51" s="21">
        <f>(co2e_g_kwh!I51)/1000000000000</f>
        <v>0.57011443104000215</v>
      </c>
      <c r="M51" s="10">
        <f>(co2e_g_kwh!J51)/1000000000000</f>
        <v>0</v>
      </c>
      <c r="N51" s="10">
        <f>(co2e_g_kwh!L51)/1000000000000</f>
        <v>3.4702584000000009E-3</v>
      </c>
      <c r="O51" s="10">
        <f>(co2e_g_kwh!M51)/1000000000000</f>
        <v>3.2805519599999958E-2</v>
      </c>
      <c r="P51" s="22">
        <f t="shared" si="2"/>
        <v>3.627577799999996E-2</v>
      </c>
      <c r="Q51" s="10">
        <f>(co2e_g_kwh!N51)/1000000000000</f>
        <v>0</v>
      </c>
      <c r="R51" s="10">
        <f>(co2e_g_kwh!O51)/1000000000000</f>
        <v>0</v>
      </c>
      <c r="S51" s="14">
        <f t="shared" si="3"/>
        <v>1.6202648008300029</v>
      </c>
    </row>
    <row r="52" spans="1:19" x14ac:dyDescent="0.3">
      <c r="A52" s="6">
        <v>51</v>
      </c>
      <c r="B52" s="6">
        <v>2004</v>
      </c>
      <c r="C52" s="6">
        <v>3</v>
      </c>
      <c r="D52" s="10">
        <f>(co2e_g_kwh!D52)/1000000000000</f>
        <v>0</v>
      </c>
      <c r="E52" s="10">
        <f>(co2e_g_kwh!F52)/1000000000000</f>
        <v>0</v>
      </c>
      <c r="F52" s="10">
        <f>(co2e_g_kwh!G52)/1000000000000</f>
        <v>0</v>
      </c>
      <c r="G52" s="10">
        <f>(co2e_g_kwh!K52)/1000000000000</f>
        <v>9.4989103299999832E-3</v>
      </c>
      <c r="H52" s="19">
        <f t="shared" si="0"/>
        <v>9.4989103299999832E-3</v>
      </c>
      <c r="I52" s="10">
        <f>(co2e_g_kwh!E52)/1000000000000</f>
        <v>0.44658708094000177</v>
      </c>
      <c r="J52" s="10">
        <f>(co2e_g_kwh!H52)/1000000000000</f>
        <v>0.57623252427719884</v>
      </c>
      <c r="K52" s="20">
        <f t="shared" si="1"/>
        <v>1.0228196052172005</v>
      </c>
      <c r="L52" s="21">
        <f>(co2e_g_kwh!I52)/1000000000000</f>
        <v>0.64096448408999251</v>
      </c>
      <c r="M52" s="10">
        <f>(co2e_g_kwh!J52)/1000000000000</f>
        <v>0</v>
      </c>
      <c r="N52" s="10">
        <f>(co2e_g_kwh!L52)/1000000000000</f>
        <v>0</v>
      </c>
      <c r="O52" s="10">
        <f>(co2e_g_kwh!M52)/1000000000000</f>
        <v>4.8761269199999978E-2</v>
      </c>
      <c r="P52" s="22">
        <f t="shared" si="2"/>
        <v>4.8761269199999978E-2</v>
      </c>
      <c r="Q52" s="10">
        <f>(co2e_g_kwh!N52)/1000000000000</f>
        <v>0</v>
      </c>
      <c r="R52" s="10">
        <f>(co2e_g_kwh!O52)/1000000000000</f>
        <v>0</v>
      </c>
      <c r="S52" s="14">
        <f t="shared" si="3"/>
        <v>1.7220442688371929</v>
      </c>
    </row>
    <row r="53" spans="1:19" x14ac:dyDescent="0.3">
      <c r="A53" s="6">
        <v>52</v>
      </c>
      <c r="B53" s="6">
        <v>2004</v>
      </c>
      <c r="C53" s="6">
        <v>4</v>
      </c>
      <c r="D53" s="10">
        <f>(co2e_g_kwh!D53)/1000000000000</f>
        <v>0</v>
      </c>
      <c r="E53" s="10">
        <f>(co2e_g_kwh!F53)/1000000000000</f>
        <v>0</v>
      </c>
      <c r="F53" s="10">
        <f>(co2e_g_kwh!G53)/1000000000000</f>
        <v>0</v>
      </c>
      <c r="G53" s="10">
        <f>(co2e_g_kwh!K53)/1000000000000</f>
        <v>1.163662967999997E-2</v>
      </c>
      <c r="H53" s="19">
        <f t="shared" si="0"/>
        <v>1.163662967999997E-2</v>
      </c>
      <c r="I53" s="10">
        <f>(co2e_g_kwh!E53)/1000000000000</f>
        <v>0.50753141438999971</v>
      </c>
      <c r="J53" s="10">
        <f>(co2e_g_kwh!H53)/1000000000000</f>
        <v>0.62872961723999599</v>
      </c>
      <c r="K53" s="20">
        <f t="shared" si="1"/>
        <v>1.1362610316299957</v>
      </c>
      <c r="L53" s="21">
        <f>(co2e_g_kwh!I53)/1000000000000</f>
        <v>0.60750035744999453</v>
      </c>
      <c r="M53" s="10">
        <f>(co2e_g_kwh!J53)/1000000000000</f>
        <v>0</v>
      </c>
      <c r="N53" s="10">
        <f>(co2e_g_kwh!L53)/1000000000000</f>
        <v>4.2726852000000001E-3</v>
      </c>
      <c r="O53" s="10">
        <f>(co2e_g_kwh!M53)/1000000000000</f>
        <v>5.2271587199999955E-2</v>
      </c>
      <c r="P53" s="22">
        <f t="shared" si="2"/>
        <v>5.6544272399999956E-2</v>
      </c>
      <c r="Q53" s="10">
        <f>(co2e_g_kwh!N53)/1000000000000</f>
        <v>0</v>
      </c>
      <c r="R53" s="10">
        <f>(co2e_g_kwh!O53)/1000000000000</f>
        <v>0</v>
      </c>
      <c r="S53" s="14">
        <f t="shared" si="3"/>
        <v>1.8119422911599898</v>
      </c>
    </row>
    <row r="54" spans="1:19" x14ac:dyDescent="0.3">
      <c r="A54" s="6">
        <v>53</v>
      </c>
      <c r="B54" s="6">
        <v>2004</v>
      </c>
      <c r="C54" s="6">
        <v>5</v>
      </c>
      <c r="D54" s="10">
        <f>(co2e_g_kwh!D54)/1000000000000</f>
        <v>0</v>
      </c>
      <c r="E54" s="10">
        <f>(co2e_g_kwh!F54)/1000000000000</f>
        <v>0</v>
      </c>
      <c r="F54" s="10">
        <f>(co2e_g_kwh!G54)/1000000000000</f>
        <v>0</v>
      </c>
      <c r="G54" s="10">
        <f>(co2e_g_kwh!K54)/1000000000000</f>
        <v>9.0796310799999957E-3</v>
      </c>
      <c r="H54" s="19">
        <f t="shared" si="0"/>
        <v>9.0796310799999957E-3</v>
      </c>
      <c r="I54" s="10">
        <f>(co2e_g_kwh!E54)/1000000000000</f>
        <v>0.61923282421000059</v>
      </c>
      <c r="J54" s="10">
        <f>(co2e_g_kwh!H54)/1000000000000</f>
        <v>0.46173054510000006</v>
      </c>
      <c r="K54" s="20">
        <f t="shared" si="1"/>
        <v>1.0809633693100007</v>
      </c>
      <c r="L54" s="21">
        <f>(co2e_g_kwh!I54)/1000000000000</f>
        <v>0.62312025342000588</v>
      </c>
      <c r="M54" s="10">
        <f>(co2e_g_kwh!J54)/1000000000000</f>
        <v>0</v>
      </c>
      <c r="N54" s="10">
        <f>(co2e_g_kwh!L54)/1000000000000</f>
        <v>0</v>
      </c>
      <c r="O54" s="10">
        <f>(co2e_g_kwh!M54)/1000000000000</f>
        <v>9.5792146799999894E-2</v>
      </c>
      <c r="P54" s="22">
        <f t="shared" si="2"/>
        <v>9.5792146799999894E-2</v>
      </c>
      <c r="Q54" s="10">
        <f>(co2e_g_kwh!N54)/1000000000000</f>
        <v>0</v>
      </c>
      <c r="R54" s="10">
        <f>(co2e_g_kwh!O54)/1000000000000</f>
        <v>0</v>
      </c>
      <c r="S54" s="14">
        <f t="shared" si="3"/>
        <v>1.8089554006100064</v>
      </c>
    </row>
    <row r="55" spans="1:19" x14ac:dyDescent="0.3">
      <c r="A55" s="6">
        <v>54</v>
      </c>
      <c r="B55" s="6">
        <v>2004</v>
      </c>
      <c r="C55" s="6">
        <v>6</v>
      </c>
      <c r="D55" s="10">
        <f>(co2e_g_kwh!D55)/1000000000000</f>
        <v>4.0040000000000001E-6</v>
      </c>
      <c r="E55" s="10">
        <f>(co2e_g_kwh!F55)/1000000000000</f>
        <v>0</v>
      </c>
      <c r="F55" s="10">
        <f>(co2e_g_kwh!G55)/1000000000000</f>
        <v>0</v>
      </c>
      <c r="G55" s="10">
        <f>(co2e_g_kwh!K55)/1000000000000</f>
        <v>1.1545949220000002E-2</v>
      </c>
      <c r="H55" s="19">
        <f t="shared" si="0"/>
        <v>1.1549953220000003E-2</v>
      </c>
      <c r="I55" s="10">
        <f>(co2e_g_kwh!E55)/1000000000000</f>
        <v>0.6541252617899983</v>
      </c>
      <c r="J55" s="10">
        <f>(co2e_g_kwh!H55)/1000000000000</f>
        <v>0.48719803082399971</v>
      </c>
      <c r="K55" s="20">
        <f t="shared" si="1"/>
        <v>1.141323292613998</v>
      </c>
      <c r="L55" s="21">
        <f>(co2e_g_kwh!I55)/1000000000000</f>
        <v>0.59527594287000096</v>
      </c>
      <c r="M55" s="10">
        <f>(co2e_g_kwh!J55)/1000000000000</f>
        <v>0</v>
      </c>
      <c r="N55" s="10">
        <f>(co2e_g_kwh!L55)/1000000000000</f>
        <v>2.8177800000000011E-3</v>
      </c>
      <c r="O55" s="10">
        <f>(co2e_g_kwh!M55)/1000000000000</f>
        <v>7.5081190799999961E-2</v>
      </c>
      <c r="P55" s="22">
        <f t="shared" si="2"/>
        <v>7.7898970799999967E-2</v>
      </c>
      <c r="Q55" s="10">
        <f>(co2e_g_kwh!N55)/1000000000000</f>
        <v>0</v>
      </c>
      <c r="R55" s="10">
        <f>(co2e_g_kwh!O55)/1000000000000</f>
        <v>0</v>
      </c>
      <c r="S55" s="14">
        <f t="shared" si="3"/>
        <v>1.826048159503999</v>
      </c>
    </row>
    <row r="56" spans="1:19" x14ac:dyDescent="0.3">
      <c r="A56" s="6">
        <v>55</v>
      </c>
      <c r="B56" s="6">
        <v>2004</v>
      </c>
      <c r="C56" s="6">
        <v>7</v>
      </c>
      <c r="D56" s="10">
        <f>(co2e_g_kwh!D56)/1000000000000</f>
        <v>0</v>
      </c>
      <c r="E56" s="10">
        <f>(co2e_g_kwh!F56)/1000000000000</f>
        <v>0</v>
      </c>
      <c r="F56" s="10">
        <f>(co2e_g_kwh!G56)/1000000000000</f>
        <v>0</v>
      </c>
      <c r="G56" s="10">
        <f>(co2e_g_kwh!K56)/1000000000000</f>
        <v>1.1493143349999988E-2</v>
      </c>
      <c r="H56" s="19">
        <f t="shared" si="0"/>
        <v>1.1493143349999988E-2</v>
      </c>
      <c r="I56" s="10">
        <f>(co2e_g_kwh!E56)/1000000000000</f>
        <v>0.5821956540399994</v>
      </c>
      <c r="J56" s="10">
        <f>(co2e_g_kwh!H56)/1000000000000</f>
        <v>0.44809190027279955</v>
      </c>
      <c r="K56" s="20">
        <f t="shared" si="1"/>
        <v>1.0302875543127989</v>
      </c>
      <c r="L56" s="21">
        <f>(co2e_g_kwh!I56)/1000000000000</f>
        <v>0.62091744015000061</v>
      </c>
      <c r="M56" s="10">
        <f>(co2e_g_kwh!J56)/1000000000000</f>
        <v>0</v>
      </c>
      <c r="N56" s="10">
        <f>(co2e_g_kwh!L56)/1000000000000</f>
        <v>0</v>
      </c>
      <c r="O56" s="10">
        <f>(co2e_g_kwh!M56)/1000000000000</f>
        <v>4.8593747999999985E-2</v>
      </c>
      <c r="P56" s="22">
        <f t="shared" si="2"/>
        <v>4.8593747999999985E-2</v>
      </c>
      <c r="Q56" s="10">
        <f>(co2e_g_kwh!N56)/1000000000000</f>
        <v>0</v>
      </c>
      <c r="R56" s="10">
        <f>(co2e_g_kwh!O56)/1000000000000</f>
        <v>0</v>
      </c>
      <c r="S56" s="14">
        <f t="shared" si="3"/>
        <v>1.7112918858127995</v>
      </c>
    </row>
    <row r="57" spans="1:19" x14ac:dyDescent="0.3">
      <c r="A57" s="6">
        <v>56</v>
      </c>
      <c r="B57" s="6">
        <v>2004</v>
      </c>
      <c r="C57" s="6">
        <v>8</v>
      </c>
      <c r="D57" s="10">
        <f>(co2e_g_kwh!D57)/1000000000000</f>
        <v>0</v>
      </c>
      <c r="E57" s="10">
        <f>(co2e_g_kwh!F57)/1000000000000</f>
        <v>0</v>
      </c>
      <c r="F57" s="10">
        <f>(co2e_g_kwh!G57)/1000000000000</f>
        <v>0</v>
      </c>
      <c r="G57" s="10">
        <f>(co2e_g_kwh!K57)/1000000000000</f>
        <v>1.3648754600000017E-2</v>
      </c>
      <c r="H57" s="19">
        <f t="shared" si="0"/>
        <v>1.3648754600000017E-2</v>
      </c>
      <c r="I57" s="10">
        <f>(co2e_g_kwh!E57)/1000000000000</f>
        <v>0.58003708762999917</v>
      </c>
      <c r="J57" s="10">
        <f>(co2e_g_kwh!H57)/1000000000000</f>
        <v>0.49688893691999836</v>
      </c>
      <c r="K57" s="20">
        <f t="shared" si="1"/>
        <v>1.0769260245499974</v>
      </c>
      <c r="L57" s="21">
        <f>(co2e_g_kwh!I57)/1000000000000</f>
        <v>0.62712320498100471</v>
      </c>
      <c r="M57" s="10">
        <f>(co2e_g_kwh!J57)/1000000000000</f>
        <v>0</v>
      </c>
      <c r="N57" s="10">
        <f>(co2e_g_kwh!L57)/1000000000000</f>
        <v>3.8718120000000007E-4</v>
      </c>
      <c r="O57" s="10">
        <f>(co2e_g_kwh!M57)/1000000000000</f>
        <v>7.9184826000000055E-2</v>
      </c>
      <c r="P57" s="22">
        <f t="shared" si="2"/>
        <v>7.9572007200000058E-2</v>
      </c>
      <c r="Q57" s="10">
        <f>(co2e_g_kwh!N57)/1000000000000</f>
        <v>0</v>
      </c>
      <c r="R57" s="10">
        <f>(co2e_g_kwh!O57)/1000000000000</f>
        <v>0</v>
      </c>
      <c r="S57" s="14">
        <f t="shared" si="3"/>
        <v>1.7972699913310024</v>
      </c>
    </row>
    <row r="58" spans="1:19" x14ac:dyDescent="0.3">
      <c r="A58" s="6">
        <v>57</v>
      </c>
      <c r="B58" s="6">
        <v>2004</v>
      </c>
      <c r="C58" s="6">
        <v>9</v>
      </c>
      <c r="D58" s="10">
        <f>(co2e_g_kwh!D58)/1000000000000</f>
        <v>0</v>
      </c>
      <c r="E58" s="10">
        <f>(co2e_g_kwh!F58)/1000000000000</f>
        <v>0</v>
      </c>
      <c r="F58" s="10">
        <f>(co2e_g_kwh!G58)/1000000000000</f>
        <v>0</v>
      </c>
      <c r="G58" s="10">
        <f>(co2e_g_kwh!K58)/1000000000000</f>
        <v>1.7199981630000059E-2</v>
      </c>
      <c r="H58" s="19">
        <f t="shared" si="0"/>
        <v>1.7199981630000059E-2</v>
      </c>
      <c r="I58" s="10">
        <f>(co2e_g_kwh!E58)/1000000000000</f>
        <v>0.40976416480999933</v>
      </c>
      <c r="J58" s="10">
        <f>(co2e_g_kwh!H58)/1000000000000</f>
        <v>0.76011346970999749</v>
      </c>
      <c r="K58" s="20">
        <f t="shared" si="1"/>
        <v>1.1698776345199968</v>
      </c>
      <c r="L58" s="21">
        <f>(co2e_g_kwh!I58)/1000000000000</f>
        <v>0.61438591496099726</v>
      </c>
      <c r="M58" s="10">
        <f>(co2e_g_kwh!J58)/1000000000000</f>
        <v>0</v>
      </c>
      <c r="N58" s="10">
        <f>(co2e_g_kwh!L58)/1000000000000</f>
        <v>3.3428640000000009E-3</v>
      </c>
      <c r="O58" s="10">
        <f>(co2e_g_kwh!M58)/1000000000000</f>
        <v>1.0410724799999988E-2</v>
      </c>
      <c r="P58" s="22">
        <f t="shared" si="2"/>
        <v>1.3753588799999989E-2</v>
      </c>
      <c r="Q58" s="10">
        <f>(co2e_g_kwh!N58)/1000000000000</f>
        <v>0</v>
      </c>
      <c r="R58" s="10">
        <f>(co2e_g_kwh!O58)/1000000000000</f>
        <v>0</v>
      </c>
      <c r="S58" s="14">
        <f t="shared" si="3"/>
        <v>1.8152171199109943</v>
      </c>
    </row>
    <row r="59" spans="1:19" x14ac:dyDescent="0.3">
      <c r="A59" s="6">
        <v>58</v>
      </c>
      <c r="B59" s="6">
        <v>2004</v>
      </c>
      <c r="C59" s="6">
        <v>10</v>
      </c>
      <c r="D59" s="10">
        <f>(co2e_g_kwh!D59)/1000000000000</f>
        <v>0</v>
      </c>
      <c r="E59" s="10">
        <f>(co2e_g_kwh!F59)/1000000000000</f>
        <v>0</v>
      </c>
      <c r="F59" s="10">
        <f>(co2e_g_kwh!G59)/1000000000000</f>
        <v>0</v>
      </c>
      <c r="G59" s="10">
        <f>(co2e_g_kwh!K59)/1000000000000</f>
        <v>1.441034412999998E-2</v>
      </c>
      <c r="H59" s="19">
        <f t="shared" si="0"/>
        <v>1.441034412999998E-2</v>
      </c>
      <c r="I59" s="10">
        <f>(co2e_g_kwh!E59)/1000000000000</f>
        <v>0.51812917156000071</v>
      </c>
      <c r="J59" s="10">
        <f>(co2e_g_kwh!H59)/1000000000000</f>
        <v>0.78660656657999251</v>
      </c>
      <c r="K59" s="20">
        <f t="shared" si="1"/>
        <v>1.3047357381399931</v>
      </c>
      <c r="L59" s="21">
        <f>(co2e_g_kwh!I59)/1000000000000</f>
        <v>0.62579032382999533</v>
      </c>
      <c r="M59" s="10">
        <f>(co2e_g_kwh!J59)/1000000000000</f>
        <v>0</v>
      </c>
      <c r="N59" s="10">
        <f>(co2e_g_kwh!L59)/1000000000000</f>
        <v>3.6618119999999991E-3</v>
      </c>
      <c r="O59" s="10">
        <f>(co2e_g_kwh!M59)/1000000000000</f>
        <v>0</v>
      </c>
      <c r="P59" s="22">
        <f t="shared" si="2"/>
        <v>3.6618119999999991E-3</v>
      </c>
      <c r="Q59" s="10">
        <f>(co2e_g_kwh!N59)/1000000000000</f>
        <v>0</v>
      </c>
      <c r="R59" s="10">
        <f>(co2e_g_kwh!O59)/1000000000000</f>
        <v>0</v>
      </c>
      <c r="S59" s="14">
        <f t="shared" si="3"/>
        <v>1.9485982180999886</v>
      </c>
    </row>
    <row r="60" spans="1:19" x14ac:dyDescent="0.3">
      <c r="A60" s="6">
        <v>59</v>
      </c>
      <c r="B60" s="6">
        <v>2004</v>
      </c>
      <c r="C60" s="6">
        <v>11</v>
      </c>
      <c r="D60" s="10">
        <f>(co2e_g_kwh!D60)/1000000000000</f>
        <v>0</v>
      </c>
      <c r="E60" s="10">
        <f>(co2e_g_kwh!F60)/1000000000000</f>
        <v>0</v>
      </c>
      <c r="F60" s="10">
        <f>(co2e_g_kwh!G60)/1000000000000</f>
        <v>0</v>
      </c>
      <c r="G60" s="10">
        <f>(co2e_g_kwh!K60)/1000000000000</f>
        <v>1.4400434749999956E-2</v>
      </c>
      <c r="H60" s="19">
        <f t="shared" si="0"/>
        <v>1.4400434749999956E-2</v>
      </c>
      <c r="I60" s="10">
        <f>(co2e_g_kwh!E60)/1000000000000</f>
        <v>0.50928088210999922</v>
      </c>
      <c r="J60" s="10">
        <f>(co2e_g_kwh!H60)/1000000000000</f>
        <v>0.61477488053999851</v>
      </c>
      <c r="K60" s="20">
        <f t="shared" si="1"/>
        <v>1.1240557626499976</v>
      </c>
      <c r="L60" s="21">
        <f>(co2e_g_kwh!I60)/1000000000000</f>
        <v>0.62095620367199755</v>
      </c>
      <c r="M60" s="10">
        <f>(co2e_g_kwh!J60)/1000000000000</f>
        <v>0</v>
      </c>
      <c r="N60" s="10">
        <f>(co2e_g_kwh!L60)/1000000000000</f>
        <v>8.3999999999999998E-8</v>
      </c>
      <c r="O60" s="10">
        <f>(co2e_g_kwh!M60)/1000000000000</f>
        <v>1.0280087999999998E-3</v>
      </c>
      <c r="P60" s="22">
        <f t="shared" si="2"/>
        <v>1.0280927999999998E-3</v>
      </c>
      <c r="Q60" s="10">
        <f>(co2e_g_kwh!N60)/1000000000000</f>
        <v>0</v>
      </c>
      <c r="R60" s="10">
        <f>(co2e_g_kwh!O60)/1000000000000</f>
        <v>0</v>
      </c>
      <c r="S60" s="14">
        <f t="shared" si="3"/>
        <v>1.7604404938719955</v>
      </c>
    </row>
    <row r="61" spans="1:19" x14ac:dyDescent="0.3">
      <c r="A61" s="6">
        <v>60</v>
      </c>
      <c r="B61" s="6">
        <v>2004</v>
      </c>
      <c r="C61" s="6">
        <v>12</v>
      </c>
      <c r="D61" s="10">
        <f>(co2e_g_kwh!D61)/1000000000000</f>
        <v>0</v>
      </c>
      <c r="E61" s="10">
        <f>(co2e_g_kwh!F61)/1000000000000</f>
        <v>0</v>
      </c>
      <c r="F61" s="10">
        <f>(co2e_g_kwh!G61)/1000000000000</f>
        <v>0</v>
      </c>
      <c r="G61" s="10">
        <f>(co2e_g_kwh!K61)/1000000000000</f>
        <v>5.1551994000000019E-3</v>
      </c>
      <c r="H61" s="19">
        <f t="shared" si="0"/>
        <v>5.1551994000000019E-3</v>
      </c>
      <c r="I61" s="10">
        <f>(co2e_g_kwh!E61)/1000000000000</f>
        <v>0.53636011428999841</v>
      </c>
      <c r="J61" s="10">
        <f>(co2e_g_kwh!H61)/1000000000000</f>
        <v>0.60002960652000004</v>
      </c>
      <c r="K61" s="20">
        <f t="shared" si="1"/>
        <v>1.1363897208099984</v>
      </c>
      <c r="L61" s="21">
        <f>(co2e_g_kwh!I61)/1000000000000</f>
        <v>0.65520381338998157</v>
      </c>
      <c r="M61" s="10">
        <f>(co2e_g_kwh!J61)/1000000000000</f>
        <v>0</v>
      </c>
      <c r="N61" s="10">
        <f>(co2e_g_kwh!L61)/1000000000000</f>
        <v>3.5092680000000005E-4</v>
      </c>
      <c r="O61" s="10">
        <f>(co2e_g_kwh!M61)/1000000000000</f>
        <v>7.6374479999999972E-3</v>
      </c>
      <c r="P61" s="22">
        <f t="shared" si="2"/>
        <v>7.988374799999998E-3</v>
      </c>
      <c r="Q61" s="10">
        <f>(co2e_g_kwh!N61)/1000000000000</f>
        <v>0</v>
      </c>
      <c r="R61" s="10">
        <f>(co2e_g_kwh!O61)/1000000000000</f>
        <v>0</v>
      </c>
      <c r="S61" s="14">
        <f t="shared" si="3"/>
        <v>1.8047371083999801</v>
      </c>
    </row>
    <row r="62" spans="1:19" x14ac:dyDescent="0.3">
      <c r="A62" s="6">
        <v>61</v>
      </c>
      <c r="B62" s="6">
        <v>2005</v>
      </c>
      <c r="C62" s="6">
        <v>1</v>
      </c>
      <c r="D62" s="10">
        <f>(co2e_g_kwh!D62)/1000000000000</f>
        <v>0</v>
      </c>
      <c r="E62" s="10">
        <f>(co2e_g_kwh!F62)/1000000000000</f>
        <v>0</v>
      </c>
      <c r="F62" s="10">
        <f>(co2e_g_kwh!G62)/1000000000000</f>
        <v>0</v>
      </c>
      <c r="G62" s="10">
        <f>(co2e_g_kwh!K62)/1000000000000</f>
        <v>4.7403734299999931E-3</v>
      </c>
      <c r="H62" s="19">
        <f t="shared" si="0"/>
        <v>4.7403734299999931E-3</v>
      </c>
      <c r="I62" s="10">
        <f>(co2e_g_kwh!E62)/1000000000000</f>
        <v>0.49526528051000096</v>
      </c>
      <c r="J62" s="10">
        <f>(co2e_g_kwh!H62)/1000000000000</f>
        <v>0.5973456763799998</v>
      </c>
      <c r="K62" s="20">
        <f t="shared" si="1"/>
        <v>1.0926109568900007</v>
      </c>
      <c r="L62" s="21">
        <f>(co2e_g_kwh!I62)/1000000000000</f>
        <v>0.66669043727998767</v>
      </c>
      <c r="M62" s="10">
        <f>(co2e_g_kwh!J62)/1000000000000</f>
        <v>0</v>
      </c>
      <c r="N62" s="10">
        <f>(co2e_g_kwh!L62)/1000000000000</f>
        <v>1.16928E-4</v>
      </c>
      <c r="O62" s="10">
        <f>(co2e_g_kwh!M62)/1000000000000</f>
        <v>5.218712519999999E-2</v>
      </c>
      <c r="P62" s="22">
        <f t="shared" si="2"/>
        <v>5.2304053199999992E-2</v>
      </c>
      <c r="Q62" s="10">
        <f>(co2e_g_kwh!N62)/1000000000000</f>
        <v>0</v>
      </c>
      <c r="R62" s="10">
        <f>(co2e_g_kwh!O62)/1000000000000</f>
        <v>0</v>
      </c>
      <c r="S62" s="14">
        <f t="shared" si="3"/>
        <v>1.8163458207999885</v>
      </c>
    </row>
    <row r="63" spans="1:19" x14ac:dyDescent="0.3">
      <c r="A63" s="6">
        <v>62</v>
      </c>
      <c r="B63" s="6">
        <v>2005</v>
      </c>
      <c r="C63" s="6">
        <v>2</v>
      </c>
      <c r="D63" s="10">
        <f>(co2e_g_kwh!D63)/1000000000000</f>
        <v>0</v>
      </c>
      <c r="E63" s="10">
        <f>(co2e_g_kwh!F63)/1000000000000</f>
        <v>0</v>
      </c>
      <c r="F63" s="10">
        <f>(co2e_g_kwh!G63)/1000000000000</f>
        <v>0</v>
      </c>
      <c r="G63" s="10">
        <f>(co2e_g_kwh!K63)/1000000000000</f>
        <v>4.677860330000002E-3</v>
      </c>
      <c r="H63" s="19">
        <f t="shared" si="0"/>
        <v>4.677860330000002E-3</v>
      </c>
      <c r="I63" s="10">
        <f>(co2e_g_kwh!E63)/1000000000000</f>
        <v>0.50029381401999962</v>
      </c>
      <c r="J63" s="10">
        <f>(co2e_g_kwh!H63)/1000000000000</f>
        <v>0.41323210451999876</v>
      </c>
      <c r="K63" s="20">
        <f t="shared" si="1"/>
        <v>0.91352591853999843</v>
      </c>
      <c r="L63" s="21">
        <f>(co2e_g_kwh!I63)/1000000000000</f>
        <v>0.61726968575999364</v>
      </c>
      <c r="M63" s="10">
        <f>(co2e_g_kwh!J63)/1000000000000</f>
        <v>0</v>
      </c>
      <c r="N63" s="10">
        <f>(co2e_g_kwh!L63)/1000000000000</f>
        <v>0</v>
      </c>
      <c r="O63" s="10">
        <f>(co2e_g_kwh!M63)/1000000000000</f>
        <v>6.556517520000002E-2</v>
      </c>
      <c r="P63" s="22">
        <f t="shared" si="2"/>
        <v>6.556517520000002E-2</v>
      </c>
      <c r="Q63" s="10">
        <f>(co2e_g_kwh!N63)/1000000000000</f>
        <v>0</v>
      </c>
      <c r="R63" s="10">
        <f>(co2e_g_kwh!O63)/1000000000000</f>
        <v>0</v>
      </c>
      <c r="S63" s="14">
        <f t="shared" si="3"/>
        <v>1.6010386398299918</v>
      </c>
    </row>
    <row r="64" spans="1:19" x14ac:dyDescent="0.3">
      <c r="A64" s="6">
        <v>63</v>
      </c>
      <c r="B64" s="6">
        <v>2005</v>
      </c>
      <c r="C64" s="6">
        <v>3</v>
      </c>
      <c r="D64" s="10">
        <f>(co2e_g_kwh!D64)/1000000000000</f>
        <v>6.8016000000000011E-6</v>
      </c>
      <c r="E64" s="10">
        <f>(co2e_g_kwh!F64)/1000000000000</f>
        <v>0</v>
      </c>
      <c r="F64" s="10">
        <f>(co2e_g_kwh!G64)/1000000000000</f>
        <v>0</v>
      </c>
      <c r="G64" s="10">
        <f>(co2e_g_kwh!K64)/1000000000000</f>
        <v>5.8806799999999997E-6</v>
      </c>
      <c r="H64" s="19">
        <f t="shared" si="0"/>
        <v>1.2682280000000001E-5</v>
      </c>
      <c r="I64" s="10">
        <f>(co2e_g_kwh!E64)/1000000000000</f>
        <v>0.71697612987000026</v>
      </c>
      <c r="J64" s="10">
        <f>(co2e_g_kwh!H64)/1000000000000</f>
        <v>0.55603852919999974</v>
      </c>
      <c r="K64" s="20">
        <f t="shared" si="1"/>
        <v>1.27301465907</v>
      </c>
      <c r="L64" s="21">
        <f>(co2e_g_kwh!I64)/1000000000000</f>
        <v>0.69894510608999916</v>
      </c>
      <c r="M64" s="10">
        <f>(co2e_g_kwh!J64)/1000000000000</f>
        <v>0</v>
      </c>
      <c r="N64" s="10">
        <f>(co2e_g_kwh!L64)/1000000000000</f>
        <v>2.9061479999999997E-4</v>
      </c>
      <c r="O64" s="10">
        <f>(co2e_g_kwh!M64)/1000000000000</f>
        <v>0.10261788599999994</v>
      </c>
      <c r="P64" s="22">
        <f t="shared" si="2"/>
        <v>0.10290850079999994</v>
      </c>
      <c r="Q64" s="10">
        <f>(co2e_g_kwh!N64)/1000000000000</f>
        <v>0</v>
      </c>
      <c r="R64" s="10">
        <f>(co2e_g_kwh!O64)/1000000000000</f>
        <v>0</v>
      </c>
      <c r="S64" s="14">
        <f t="shared" si="3"/>
        <v>2.0748809482399988</v>
      </c>
    </row>
    <row r="65" spans="1:19" x14ac:dyDescent="0.3">
      <c r="A65" s="6">
        <v>64</v>
      </c>
      <c r="B65" s="6">
        <v>2005</v>
      </c>
      <c r="C65" s="6">
        <v>4</v>
      </c>
      <c r="D65" s="10">
        <f>(co2e_g_kwh!D65)/1000000000000</f>
        <v>0</v>
      </c>
      <c r="E65" s="10">
        <f>(co2e_g_kwh!F65)/1000000000000</f>
        <v>0</v>
      </c>
      <c r="F65" s="10">
        <f>(co2e_g_kwh!G65)/1000000000000</f>
        <v>0</v>
      </c>
      <c r="G65" s="10">
        <f>(co2e_g_kwh!K65)/1000000000000</f>
        <v>1.0845412889999947E-2</v>
      </c>
      <c r="H65" s="19">
        <f t="shared" si="0"/>
        <v>1.0845412889999947E-2</v>
      </c>
      <c r="I65" s="10">
        <f>(co2e_g_kwh!E65)/1000000000000</f>
        <v>0.66012477530999847</v>
      </c>
      <c r="J65" s="10">
        <f>(co2e_g_kwh!H65)/1000000000000</f>
        <v>0.4739596659000001</v>
      </c>
      <c r="K65" s="20">
        <f t="shared" si="1"/>
        <v>1.1340844412099986</v>
      </c>
      <c r="L65" s="21">
        <f>(co2e_g_kwh!I65)/1000000000000</f>
        <v>0.65339206400999372</v>
      </c>
      <c r="M65" s="10">
        <f>(co2e_g_kwh!J65)/1000000000000</f>
        <v>0</v>
      </c>
      <c r="N65" s="10">
        <f>(co2e_g_kwh!L65)/1000000000000</f>
        <v>1.6820832000000001E-3</v>
      </c>
      <c r="O65" s="10">
        <f>(co2e_g_kwh!M65)/1000000000000</f>
        <v>7.0657860000000017E-2</v>
      </c>
      <c r="P65" s="22">
        <f t="shared" si="2"/>
        <v>7.233994320000002E-2</v>
      </c>
      <c r="Q65" s="10">
        <f>(co2e_g_kwh!N65)/1000000000000</f>
        <v>0</v>
      </c>
      <c r="R65" s="10">
        <f>(co2e_g_kwh!O65)/1000000000000</f>
        <v>0</v>
      </c>
      <c r="S65" s="14">
        <f t="shared" si="3"/>
        <v>1.8706618613099923</v>
      </c>
    </row>
    <row r="66" spans="1:19" x14ac:dyDescent="0.3">
      <c r="A66" s="6">
        <v>65</v>
      </c>
      <c r="B66" s="6">
        <v>2005</v>
      </c>
      <c r="C66" s="6">
        <v>5</v>
      </c>
      <c r="D66" s="10">
        <f>(co2e_g_kwh!D66)/1000000000000</f>
        <v>0</v>
      </c>
      <c r="E66" s="10">
        <f>(co2e_g_kwh!F66)/1000000000000</f>
        <v>0</v>
      </c>
      <c r="F66" s="10">
        <f>(co2e_g_kwh!G66)/1000000000000</f>
        <v>0</v>
      </c>
      <c r="G66" s="10">
        <f>(co2e_g_kwh!K66)/1000000000000</f>
        <v>1.5205491210000005E-2</v>
      </c>
      <c r="H66" s="19">
        <f t="shared" si="0"/>
        <v>1.5205491210000005E-2</v>
      </c>
      <c r="I66" s="10">
        <f>(co2e_g_kwh!E66)/1000000000000</f>
        <v>0.54692731092999947</v>
      </c>
      <c r="J66" s="10">
        <f>(co2e_g_kwh!H66)/1000000000000</f>
        <v>0.46727723880000011</v>
      </c>
      <c r="K66" s="20">
        <f t="shared" si="1"/>
        <v>1.0142045497299996</v>
      </c>
      <c r="L66" s="21">
        <f>(co2e_g_kwh!I66)/1000000000000</f>
        <v>0.64029846614999109</v>
      </c>
      <c r="M66" s="10">
        <f>(co2e_g_kwh!J66)/1000000000000</f>
        <v>0</v>
      </c>
      <c r="N66" s="10">
        <f>(co2e_g_kwh!L66)/1000000000000</f>
        <v>0</v>
      </c>
      <c r="O66" s="10">
        <f>(co2e_g_kwh!M66)/1000000000000</f>
        <v>5.8528999199999945E-2</v>
      </c>
      <c r="P66" s="22">
        <f t="shared" si="2"/>
        <v>5.8528999199999945E-2</v>
      </c>
      <c r="Q66" s="10">
        <f>(co2e_g_kwh!N66)/1000000000000</f>
        <v>0</v>
      </c>
      <c r="R66" s="10">
        <f>(co2e_g_kwh!O66)/1000000000000</f>
        <v>0</v>
      </c>
      <c r="S66" s="14">
        <f t="shared" si="3"/>
        <v>1.7282375062899906</v>
      </c>
    </row>
    <row r="67" spans="1:19" x14ac:dyDescent="0.3">
      <c r="A67" s="6">
        <v>66</v>
      </c>
      <c r="B67" s="6">
        <v>2005</v>
      </c>
      <c r="C67" s="6">
        <v>6</v>
      </c>
      <c r="D67" s="10">
        <f>(co2e_g_kwh!D67)/1000000000000</f>
        <v>0</v>
      </c>
      <c r="E67" s="10">
        <f>(co2e_g_kwh!F67)/1000000000000</f>
        <v>0</v>
      </c>
      <c r="F67" s="10">
        <f>(co2e_g_kwh!G67)/1000000000000</f>
        <v>0</v>
      </c>
      <c r="G67" s="10">
        <f>(co2e_g_kwh!K67)/1000000000000</f>
        <v>1.5883808330000079E-2</v>
      </c>
      <c r="H67" s="19">
        <f t="shared" ref="H67:H130" si="4">SUM(D67:G67)</f>
        <v>1.5883808330000079E-2</v>
      </c>
      <c r="I67" s="10">
        <f>(co2e_g_kwh!E67)/1000000000000</f>
        <v>0.45499232779000026</v>
      </c>
      <c r="J67" s="10">
        <f>(co2e_g_kwh!H67)/1000000000000</f>
        <v>0.42588266799599916</v>
      </c>
      <c r="K67" s="20">
        <f t="shared" ref="K67:K130" si="5">SUM(I67:J67)</f>
        <v>0.88087499578599937</v>
      </c>
      <c r="L67" s="21">
        <f>(co2e_g_kwh!I67)/1000000000000</f>
        <v>0.62388835424999123</v>
      </c>
      <c r="M67" s="10">
        <f>(co2e_g_kwh!J67)/1000000000000</f>
        <v>0</v>
      </c>
      <c r="N67" s="10">
        <f>(co2e_g_kwh!L67)/1000000000000</f>
        <v>2.5570440000000009E-3</v>
      </c>
      <c r="O67" s="10">
        <f>(co2e_g_kwh!M67)/1000000000000</f>
        <v>1.7805975599999992E-2</v>
      </c>
      <c r="P67" s="22">
        <f t="shared" ref="P67:P130" si="6">SUM(M67:O67)</f>
        <v>2.0363019599999994E-2</v>
      </c>
      <c r="Q67" s="10">
        <f>(co2e_g_kwh!N67)/1000000000000</f>
        <v>0</v>
      </c>
      <c r="R67" s="10">
        <f>(co2e_g_kwh!O67)/1000000000000</f>
        <v>0</v>
      </c>
      <c r="S67" s="14">
        <f t="shared" ref="S67:S130" si="7">D67+E67+F67+G67+I67+J67+L67+M67+N67+O67</f>
        <v>1.5410101779659908</v>
      </c>
    </row>
    <row r="68" spans="1:19" x14ac:dyDescent="0.3">
      <c r="A68" s="6">
        <v>67</v>
      </c>
      <c r="B68" s="6">
        <v>2005</v>
      </c>
      <c r="C68" s="6">
        <v>7</v>
      </c>
      <c r="D68" s="10">
        <f>(co2e_g_kwh!D68)/1000000000000</f>
        <v>0</v>
      </c>
      <c r="E68" s="10">
        <f>(co2e_g_kwh!F68)/1000000000000</f>
        <v>0</v>
      </c>
      <c r="F68" s="10">
        <f>(co2e_g_kwh!G68)/1000000000000</f>
        <v>0</v>
      </c>
      <c r="G68" s="10">
        <f>(co2e_g_kwh!K68)/1000000000000</f>
        <v>1.3514665969999983E-2</v>
      </c>
      <c r="H68" s="19">
        <f t="shared" si="4"/>
        <v>1.3514665969999983E-2</v>
      </c>
      <c r="I68" s="10">
        <f>(co2e_g_kwh!E68)/1000000000000</f>
        <v>0.51509391933999837</v>
      </c>
      <c r="J68" s="10">
        <f>(co2e_g_kwh!H68)/1000000000000</f>
        <v>0.45052366697999952</v>
      </c>
      <c r="K68" s="20">
        <f t="shared" si="5"/>
        <v>0.96561758631999783</v>
      </c>
      <c r="L68" s="21">
        <f>(co2e_g_kwh!I68)/1000000000000</f>
        <v>0.62954683490999919</v>
      </c>
      <c r="M68" s="10">
        <f>(co2e_g_kwh!J68)/1000000000000</f>
        <v>0</v>
      </c>
      <c r="N68" s="10">
        <f>(co2e_g_kwh!L68)/1000000000000</f>
        <v>2.3956800000000001E-4</v>
      </c>
      <c r="O68" s="10">
        <f>(co2e_g_kwh!M68)/1000000000000</f>
        <v>0.10083470880000003</v>
      </c>
      <c r="P68" s="22">
        <f t="shared" si="6"/>
        <v>0.10107427680000003</v>
      </c>
      <c r="Q68" s="10">
        <f>(co2e_g_kwh!N68)/1000000000000</f>
        <v>0</v>
      </c>
      <c r="R68" s="10">
        <f>(co2e_g_kwh!O68)/1000000000000</f>
        <v>0</v>
      </c>
      <c r="S68" s="14">
        <f t="shared" si="7"/>
        <v>1.7097533639999971</v>
      </c>
    </row>
    <row r="69" spans="1:19" x14ac:dyDescent="0.3">
      <c r="A69" s="6">
        <v>68</v>
      </c>
      <c r="B69" s="6">
        <v>2005</v>
      </c>
      <c r="C69" s="6">
        <v>8</v>
      </c>
      <c r="D69" s="10">
        <f>(co2e_g_kwh!D69)/1000000000000</f>
        <v>0</v>
      </c>
      <c r="E69" s="10">
        <f>(co2e_g_kwh!F69)/1000000000000</f>
        <v>0</v>
      </c>
      <c r="F69" s="10">
        <f>(co2e_g_kwh!G69)/1000000000000</f>
        <v>0</v>
      </c>
      <c r="G69" s="10">
        <f>(co2e_g_kwh!K69)/1000000000000</f>
        <v>1.5451298459999947E-2</v>
      </c>
      <c r="H69" s="19">
        <f t="shared" si="4"/>
        <v>1.5451298459999947E-2</v>
      </c>
      <c r="I69" s="10">
        <f>(co2e_g_kwh!E69)/1000000000000</f>
        <v>0.51917538673000252</v>
      </c>
      <c r="J69" s="10">
        <f>(co2e_g_kwh!H69)/1000000000000</f>
        <v>0.51602039981999803</v>
      </c>
      <c r="K69" s="20">
        <f t="shared" si="5"/>
        <v>1.0351957865500006</v>
      </c>
      <c r="L69" s="21">
        <f>(co2e_g_kwh!I69)/1000000000000</f>
        <v>0.65026205107499602</v>
      </c>
      <c r="M69" s="10">
        <f>(co2e_g_kwh!J69)/1000000000000</f>
        <v>0</v>
      </c>
      <c r="N69" s="10">
        <f>(co2e_g_kwh!L69)/1000000000000</f>
        <v>3.9685799999999993E-4</v>
      </c>
      <c r="O69" s="10">
        <f>(co2e_g_kwh!M69)/1000000000000</f>
        <v>9.9360760799999948E-2</v>
      </c>
      <c r="P69" s="22">
        <f t="shared" si="6"/>
        <v>9.9757618799999948E-2</v>
      </c>
      <c r="Q69" s="10">
        <f>(co2e_g_kwh!N69)/1000000000000</f>
        <v>0</v>
      </c>
      <c r="R69" s="10">
        <f>(co2e_g_kwh!O69)/1000000000000</f>
        <v>0</v>
      </c>
      <c r="S69" s="14">
        <f t="shared" si="7"/>
        <v>1.8006667548849964</v>
      </c>
    </row>
    <row r="70" spans="1:19" x14ac:dyDescent="0.3">
      <c r="A70" s="6">
        <v>69</v>
      </c>
      <c r="B70" s="6">
        <v>2005</v>
      </c>
      <c r="C70" s="6">
        <v>9</v>
      </c>
      <c r="D70" s="10">
        <f>(co2e_g_kwh!D70)/1000000000000</f>
        <v>0</v>
      </c>
      <c r="E70" s="10">
        <f>(co2e_g_kwh!F70)/1000000000000</f>
        <v>0</v>
      </c>
      <c r="F70" s="10">
        <f>(co2e_g_kwh!G70)/1000000000000</f>
        <v>0</v>
      </c>
      <c r="G70" s="10">
        <f>(co2e_g_kwh!K70)/1000000000000</f>
        <v>1.5704251680000079E-2</v>
      </c>
      <c r="H70" s="19">
        <f t="shared" si="4"/>
        <v>1.5704251680000079E-2</v>
      </c>
      <c r="I70" s="10">
        <f>(co2e_g_kwh!E70)/1000000000000</f>
        <v>0.41054286272999929</v>
      </c>
      <c r="J70" s="10">
        <f>(co2e_g_kwh!H70)/1000000000000</f>
        <v>0.49473253888200069</v>
      </c>
      <c r="K70" s="20">
        <f t="shared" si="5"/>
        <v>0.90527540161199993</v>
      </c>
      <c r="L70" s="21">
        <f>(co2e_g_kwh!I70)/1000000000000</f>
        <v>0.62874099015000684</v>
      </c>
      <c r="M70" s="10">
        <f>(co2e_g_kwh!J70)/1000000000000</f>
        <v>0</v>
      </c>
      <c r="N70" s="10">
        <f>(co2e_g_kwh!L70)/1000000000000</f>
        <v>2.2779959999999996E-3</v>
      </c>
      <c r="O70" s="10">
        <f>(co2e_g_kwh!M70)/1000000000000</f>
        <v>7.5259262399999985E-2</v>
      </c>
      <c r="P70" s="22">
        <f t="shared" si="6"/>
        <v>7.7537258399999989E-2</v>
      </c>
      <c r="Q70" s="10">
        <f>(co2e_g_kwh!N70)/1000000000000</f>
        <v>0</v>
      </c>
      <c r="R70" s="10">
        <f>(co2e_g_kwh!O70)/1000000000000</f>
        <v>0</v>
      </c>
      <c r="S70" s="14">
        <f t="shared" si="7"/>
        <v>1.6272579018420068</v>
      </c>
    </row>
    <row r="71" spans="1:19" x14ac:dyDescent="0.3">
      <c r="A71" s="6">
        <v>70</v>
      </c>
      <c r="B71" s="6">
        <v>2005</v>
      </c>
      <c r="C71" s="6">
        <v>10</v>
      </c>
      <c r="D71" s="10">
        <f>(co2e_g_kwh!D71)/1000000000000</f>
        <v>0</v>
      </c>
      <c r="E71" s="10">
        <f>(co2e_g_kwh!F71)/1000000000000</f>
        <v>0</v>
      </c>
      <c r="F71" s="10">
        <f>(co2e_g_kwh!G71)/1000000000000</f>
        <v>0</v>
      </c>
      <c r="G71" s="10">
        <f>(co2e_g_kwh!K71)/1000000000000</f>
        <v>1.5229724639999961E-2</v>
      </c>
      <c r="H71" s="19">
        <f t="shared" si="4"/>
        <v>1.5229724639999961E-2</v>
      </c>
      <c r="I71" s="10">
        <f>(co2e_g_kwh!E71)/1000000000000</f>
        <v>0.34533530631600096</v>
      </c>
      <c r="J71" s="10">
        <f>(co2e_g_kwh!H71)/1000000000000</f>
        <v>0.69425187577199821</v>
      </c>
      <c r="K71" s="20">
        <f t="shared" si="5"/>
        <v>1.0395871820879992</v>
      </c>
      <c r="L71" s="21">
        <f>(co2e_g_kwh!I71)/1000000000000</f>
        <v>0.66096841057800315</v>
      </c>
      <c r="M71" s="10">
        <f>(co2e_g_kwh!J71)/1000000000000</f>
        <v>0</v>
      </c>
      <c r="N71" s="10">
        <f>(co2e_g_kwh!L71)/1000000000000</f>
        <v>4.1280178800000011E-3</v>
      </c>
      <c r="O71" s="10">
        <f>(co2e_g_kwh!M71)/1000000000000</f>
        <v>4.064358396E-2</v>
      </c>
      <c r="P71" s="22">
        <f t="shared" si="6"/>
        <v>4.4771601840000001E-2</v>
      </c>
      <c r="Q71" s="10">
        <f>(co2e_g_kwh!N71)/1000000000000</f>
        <v>0</v>
      </c>
      <c r="R71" s="10">
        <f>(co2e_g_kwh!O71)/1000000000000</f>
        <v>0</v>
      </c>
      <c r="S71" s="14">
        <f t="shared" si="7"/>
        <v>1.7605569191460022</v>
      </c>
    </row>
    <row r="72" spans="1:19" x14ac:dyDescent="0.3">
      <c r="A72" s="6">
        <v>71</v>
      </c>
      <c r="B72" s="6">
        <v>2005</v>
      </c>
      <c r="C72" s="6">
        <v>11</v>
      </c>
      <c r="D72" s="10">
        <f>(co2e_g_kwh!D72)/1000000000000</f>
        <v>0</v>
      </c>
      <c r="E72" s="10">
        <f>(co2e_g_kwh!F72)/1000000000000</f>
        <v>0</v>
      </c>
      <c r="F72" s="10">
        <f>(co2e_g_kwh!G72)/1000000000000</f>
        <v>0</v>
      </c>
      <c r="G72" s="10">
        <f>(co2e_g_kwh!K72)/1000000000000</f>
        <v>1.2549553510000014E-2</v>
      </c>
      <c r="H72" s="19">
        <f t="shared" si="4"/>
        <v>1.2549553510000014E-2</v>
      </c>
      <c r="I72" s="10">
        <f>(co2e_g_kwh!E72)/1000000000000</f>
        <v>0.46909075713499904</v>
      </c>
      <c r="J72" s="10">
        <f>(co2e_g_kwh!H72)/1000000000000</f>
        <v>0.72301175537400308</v>
      </c>
      <c r="K72" s="20">
        <f t="shared" si="5"/>
        <v>1.1921025125090021</v>
      </c>
      <c r="L72" s="21">
        <f>(co2e_g_kwh!I72)/1000000000000</f>
        <v>0.63499219291200171</v>
      </c>
      <c r="M72" s="10">
        <f>(co2e_g_kwh!J72)/1000000000000</f>
        <v>0</v>
      </c>
      <c r="N72" s="10">
        <f>(co2e_g_kwh!L72)/1000000000000</f>
        <v>2.0313291599999999E-3</v>
      </c>
      <c r="O72" s="10">
        <f>(co2e_g_kwh!M72)/1000000000000</f>
        <v>2.6539959600000006E-2</v>
      </c>
      <c r="P72" s="22">
        <f t="shared" si="6"/>
        <v>2.8571288760000008E-2</v>
      </c>
      <c r="Q72" s="10">
        <f>(co2e_g_kwh!N72)/1000000000000</f>
        <v>0</v>
      </c>
      <c r="R72" s="10">
        <f>(co2e_g_kwh!O72)/1000000000000</f>
        <v>0</v>
      </c>
      <c r="S72" s="14">
        <f t="shared" si="7"/>
        <v>1.8682155476910038</v>
      </c>
    </row>
    <row r="73" spans="1:19" x14ac:dyDescent="0.3">
      <c r="A73" s="6">
        <v>72</v>
      </c>
      <c r="B73" s="6">
        <v>2005</v>
      </c>
      <c r="C73" s="6">
        <v>12</v>
      </c>
      <c r="D73" s="10">
        <f>(co2e_g_kwh!D73)/1000000000000</f>
        <v>0</v>
      </c>
      <c r="E73" s="10">
        <f>(co2e_g_kwh!F73)/1000000000000</f>
        <v>0</v>
      </c>
      <c r="F73" s="10">
        <f>(co2e_g_kwh!G73)/1000000000000</f>
        <v>0</v>
      </c>
      <c r="G73" s="10">
        <f>(co2e_g_kwh!K73)/1000000000000</f>
        <v>4.3052682400000139E-3</v>
      </c>
      <c r="H73" s="19">
        <f t="shared" si="4"/>
        <v>4.3052682400000139E-3</v>
      </c>
      <c r="I73" s="10">
        <f>(co2e_g_kwh!E73)/1000000000000</f>
        <v>0.47890970126999804</v>
      </c>
      <c r="J73" s="10">
        <f>(co2e_g_kwh!H73)/1000000000000</f>
        <v>0.66857115657599864</v>
      </c>
      <c r="K73" s="20">
        <f t="shared" si="5"/>
        <v>1.1474808578459967</v>
      </c>
      <c r="L73" s="21">
        <f>(co2e_g_kwh!I73)/1000000000000</f>
        <v>0.67066157318999708</v>
      </c>
      <c r="M73" s="10">
        <f>(co2e_g_kwh!J73)/1000000000000</f>
        <v>0</v>
      </c>
      <c r="N73" s="10">
        <f>(co2e_g_kwh!L73)/1000000000000</f>
        <v>4.3105524000000015E-3</v>
      </c>
      <c r="O73" s="10">
        <f>(co2e_g_kwh!M73)/1000000000000</f>
        <v>7.7783479200000019E-2</v>
      </c>
      <c r="P73" s="22">
        <f t="shared" si="6"/>
        <v>8.209403160000002E-2</v>
      </c>
      <c r="Q73" s="10">
        <f>(co2e_g_kwh!N73)/1000000000000</f>
        <v>0</v>
      </c>
      <c r="R73" s="10">
        <f>(co2e_g_kwh!O73)/1000000000000</f>
        <v>0</v>
      </c>
      <c r="S73" s="14">
        <f t="shared" si="7"/>
        <v>1.904541730875994</v>
      </c>
    </row>
    <row r="74" spans="1:19" x14ac:dyDescent="0.3">
      <c r="A74" s="6">
        <v>73</v>
      </c>
      <c r="B74" s="6">
        <v>2006</v>
      </c>
      <c r="C74" s="6">
        <v>1</v>
      </c>
      <c r="D74" s="10">
        <f>(co2e_g_kwh!D74)/1000000000000</f>
        <v>0</v>
      </c>
      <c r="E74" s="10">
        <f>(co2e_g_kwh!F74)/1000000000000</f>
        <v>0</v>
      </c>
      <c r="F74" s="10">
        <f>(co2e_g_kwh!G74)/1000000000000</f>
        <v>0</v>
      </c>
      <c r="G74" s="10">
        <f>(co2e_g_kwh!K74)/1000000000000</f>
        <v>4.2332976399999936E-3</v>
      </c>
      <c r="H74" s="19">
        <f t="shared" si="4"/>
        <v>4.2332976399999936E-3</v>
      </c>
      <c r="I74" s="10">
        <f>(co2e_g_kwh!E74)/1000000000000</f>
        <v>0.48438497107000017</v>
      </c>
      <c r="J74" s="10">
        <f>(co2e_g_kwh!H74)/1000000000000</f>
        <v>0.62285459166000101</v>
      </c>
      <c r="K74" s="20">
        <f t="shared" si="5"/>
        <v>1.1072395627300011</v>
      </c>
      <c r="L74" s="21">
        <f>(co2e_g_kwh!I74)/1000000000000</f>
        <v>0.70045033148999414</v>
      </c>
      <c r="M74" s="10">
        <f>(co2e_g_kwh!J74)/1000000000000</f>
        <v>0</v>
      </c>
      <c r="N74" s="10">
        <f>(co2e_g_kwh!L74)/1000000000000</f>
        <v>2.0160000000000006E-7</v>
      </c>
      <c r="O74" s="10">
        <f>(co2e_g_kwh!M74)/1000000000000</f>
        <v>7.1218089599999965E-2</v>
      </c>
      <c r="P74" s="22">
        <f t="shared" si="6"/>
        <v>7.1218291199999964E-2</v>
      </c>
      <c r="Q74" s="10">
        <f>(co2e_g_kwh!N74)/1000000000000</f>
        <v>0</v>
      </c>
      <c r="R74" s="10">
        <f>(co2e_g_kwh!O74)/1000000000000</f>
        <v>0</v>
      </c>
      <c r="S74" s="14">
        <f t="shared" si="7"/>
        <v>1.8831414830599951</v>
      </c>
    </row>
    <row r="75" spans="1:19" x14ac:dyDescent="0.3">
      <c r="A75" s="6">
        <v>74</v>
      </c>
      <c r="B75" s="6">
        <v>2006</v>
      </c>
      <c r="C75" s="6">
        <v>2</v>
      </c>
      <c r="D75" s="10">
        <f>(co2e_g_kwh!D75)/1000000000000</f>
        <v>0</v>
      </c>
      <c r="E75" s="10">
        <f>(co2e_g_kwh!F75)/1000000000000</f>
        <v>0</v>
      </c>
      <c r="F75" s="10">
        <f>(co2e_g_kwh!G75)/1000000000000</f>
        <v>0</v>
      </c>
      <c r="G75" s="10">
        <f>(co2e_g_kwh!K75)/1000000000000</f>
        <v>1.1480537379999942E-2</v>
      </c>
      <c r="H75" s="19">
        <f t="shared" si="4"/>
        <v>1.1480537379999942E-2</v>
      </c>
      <c r="I75" s="10">
        <f>(co2e_g_kwh!E75)/1000000000000</f>
        <v>0.47966512593999927</v>
      </c>
      <c r="J75" s="10">
        <f>(co2e_g_kwh!H75)/1000000000000</f>
        <v>0.60499232164799854</v>
      </c>
      <c r="K75" s="20">
        <f t="shared" si="5"/>
        <v>1.0846574475879978</v>
      </c>
      <c r="L75" s="21">
        <f>(co2e_g_kwh!I75)/1000000000000</f>
        <v>0.63108643962000188</v>
      </c>
      <c r="M75" s="10">
        <f>(co2e_g_kwh!J75)/1000000000000</f>
        <v>0</v>
      </c>
      <c r="N75" s="10">
        <f>(co2e_g_kwh!L75)/1000000000000</f>
        <v>0</v>
      </c>
      <c r="O75" s="10">
        <f>(co2e_g_kwh!M75)/1000000000000</f>
        <v>6.0639566399999976E-2</v>
      </c>
      <c r="P75" s="22">
        <f t="shared" si="6"/>
        <v>6.0639566399999976E-2</v>
      </c>
      <c r="Q75" s="10">
        <f>(co2e_g_kwh!N75)/1000000000000</f>
        <v>0</v>
      </c>
      <c r="R75" s="10">
        <f>(co2e_g_kwh!O75)/1000000000000</f>
        <v>0</v>
      </c>
      <c r="S75" s="14">
        <f t="shared" si="7"/>
        <v>1.7878639909879994</v>
      </c>
    </row>
    <row r="76" spans="1:19" x14ac:dyDescent="0.3">
      <c r="A76" s="6">
        <v>75</v>
      </c>
      <c r="B76" s="6">
        <v>2006</v>
      </c>
      <c r="C76" s="6">
        <v>3</v>
      </c>
      <c r="D76" s="10">
        <f>(co2e_g_kwh!D76)/1000000000000</f>
        <v>0</v>
      </c>
      <c r="E76" s="10">
        <f>(co2e_g_kwh!F76)/1000000000000</f>
        <v>1.2622999999999996E-7</v>
      </c>
      <c r="F76" s="10">
        <f>(co2e_g_kwh!G76)/1000000000000</f>
        <v>0</v>
      </c>
      <c r="G76" s="10">
        <f>(co2e_g_kwh!K76)/1000000000000</f>
        <v>1.6581572929999882E-2</v>
      </c>
      <c r="H76" s="19">
        <f t="shared" si="4"/>
        <v>1.6581699159999883E-2</v>
      </c>
      <c r="I76" s="10">
        <f>(co2e_g_kwh!E76)/1000000000000</f>
        <v>0.60024461497000248</v>
      </c>
      <c r="J76" s="10">
        <f>(co2e_g_kwh!H76)/1000000000000</f>
        <v>0.56815977257999928</v>
      </c>
      <c r="K76" s="20">
        <f t="shared" si="5"/>
        <v>1.1684043875500016</v>
      </c>
      <c r="L76" s="21">
        <f>(co2e_g_kwh!I76)/1000000000000</f>
        <v>0.71303312870999691</v>
      </c>
      <c r="M76" s="10">
        <f>(co2e_g_kwh!J76)/1000000000000</f>
        <v>0</v>
      </c>
      <c r="N76" s="10">
        <f>(co2e_g_kwh!L76)/1000000000000</f>
        <v>0</v>
      </c>
      <c r="O76" s="10">
        <f>(co2e_g_kwh!M76)/1000000000000</f>
        <v>8.0014393200000006E-2</v>
      </c>
      <c r="P76" s="22">
        <f t="shared" si="6"/>
        <v>8.0014393200000006E-2</v>
      </c>
      <c r="Q76" s="10">
        <f>(co2e_g_kwh!N76)/1000000000000</f>
        <v>0</v>
      </c>
      <c r="R76" s="10">
        <f>(co2e_g_kwh!O76)/1000000000000</f>
        <v>0</v>
      </c>
      <c r="S76" s="14">
        <f t="shared" si="7"/>
        <v>1.9780336086199986</v>
      </c>
    </row>
    <row r="77" spans="1:19" x14ac:dyDescent="0.3">
      <c r="A77" s="6">
        <v>76</v>
      </c>
      <c r="B77" s="6">
        <v>2006</v>
      </c>
      <c r="C77" s="6">
        <v>4</v>
      </c>
      <c r="D77" s="10">
        <f>(co2e_g_kwh!D77)/1000000000000</f>
        <v>0</v>
      </c>
      <c r="E77" s="10">
        <f>(co2e_g_kwh!F77)/1000000000000</f>
        <v>4.4743400000000016E-6</v>
      </c>
      <c r="F77" s="10">
        <f>(co2e_g_kwh!G77)/1000000000000</f>
        <v>0</v>
      </c>
      <c r="G77" s="10">
        <f>(co2e_g_kwh!K77)/1000000000000</f>
        <v>1.5330082689999911E-2</v>
      </c>
      <c r="H77" s="19">
        <f t="shared" si="4"/>
        <v>1.5334557029999911E-2</v>
      </c>
      <c r="I77" s="10">
        <f>(co2e_g_kwh!E77)/1000000000000</f>
        <v>0.55446014623999784</v>
      </c>
      <c r="J77" s="10">
        <f>(co2e_g_kwh!H77)/1000000000000</f>
        <v>0.29464333685999983</v>
      </c>
      <c r="K77" s="20">
        <f t="shared" si="5"/>
        <v>0.84910348309999772</v>
      </c>
      <c r="L77" s="21">
        <f>(co2e_g_kwh!I77)/1000000000000</f>
        <v>0.66020213090999702</v>
      </c>
      <c r="M77" s="10">
        <f>(co2e_g_kwh!J77)/1000000000000</f>
        <v>0</v>
      </c>
      <c r="N77" s="10">
        <f>(co2e_g_kwh!L77)/1000000000000</f>
        <v>2.967409199999999E-3</v>
      </c>
      <c r="O77" s="10">
        <f>(co2e_g_kwh!M77)/1000000000000</f>
        <v>5.454697920000004E-2</v>
      </c>
      <c r="P77" s="22">
        <f t="shared" si="6"/>
        <v>5.751438840000004E-2</v>
      </c>
      <c r="Q77" s="10">
        <f>(co2e_g_kwh!N77)/1000000000000</f>
        <v>0</v>
      </c>
      <c r="R77" s="10">
        <f>(co2e_g_kwh!O77)/1000000000000</f>
        <v>0</v>
      </c>
      <c r="S77" s="14">
        <f t="shared" si="7"/>
        <v>1.5821545594399946</v>
      </c>
    </row>
    <row r="78" spans="1:19" x14ac:dyDescent="0.3">
      <c r="A78" s="6">
        <v>77</v>
      </c>
      <c r="B78" s="6">
        <v>2006</v>
      </c>
      <c r="C78" s="6">
        <v>5</v>
      </c>
      <c r="D78" s="10">
        <f>(co2e_g_kwh!D78)/1000000000000</f>
        <v>0</v>
      </c>
      <c r="E78" s="10">
        <f>(co2e_g_kwh!F78)/1000000000000</f>
        <v>2.2420704799999994E-5</v>
      </c>
      <c r="F78" s="10">
        <f>(co2e_g_kwh!G78)/1000000000000</f>
        <v>0</v>
      </c>
      <c r="G78" s="10">
        <f>(co2e_g_kwh!K78)/1000000000000</f>
        <v>1.4698383959999969E-2</v>
      </c>
      <c r="H78" s="19">
        <f t="shared" si="4"/>
        <v>1.4720804664799969E-2</v>
      </c>
      <c r="I78" s="10">
        <f>(co2e_g_kwh!E78)/1000000000000</f>
        <v>0.62508913467000105</v>
      </c>
      <c r="J78" s="10">
        <f>(co2e_g_kwh!H78)/1000000000000</f>
        <v>0.38849937498000053</v>
      </c>
      <c r="K78" s="20">
        <f t="shared" si="5"/>
        <v>1.0135885096500017</v>
      </c>
      <c r="L78" s="21">
        <f>(co2e_g_kwh!I78)/1000000000000</f>
        <v>0.66370262447999528</v>
      </c>
      <c r="M78" s="10">
        <f>(co2e_g_kwh!J78)/1000000000000</f>
        <v>0</v>
      </c>
      <c r="N78" s="10">
        <f>(co2e_g_kwh!L78)/1000000000000</f>
        <v>2.9670396000000001E-3</v>
      </c>
      <c r="O78" s="10">
        <f>(co2e_g_kwh!M78)/1000000000000</f>
        <v>5.9745882000000125E-2</v>
      </c>
      <c r="P78" s="22">
        <f t="shared" si="6"/>
        <v>6.2712921600000124E-2</v>
      </c>
      <c r="Q78" s="10">
        <f>(co2e_g_kwh!N78)/1000000000000</f>
        <v>0</v>
      </c>
      <c r="R78" s="10">
        <f>(co2e_g_kwh!O78)/1000000000000</f>
        <v>0</v>
      </c>
      <c r="S78" s="14">
        <f t="shared" si="7"/>
        <v>1.7547248603947969</v>
      </c>
    </row>
    <row r="79" spans="1:19" x14ac:dyDescent="0.3">
      <c r="A79" s="6">
        <v>78</v>
      </c>
      <c r="B79" s="6">
        <v>2006</v>
      </c>
      <c r="C79" s="6">
        <v>6</v>
      </c>
      <c r="D79" s="10">
        <f>(co2e_g_kwh!D79)/1000000000000</f>
        <v>0</v>
      </c>
      <c r="E79" s="10">
        <f>(co2e_g_kwh!F79)/1000000000000</f>
        <v>1.0918167E-4</v>
      </c>
      <c r="F79" s="10">
        <f>(co2e_g_kwh!G79)/1000000000000</f>
        <v>0</v>
      </c>
      <c r="G79" s="10">
        <f>(co2e_g_kwh!K79)/1000000000000</f>
        <v>1.3074712430000015E-2</v>
      </c>
      <c r="H79" s="19">
        <f t="shared" si="4"/>
        <v>1.3183894100000015E-2</v>
      </c>
      <c r="I79" s="10">
        <f>(co2e_g_kwh!E79)/1000000000000</f>
        <v>0.59743906221999876</v>
      </c>
      <c r="J79" s="10">
        <f>(co2e_g_kwh!H79)/1000000000000</f>
        <v>0.35004228731999953</v>
      </c>
      <c r="K79" s="20">
        <f t="shared" si="5"/>
        <v>0.9474813495399983</v>
      </c>
      <c r="L79" s="21">
        <f>(co2e_g_kwh!I79)/1000000000000</f>
        <v>0.64559431754998686</v>
      </c>
      <c r="M79" s="10">
        <f>(co2e_g_kwh!J79)/1000000000000</f>
        <v>0</v>
      </c>
      <c r="N79" s="10">
        <f>(co2e_g_kwh!L79)/1000000000000</f>
        <v>9.699412800000003E-3</v>
      </c>
      <c r="O79" s="10">
        <f>(co2e_g_kwh!M79)/1000000000000</f>
        <v>5.8813952399999959E-2</v>
      </c>
      <c r="P79" s="22">
        <f t="shared" si="6"/>
        <v>6.8513365199999968E-2</v>
      </c>
      <c r="Q79" s="10">
        <f>(co2e_g_kwh!N79)/1000000000000</f>
        <v>0</v>
      </c>
      <c r="R79" s="10">
        <f>(co2e_g_kwh!O79)/1000000000000</f>
        <v>0</v>
      </c>
      <c r="S79" s="14">
        <f t="shared" si="7"/>
        <v>1.6747729263899853</v>
      </c>
    </row>
    <row r="80" spans="1:19" x14ac:dyDescent="0.3">
      <c r="A80" s="6">
        <v>79</v>
      </c>
      <c r="B80" s="6">
        <v>2006</v>
      </c>
      <c r="C80" s="6">
        <v>7</v>
      </c>
      <c r="D80" s="10">
        <f>(co2e_g_kwh!D80)/1000000000000</f>
        <v>0</v>
      </c>
      <c r="E80" s="10">
        <f>(co2e_g_kwh!F80)/1000000000000</f>
        <v>2.3356618999999999E-4</v>
      </c>
      <c r="F80" s="10">
        <f>(co2e_g_kwh!G80)/1000000000000</f>
        <v>0</v>
      </c>
      <c r="G80" s="10">
        <f>(co2e_g_kwh!K80)/1000000000000</f>
        <v>1.7192157450000023E-2</v>
      </c>
      <c r="H80" s="19">
        <f t="shared" si="4"/>
        <v>1.7425723640000022E-2</v>
      </c>
      <c r="I80" s="10">
        <f>(co2e_g_kwh!E80)/1000000000000</f>
        <v>0.6567330569799994</v>
      </c>
      <c r="J80" s="10">
        <f>(co2e_g_kwh!H80)/1000000000000</f>
        <v>0.46645936883999933</v>
      </c>
      <c r="K80" s="20">
        <f t="shared" si="5"/>
        <v>1.1231924258199988</v>
      </c>
      <c r="L80" s="21">
        <f>(co2e_g_kwh!I80)/1000000000000</f>
        <v>0.65674929768000179</v>
      </c>
      <c r="M80" s="10">
        <f>(co2e_g_kwh!J80)/1000000000000</f>
        <v>0</v>
      </c>
      <c r="N80" s="10">
        <f>(co2e_g_kwh!L80)/1000000000000</f>
        <v>2.2568313599999997E-2</v>
      </c>
      <c r="O80" s="10">
        <f>(co2e_g_kwh!M80)/1000000000000</f>
        <v>5.9876107200000021E-2</v>
      </c>
      <c r="P80" s="22">
        <f t="shared" si="6"/>
        <v>8.2444420800000015E-2</v>
      </c>
      <c r="Q80" s="10">
        <f>(co2e_g_kwh!N80)/1000000000000</f>
        <v>0</v>
      </c>
      <c r="R80" s="10">
        <f>(co2e_g_kwh!O80)/1000000000000</f>
        <v>0</v>
      </c>
      <c r="S80" s="14">
        <f t="shared" si="7"/>
        <v>1.8798118679400004</v>
      </c>
    </row>
    <row r="81" spans="1:19" x14ac:dyDescent="0.3">
      <c r="A81" s="6">
        <v>80</v>
      </c>
      <c r="B81" s="6">
        <v>2006</v>
      </c>
      <c r="C81" s="6">
        <v>8</v>
      </c>
      <c r="D81" s="10">
        <f>(co2e_g_kwh!D81)/1000000000000</f>
        <v>0</v>
      </c>
      <c r="E81" s="10">
        <f>(co2e_g_kwh!F81)/1000000000000</f>
        <v>3.6193299999999999E-4</v>
      </c>
      <c r="F81" s="10">
        <f>(co2e_g_kwh!G81)/1000000000000</f>
        <v>0</v>
      </c>
      <c r="G81" s="10">
        <f>(co2e_g_kwh!K81)/1000000000000</f>
        <v>1.7273662379999982E-2</v>
      </c>
      <c r="H81" s="19">
        <f t="shared" si="4"/>
        <v>1.763559537999998E-2</v>
      </c>
      <c r="I81" s="10">
        <f>(co2e_g_kwh!E81)/1000000000000</f>
        <v>0.63182049931000106</v>
      </c>
      <c r="J81" s="10">
        <f>(co2e_g_kwh!H81)/1000000000000</f>
        <v>0.49167543995999807</v>
      </c>
      <c r="K81" s="20">
        <f t="shared" si="5"/>
        <v>1.1234959392699992</v>
      </c>
      <c r="L81" s="21">
        <f>(co2e_g_kwh!I81)/1000000000000</f>
        <v>0.68009329017000175</v>
      </c>
      <c r="M81" s="10">
        <f>(co2e_g_kwh!J81)/1000000000000</f>
        <v>0</v>
      </c>
      <c r="N81" s="10">
        <f>(co2e_g_kwh!L81)/1000000000000</f>
        <v>3.8808789600000004E-2</v>
      </c>
      <c r="O81" s="10">
        <f>(co2e_g_kwh!M81)/1000000000000</f>
        <v>3.5667206400000012E-2</v>
      </c>
      <c r="P81" s="22">
        <f t="shared" si="6"/>
        <v>7.4475996000000017E-2</v>
      </c>
      <c r="Q81" s="10">
        <f>(co2e_g_kwh!N81)/1000000000000</f>
        <v>0</v>
      </c>
      <c r="R81" s="10">
        <f>(co2e_g_kwh!O81)/1000000000000</f>
        <v>0</v>
      </c>
      <c r="S81" s="14">
        <f t="shared" si="7"/>
        <v>1.8957008208200008</v>
      </c>
    </row>
    <row r="82" spans="1:19" x14ac:dyDescent="0.3">
      <c r="A82" s="6">
        <v>81</v>
      </c>
      <c r="B82" s="6">
        <v>2006</v>
      </c>
      <c r="C82" s="6">
        <v>9</v>
      </c>
      <c r="D82" s="10">
        <f>(co2e_g_kwh!D82)/1000000000000</f>
        <v>1.1313016000000003E-4</v>
      </c>
      <c r="E82" s="10">
        <f>(co2e_g_kwh!F82)/1000000000000</f>
        <v>4.758799500000005E-4</v>
      </c>
      <c r="F82" s="10">
        <f>(co2e_g_kwh!G82)/1000000000000</f>
        <v>0</v>
      </c>
      <c r="G82" s="10">
        <f>(co2e_g_kwh!K82)/1000000000000</f>
        <v>1.7214158129999973E-2</v>
      </c>
      <c r="H82" s="19">
        <f t="shared" si="4"/>
        <v>1.7803168239999972E-2</v>
      </c>
      <c r="I82" s="10">
        <f>(co2e_g_kwh!E82)/1000000000000</f>
        <v>0.65134202133000096</v>
      </c>
      <c r="J82" s="10">
        <f>(co2e_g_kwh!H82)/1000000000000</f>
        <v>0.62198652956400069</v>
      </c>
      <c r="K82" s="20">
        <f t="shared" si="5"/>
        <v>1.2733285508940018</v>
      </c>
      <c r="L82" s="21">
        <f>(co2e_g_kwh!I82)/1000000000000</f>
        <v>0.6405984551399958</v>
      </c>
      <c r="M82" s="10">
        <f>(co2e_g_kwh!J82)/1000000000000</f>
        <v>0</v>
      </c>
      <c r="N82" s="10">
        <f>(co2e_g_kwh!L82)/1000000000000</f>
        <v>1.4547355200000001E-2</v>
      </c>
      <c r="O82" s="10">
        <f>(co2e_g_kwh!M82)/1000000000000</f>
        <v>1.1610732000000002E-2</v>
      </c>
      <c r="P82" s="22">
        <f t="shared" si="6"/>
        <v>2.6158087200000003E-2</v>
      </c>
      <c r="Q82" s="10">
        <f>(co2e_g_kwh!N82)/1000000000000</f>
        <v>0</v>
      </c>
      <c r="R82" s="10">
        <f>(co2e_g_kwh!O82)/1000000000000</f>
        <v>0</v>
      </c>
      <c r="S82" s="14">
        <f t="shared" si="7"/>
        <v>1.9578882614739974</v>
      </c>
    </row>
    <row r="83" spans="1:19" x14ac:dyDescent="0.3">
      <c r="A83" s="6">
        <v>82</v>
      </c>
      <c r="B83" s="6">
        <v>2006</v>
      </c>
      <c r="C83" s="6">
        <v>10</v>
      </c>
      <c r="D83" s="10">
        <f>(co2e_g_kwh!D83)/1000000000000</f>
        <v>4.3086731999999984E-4</v>
      </c>
      <c r="E83" s="10">
        <f>(co2e_g_kwh!F83)/1000000000000</f>
        <v>6.6830725000000121E-4</v>
      </c>
      <c r="F83" s="10">
        <f>(co2e_g_kwh!G83)/1000000000000</f>
        <v>0</v>
      </c>
      <c r="G83" s="10">
        <f>(co2e_g_kwh!K83)/1000000000000</f>
        <v>1.7705672010000076E-2</v>
      </c>
      <c r="H83" s="19">
        <f t="shared" si="4"/>
        <v>1.8804846580000076E-2</v>
      </c>
      <c r="I83" s="10">
        <f>(co2e_g_kwh!E83)/1000000000000</f>
        <v>0.60887981154000159</v>
      </c>
      <c r="J83" s="10">
        <f>(co2e_g_kwh!H83)/1000000000000</f>
        <v>0.68815375189199712</v>
      </c>
      <c r="K83" s="20">
        <f t="shared" si="5"/>
        <v>1.2970335634319987</v>
      </c>
      <c r="L83" s="21">
        <f>(co2e_g_kwh!I83)/1000000000000</f>
        <v>0.67128862667998612</v>
      </c>
      <c r="M83" s="10">
        <f>(co2e_g_kwh!J83)/1000000000000</f>
        <v>0</v>
      </c>
      <c r="N83" s="10">
        <f>(co2e_g_kwh!L83)/1000000000000</f>
        <v>0</v>
      </c>
      <c r="O83" s="10">
        <f>(co2e_g_kwh!M83)/1000000000000</f>
        <v>3.6610980000000011E-3</v>
      </c>
      <c r="P83" s="22">
        <f t="shared" si="6"/>
        <v>3.6610980000000011E-3</v>
      </c>
      <c r="Q83" s="10">
        <f>(co2e_g_kwh!N83)/1000000000000</f>
        <v>0</v>
      </c>
      <c r="R83" s="10">
        <f>(co2e_g_kwh!O83)/1000000000000</f>
        <v>0</v>
      </c>
      <c r="S83" s="14">
        <f t="shared" si="7"/>
        <v>1.9907881346919851</v>
      </c>
    </row>
    <row r="84" spans="1:19" x14ac:dyDescent="0.3">
      <c r="A84" s="6">
        <v>83</v>
      </c>
      <c r="B84" s="6">
        <v>2006</v>
      </c>
      <c r="C84" s="6">
        <v>11</v>
      </c>
      <c r="D84" s="10">
        <f>(co2e_g_kwh!D84)/1000000000000</f>
        <v>4.0175771999999917E-4</v>
      </c>
      <c r="E84" s="10">
        <f>(co2e_g_kwh!F84)/1000000000000</f>
        <v>6.1751703000000025E-4</v>
      </c>
      <c r="F84" s="10">
        <f>(co2e_g_kwh!G84)/1000000000000</f>
        <v>0</v>
      </c>
      <c r="G84" s="10">
        <f>(co2e_g_kwh!K84)/1000000000000</f>
        <v>1.6296701070000023E-2</v>
      </c>
      <c r="H84" s="19">
        <f t="shared" si="4"/>
        <v>1.7315975820000024E-2</v>
      </c>
      <c r="I84" s="10">
        <f>(co2e_g_kwh!E84)/1000000000000</f>
        <v>0.44094333283000048</v>
      </c>
      <c r="J84" s="10">
        <f>(co2e_g_kwh!H84)/1000000000000</f>
        <v>0.46122816689999918</v>
      </c>
      <c r="K84" s="20">
        <f t="shared" si="5"/>
        <v>0.90217149972999966</v>
      </c>
      <c r="L84" s="21">
        <f>(co2e_g_kwh!I84)/1000000000000</f>
        <v>0.67215672026999596</v>
      </c>
      <c r="M84" s="10">
        <f>(co2e_g_kwh!J84)/1000000000000</f>
        <v>0</v>
      </c>
      <c r="N84" s="10">
        <f>(co2e_g_kwh!L84)/1000000000000</f>
        <v>0</v>
      </c>
      <c r="O84" s="10">
        <f>(co2e_g_kwh!M84)/1000000000000</f>
        <v>0</v>
      </c>
      <c r="P84" s="22">
        <f t="shared" si="6"/>
        <v>0</v>
      </c>
      <c r="Q84" s="10">
        <f>(co2e_g_kwh!N84)/1000000000000</f>
        <v>0</v>
      </c>
      <c r="R84" s="10">
        <f>(co2e_g_kwh!O84)/1000000000000</f>
        <v>0</v>
      </c>
      <c r="S84" s="14">
        <f t="shared" si="7"/>
        <v>1.5916441958199958</v>
      </c>
    </row>
    <row r="85" spans="1:19" x14ac:dyDescent="0.3">
      <c r="A85" s="6">
        <v>84</v>
      </c>
      <c r="B85" s="6">
        <v>2006</v>
      </c>
      <c r="C85" s="6">
        <v>12</v>
      </c>
      <c r="D85" s="10">
        <f>(co2e_g_kwh!D85)/1000000000000</f>
        <v>3.1396456000000022E-4</v>
      </c>
      <c r="E85" s="10">
        <f>(co2e_g_kwh!F85)/1000000000000</f>
        <v>5.9411768000000066E-4</v>
      </c>
      <c r="F85" s="10">
        <f>(co2e_g_kwh!G85)/1000000000000</f>
        <v>0</v>
      </c>
      <c r="G85" s="10">
        <f>(co2e_g_kwh!K85)/1000000000000</f>
        <v>1.7703905310000132E-2</v>
      </c>
      <c r="H85" s="19">
        <f t="shared" si="4"/>
        <v>1.8611987550000132E-2</v>
      </c>
      <c r="I85" s="10">
        <f>(co2e_g_kwh!E85)/1000000000000</f>
        <v>0.36160094970999879</v>
      </c>
      <c r="J85" s="10">
        <f>(co2e_g_kwh!H85)/1000000000000</f>
        <v>0.62173661184000095</v>
      </c>
      <c r="K85" s="20">
        <f t="shared" si="5"/>
        <v>0.98333756154999974</v>
      </c>
      <c r="L85" s="21">
        <f>(co2e_g_kwh!I85)/1000000000000</f>
        <v>0.69148378403999033</v>
      </c>
      <c r="M85" s="10">
        <f>(co2e_g_kwh!J85)/1000000000000</f>
        <v>0</v>
      </c>
      <c r="N85" s="10">
        <f>(co2e_g_kwh!L85)/1000000000000</f>
        <v>8.6687999999999974E-6</v>
      </c>
      <c r="O85" s="10">
        <f>(co2e_g_kwh!M85)/1000000000000</f>
        <v>0</v>
      </c>
      <c r="P85" s="22">
        <f t="shared" si="6"/>
        <v>8.6687999999999974E-6</v>
      </c>
      <c r="Q85" s="10">
        <f>(co2e_g_kwh!N85)/1000000000000</f>
        <v>0</v>
      </c>
      <c r="R85" s="10">
        <f>(co2e_g_kwh!O85)/1000000000000</f>
        <v>0</v>
      </c>
      <c r="S85" s="14">
        <f t="shared" si="7"/>
        <v>1.6934420019399903</v>
      </c>
    </row>
    <row r="86" spans="1:19" x14ac:dyDescent="0.3">
      <c r="A86" s="6">
        <v>85</v>
      </c>
      <c r="B86" s="6">
        <v>2007</v>
      </c>
      <c r="C86" s="6">
        <v>1</v>
      </c>
      <c r="D86" s="10">
        <f>(co2e_g_kwh!D86)/1000000000000</f>
        <v>4.3549324000000014E-4</v>
      </c>
      <c r="E86" s="10">
        <f>(co2e_g_kwh!F86)/1000000000000</f>
        <v>5.7874413999999951E-4</v>
      </c>
      <c r="F86" s="10">
        <f>(co2e_g_kwh!G86)/1000000000000</f>
        <v>0</v>
      </c>
      <c r="G86" s="10">
        <f>(co2e_g_kwh!K86)/1000000000000</f>
        <v>1.3018268639999943E-2</v>
      </c>
      <c r="H86" s="19">
        <f t="shared" si="4"/>
        <v>1.4032506019999943E-2</v>
      </c>
      <c r="I86" s="10">
        <f>(co2e_g_kwh!E86)/1000000000000</f>
        <v>0.42837807011999951</v>
      </c>
      <c r="J86" s="10">
        <f>(co2e_g_kwh!H86)/1000000000000</f>
        <v>0.3714443130599987</v>
      </c>
      <c r="K86" s="20">
        <f t="shared" si="5"/>
        <v>0.79982238317999821</v>
      </c>
      <c r="L86" s="21">
        <f>(co2e_g_kwh!I86)/1000000000000</f>
        <v>0.72138363591000065</v>
      </c>
      <c r="M86" s="10">
        <f>(co2e_g_kwh!J86)/1000000000000</f>
        <v>0</v>
      </c>
      <c r="N86" s="10">
        <f>(co2e_g_kwh!L86)/1000000000000</f>
        <v>0</v>
      </c>
      <c r="O86" s="10">
        <f>(co2e_g_kwh!M86)/1000000000000</f>
        <v>0</v>
      </c>
      <c r="P86" s="22">
        <f t="shared" si="6"/>
        <v>0</v>
      </c>
      <c r="Q86" s="10">
        <f>(co2e_g_kwh!N86)/1000000000000</f>
        <v>0</v>
      </c>
      <c r="R86" s="10">
        <f>(co2e_g_kwh!O86)/1000000000000</f>
        <v>0</v>
      </c>
      <c r="S86" s="14">
        <f t="shared" si="7"/>
        <v>1.5352385251099987</v>
      </c>
    </row>
    <row r="87" spans="1:19" x14ac:dyDescent="0.3">
      <c r="A87" s="6">
        <v>86</v>
      </c>
      <c r="B87" s="6">
        <v>2007</v>
      </c>
      <c r="C87" s="6">
        <v>2</v>
      </c>
      <c r="D87" s="10">
        <f>(co2e_g_kwh!D87)/1000000000000</f>
        <v>3.6599628000000023E-4</v>
      </c>
      <c r="E87" s="10">
        <f>(co2e_g_kwh!F87)/1000000000000</f>
        <v>4.7197891000000017E-4</v>
      </c>
      <c r="F87" s="10">
        <f>(co2e_g_kwh!G87)/1000000000000</f>
        <v>0</v>
      </c>
      <c r="G87" s="10">
        <f>(co2e_g_kwh!K87)/1000000000000</f>
        <v>9.4340440999999831E-3</v>
      </c>
      <c r="H87" s="19">
        <f t="shared" si="4"/>
        <v>1.0272019289999983E-2</v>
      </c>
      <c r="I87" s="10">
        <f>(co2e_g_kwh!E87)/1000000000000</f>
        <v>0.32141395286000024</v>
      </c>
      <c r="J87" s="10">
        <f>(co2e_g_kwh!H87)/1000000000000</f>
        <v>0.24482542085999962</v>
      </c>
      <c r="K87" s="20">
        <f t="shared" si="5"/>
        <v>0.56623937371999988</v>
      </c>
      <c r="L87" s="21">
        <f>(co2e_g_kwh!I87)/1000000000000</f>
        <v>0.67005424562999238</v>
      </c>
      <c r="M87" s="10">
        <f>(co2e_g_kwh!J87)/1000000000000</f>
        <v>0</v>
      </c>
      <c r="N87" s="10">
        <f>(co2e_g_kwh!L87)/1000000000000</f>
        <v>0</v>
      </c>
      <c r="O87" s="10">
        <f>(co2e_g_kwh!M87)/1000000000000</f>
        <v>3.8863952399999957E-2</v>
      </c>
      <c r="P87" s="22">
        <f t="shared" si="6"/>
        <v>3.8863952399999957E-2</v>
      </c>
      <c r="Q87" s="10">
        <f>(co2e_g_kwh!N87)/1000000000000</f>
        <v>0</v>
      </c>
      <c r="R87" s="10">
        <f>(co2e_g_kwh!O87)/1000000000000</f>
        <v>0</v>
      </c>
      <c r="S87" s="14">
        <f t="shared" si="7"/>
        <v>1.2854295910399922</v>
      </c>
    </row>
    <row r="88" spans="1:19" x14ac:dyDescent="0.3">
      <c r="A88" s="6">
        <v>87</v>
      </c>
      <c r="B88" s="6">
        <v>2007</v>
      </c>
      <c r="C88" s="6">
        <v>3</v>
      </c>
      <c r="D88" s="10">
        <f>(co2e_g_kwh!D88)/1000000000000</f>
        <v>3.5659415999999953E-4</v>
      </c>
      <c r="E88" s="10">
        <f>(co2e_g_kwh!F88)/1000000000000</f>
        <v>3.734849299999992E-4</v>
      </c>
      <c r="F88" s="10">
        <f>(co2e_g_kwh!G88)/1000000000000</f>
        <v>0</v>
      </c>
      <c r="G88" s="10">
        <f>(co2e_g_kwh!K88)/1000000000000</f>
        <v>8.9577486700000378E-3</v>
      </c>
      <c r="H88" s="19">
        <f t="shared" si="4"/>
        <v>9.6878277600000364E-3</v>
      </c>
      <c r="I88" s="10">
        <f>(co2e_g_kwh!E88)/1000000000000</f>
        <v>0.40361411090000132</v>
      </c>
      <c r="J88" s="10">
        <f>(co2e_g_kwh!H88)/1000000000000</f>
        <v>0.2758288188600001</v>
      </c>
      <c r="K88" s="20">
        <f t="shared" si="5"/>
        <v>0.67944292976000142</v>
      </c>
      <c r="L88" s="21">
        <f>(co2e_g_kwh!I88)/1000000000000</f>
        <v>0.77515289241599317</v>
      </c>
      <c r="M88" s="10">
        <f>(co2e_g_kwh!J88)/1000000000000</f>
        <v>0</v>
      </c>
      <c r="N88" s="10">
        <f>(co2e_g_kwh!L88)/1000000000000</f>
        <v>0</v>
      </c>
      <c r="O88" s="10">
        <f>(co2e_g_kwh!M88)/1000000000000</f>
        <v>5.7306606000000024E-2</v>
      </c>
      <c r="P88" s="22">
        <f t="shared" si="6"/>
        <v>5.7306606000000024E-2</v>
      </c>
      <c r="Q88" s="10">
        <f>(co2e_g_kwh!N88)/1000000000000</f>
        <v>0</v>
      </c>
      <c r="R88" s="10">
        <f>(co2e_g_kwh!O88)/1000000000000</f>
        <v>0</v>
      </c>
      <c r="S88" s="14">
        <f t="shared" si="7"/>
        <v>1.5215902559359946</v>
      </c>
    </row>
    <row r="89" spans="1:19" x14ac:dyDescent="0.3">
      <c r="A89" s="6">
        <v>88</v>
      </c>
      <c r="B89" s="6">
        <v>2007</v>
      </c>
      <c r="C89" s="6">
        <v>4</v>
      </c>
      <c r="D89" s="10">
        <f>(co2e_g_kwh!D89)/1000000000000</f>
        <v>1.9537075999999997E-4</v>
      </c>
      <c r="E89" s="10">
        <f>(co2e_g_kwh!F89)/1000000000000</f>
        <v>4.8626811999999951E-4</v>
      </c>
      <c r="F89" s="10">
        <f>(co2e_g_kwh!G89)/1000000000000</f>
        <v>0</v>
      </c>
      <c r="G89" s="10">
        <f>(co2e_g_kwh!K89)/1000000000000</f>
        <v>7.5384045100000052E-3</v>
      </c>
      <c r="H89" s="19">
        <f t="shared" si="4"/>
        <v>8.2200433900000043E-3</v>
      </c>
      <c r="I89" s="10">
        <f>(co2e_g_kwh!E89)/1000000000000</f>
        <v>0.35033794795999956</v>
      </c>
      <c r="J89" s="10">
        <f>(co2e_g_kwh!H89)/1000000000000</f>
        <v>0.30370945788000064</v>
      </c>
      <c r="K89" s="20">
        <f t="shared" si="5"/>
        <v>0.65404740584000021</v>
      </c>
      <c r="L89" s="21">
        <f>(co2e_g_kwh!I89)/1000000000000</f>
        <v>0.72324406118999096</v>
      </c>
      <c r="M89" s="10">
        <f>(co2e_g_kwh!J89)/1000000000000</f>
        <v>0</v>
      </c>
      <c r="N89" s="10">
        <f>(co2e_g_kwh!L89)/1000000000000</f>
        <v>0</v>
      </c>
      <c r="O89" s="10">
        <f>(co2e_g_kwh!M89)/1000000000000</f>
        <v>3.3485600400000003E-2</v>
      </c>
      <c r="P89" s="22">
        <f t="shared" si="6"/>
        <v>3.3485600400000003E-2</v>
      </c>
      <c r="Q89" s="10">
        <f>(co2e_g_kwh!N89)/1000000000000</f>
        <v>0</v>
      </c>
      <c r="R89" s="10">
        <f>(co2e_g_kwh!O89)/1000000000000</f>
        <v>0</v>
      </c>
      <c r="S89" s="14">
        <f t="shared" si="7"/>
        <v>1.4189971108199912</v>
      </c>
    </row>
    <row r="90" spans="1:19" x14ac:dyDescent="0.3">
      <c r="A90" s="6">
        <v>89</v>
      </c>
      <c r="B90" s="6">
        <v>2007</v>
      </c>
      <c r="C90" s="6">
        <v>5</v>
      </c>
      <c r="D90" s="10">
        <f>(co2e_g_kwh!D90)/1000000000000</f>
        <v>1.2590500000000002E-4</v>
      </c>
      <c r="E90" s="10">
        <f>(co2e_g_kwh!F90)/1000000000000</f>
        <v>5.1644255000000061E-4</v>
      </c>
      <c r="F90" s="10">
        <f>(co2e_g_kwh!G90)/1000000000000</f>
        <v>0</v>
      </c>
      <c r="G90" s="10">
        <f>(co2e_g_kwh!K90)/1000000000000</f>
        <v>1.4009054800000083E-2</v>
      </c>
      <c r="H90" s="19">
        <f t="shared" si="4"/>
        <v>1.4651402350000084E-2</v>
      </c>
      <c r="I90" s="10">
        <f>(co2e_g_kwh!E90)/1000000000000</f>
        <v>0.30874651807999948</v>
      </c>
      <c r="J90" s="10">
        <f>(co2e_g_kwh!H90)/1000000000000</f>
        <v>0.17821502388000049</v>
      </c>
      <c r="K90" s="20">
        <f t="shared" si="5"/>
        <v>0.48696154195999997</v>
      </c>
      <c r="L90" s="21">
        <f>(co2e_g_kwh!I90)/1000000000000</f>
        <v>0.72072188264999626</v>
      </c>
      <c r="M90" s="10">
        <f>(co2e_g_kwh!J90)/1000000000000</f>
        <v>0</v>
      </c>
      <c r="N90" s="10">
        <f>(co2e_g_kwh!L90)/1000000000000</f>
        <v>7.230224399999997E-3</v>
      </c>
      <c r="O90" s="10">
        <f>(co2e_g_kwh!M90)/1000000000000</f>
        <v>3.6825852E-3</v>
      </c>
      <c r="P90" s="22">
        <f t="shared" si="6"/>
        <v>1.0912809599999997E-2</v>
      </c>
      <c r="Q90" s="10">
        <f>(co2e_g_kwh!N90)/1000000000000</f>
        <v>0</v>
      </c>
      <c r="R90" s="10">
        <f>(co2e_g_kwh!O90)/1000000000000</f>
        <v>0</v>
      </c>
      <c r="S90" s="14">
        <f t="shared" si="7"/>
        <v>1.2332476365599963</v>
      </c>
    </row>
    <row r="91" spans="1:19" x14ac:dyDescent="0.3">
      <c r="A91" s="6">
        <v>90</v>
      </c>
      <c r="B91" s="6">
        <v>2007</v>
      </c>
      <c r="C91" s="6">
        <v>6</v>
      </c>
      <c r="D91" s="10">
        <f>(co2e_g_kwh!D91)/1000000000000</f>
        <v>2.0862400000000003E-6</v>
      </c>
      <c r="E91" s="10">
        <f>(co2e_g_kwh!F91)/1000000000000</f>
        <v>5.1779325000000291E-4</v>
      </c>
      <c r="F91" s="10">
        <f>(co2e_g_kwh!G91)/1000000000000</f>
        <v>0</v>
      </c>
      <c r="G91" s="10">
        <f>(co2e_g_kwh!K91)/1000000000000</f>
        <v>1.2704052399999999E-2</v>
      </c>
      <c r="H91" s="19">
        <f t="shared" si="4"/>
        <v>1.3223931890000002E-2</v>
      </c>
      <c r="I91" s="10">
        <f>(co2e_g_kwh!E91)/1000000000000</f>
        <v>0.58833422147499803</v>
      </c>
      <c r="J91" s="10">
        <f>(co2e_g_kwh!H91)/1000000000000</f>
        <v>0.21111145992000085</v>
      </c>
      <c r="K91" s="20">
        <f t="shared" si="5"/>
        <v>0.79944568139499883</v>
      </c>
      <c r="L91" s="21">
        <f>(co2e_g_kwh!I91)/1000000000000</f>
        <v>0.68729846283000073</v>
      </c>
      <c r="M91" s="10">
        <f>(co2e_g_kwh!J91)/1000000000000</f>
        <v>0</v>
      </c>
      <c r="N91" s="10">
        <f>(co2e_g_kwh!L91)/1000000000000</f>
        <v>2.269444800000002E-2</v>
      </c>
      <c r="O91" s="10">
        <f>(co2e_g_kwh!M91)/1000000000000</f>
        <v>0</v>
      </c>
      <c r="P91" s="22">
        <f t="shared" si="6"/>
        <v>2.269444800000002E-2</v>
      </c>
      <c r="Q91" s="10">
        <f>(co2e_g_kwh!N91)/1000000000000</f>
        <v>0</v>
      </c>
      <c r="R91" s="10">
        <f>(co2e_g_kwh!O91)/1000000000000</f>
        <v>0</v>
      </c>
      <c r="S91" s="14">
        <f t="shared" si="7"/>
        <v>1.5226625241149996</v>
      </c>
    </row>
    <row r="92" spans="1:19" x14ac:dyDescent="0.3">
      <c r="A92" s="6">
        <v>91</v>
      </c>
      <c r="B92" s="6">
        <v>2007</v>
      </c>
      <c r="C92" s="6">
        <v>7</v>
      </c>
      <c r="D92" s="10">
        <f>(co2e_g_kwh!D92)/1000000000000</f>
        <v>0</v>
      </c>
      <c r="E92" s="10">
        <f>(co2e_g_kwh!F92)/1000000000000</f>
        <v>5.8565000000000038E-4</v>
      </c>
      <c r="F92" s="10">
        <f>(co2e_g_kwh!G92)/1000000000000</f>
        <v>0</v>
      </c>
      <c r="G92" s="10">
        <f>(co2e_g_kwh!K92)/1000000000000</f>
        <v>1.291253261999999E-2</v>
      </c>
      <c r="H92" s="19">
        <f t="shared" si="4"/>
        <v>1.349818261999999E-2</v>
      </c>
      <c r="I92" s="10">
        <f>(co2e_g_kwh!E92)/1000000000000</f>
        <v>0.6451600365209994</v>
      </c>
      <c r="J92" s="10">
        <f>(co2e_g_kwh!H92)/1000000000000</f>
        <v>0.39484332251999865</v>
      </c>
      <c r="K92" s="20">
        <f t="shared" si="5"/>
        <v>1.0400033590409981</v>
      </c>
      <c r="L92" s="21">
        <f>(co2e_g_kwh!I92)/1000000000000</f>
        <v>0.70820230488000901</v>
      </c>
      <c r="M92" s="10">
        <f>(co2e_g_kwh!J92)/1000000000000</f>
        <v>0</v>
      </c>
      <c r="N92" s="10">
        <f>(co2e_g_kwh!L92)/1000000000000</f>
        <v>2.9089426800000012E-2</v>
      </c>
      <c r="O92" s="10">
        <f>(co2e_g_kwh!M92)/1000000000000</f>
        <v>0</v>
      </c>
      <c r="P92" s="22">
        <f t="shared" si="6"/>
        <v>2.9089426800000012E-2</v>
      </c>
      <c r="Q92" s="10">
        <f>(co2e_g_kwh!N92)/1000000000000</f>
        <v>0</v>
      </c>
      <c r="R92" s="10">
        <f>(co2e_g_kwh!O92)/1000000000000</f>
        <v>0</v>
      </c>
      <c r="S92" s="14">
        <f t="shared" si="7"/>
        <v>1.790793273341007</v>
      </c>
    </row>
    <row r="93" spans="1:19" x14ac:dyDescent="0.3">
      <c r="A93" s="6">
        <v>92</v>
      </c>
      <c r="B93" s="6">
        <v>2007</v>
      </c>
      <c r="C93" s="6">
        <v>8</v>
      </c>
      <c r="D93" s="10">
        <f>(co2e_g_kwh!D93)/1000000000000</f>
        <v>1.0370256000000002E-4</v>
      </c>
      <c r="E93" s="10">
        <f>(co2e_g_kwh!F93)/1000000000000</f>
        <v>8.4843993000000071E-4</v>
      </c>
      <c r="F93" s="10">
        <f>(co2e_g_kwh!G93)/1000000000000</f>
        <v>0</v>
      </c>
      <c r="G93" s="10">
        <f>(co2e_g_kwh!K93)/1000000000000</f>
        <v>1.7175927339999921E-2</v>
      </c>
      <c r="H93" s="19">
        <f t="shared" si="4"/>
        <v>1.8128069829999923E-2</v>
      </c>
      <c r="I93" s="10">
        <f>(co2e_g_kwh!E93)/1000000000000</f>
        <v>0.64988048124999809</v>
      </c>
      <c r="J93" s="10">
        <f>(co2e_g_kwh!H93)/1000000000000</f>
        <v>0.39999473784000206</v>
      </c>
      <c r="K93" s="20">
        <f t="shared" si="5"/>
        <v>1.04987521909</v>
      </c>
      <c r="L93" s="21">
        <f>(co2e_g_kwh!I93)/1000000000000</f>
        <v>0.71742009116399919</v>
      </c>
      <c r="M93" s="10">
        <f>(co2e_g_kwh!J93)/1000000000000</f>
        <v>0</v>
      </c>
      <c r="N93" s="10">
        <f>(co2e_g_kwh!L93)/1000000000000</f>
        <v>4.0660183199999998E-2</v>
      </c>
      <c r="O93" s="10">
        <f>(co2e_g_kwh!M93)/1000000000000</f>
        <v>1.7414039999999998E-4</v>
      </c>
      <c r="P93" s="22">
        <f t="shared" si="6"/>
        <v>4.08343236E-2</v>
      </c>
      <c r="Q93" s="10">
        <f>(co2e_g_kwh!N93)/1000000000000</f>
        <v>0</v>
      </c>
      <c r="R93" s="10">
        <f>(co2e_g_kwh!O93)/1000000000000</f>
        <v>0</v>
      </c>
      <c r="S93" s="14">
        <f t="shared" si="7"/>
        <v>1.8262577036839991</v>
      </c>
    </row>
    <row r="94" spans="1:19" x14ac:dyDescent="0.3">
      <c r="A94" s="6">
        <v>93</v>
      </c>
      <c r="B94" s="6">
        <v>2007</v>
      </c>
      <c r="C94" s="6">
        <v>9</v>
      </c>
      <c r="D94" s="10">
        <f>(co2e_g_kwh!D94)/1000000000000</f>
        <v>1.4976E-5</v>
      </c>
      <c r="E94" s="10">
        <f>(co2e_g_kwh!F94)/1000000000000</f>
        <v>7.060435199999995E-4</v>
      </c>
      <c r="F94" s="10">
        <f>(co2e_g_kwh!G94)/1000000000000</f>
        <v>0</v>
      </c>
      <c r="G94" s="10">
        <f>(co2e_g_kwh!K94)/1000000000000</f>
        <v>1.5671328010000089E-2</v>
      </c>
      <c r="H94" s="19">
        <f t="shared" si="4"/>
        <v>1.6392347530000087E-2</v>
      </c>
      <c r="I94" s="10">
        <f>(co2e_g_kwh!E94)/1000000000000</f>
        <v>0.58573532017000274</v>
      </c>
      <c r="J94" s="10">
        <f>(co2e_g_kwh!H94)/1000000000000</f>
        <v>0.57001262814000186</v>
      </c>
      <c r="K94" s="20">
        <f t="shared" si="5"/>
        <v>1.1557479483100046</v>
      </c>
      <c r="L94" s="21">
        <f>(co2e_g_kwh!I94)/1000000000000</f>
        <v>0.68421124228799379</v>
      </c>
      <c r="M94" s="10">
        <f>(co2e_g_kwh!J94)/1000000000000</f>
        <v>0</v>
      </c>
      <c r="N94" s="10">
        <f>(co2e_g_kwh!L94)/1000000000000</f>
        <v>4.1674583999999959E-2</v>
      </c>
      <c r="O94" s="10">
        <f>(co2e_g_kwh!M94)/1000000000000</f>
        <v>0</v>
      </c>
      <c r="P94" s="22">
        <f t="shared" si="6"/>
        <v>4.1674583999999959E-2</v>
      </c>
      <c r="Q94" s="10">
        <f>(co2e_g_kwh!N94)/1000000000000</f>
        <v>0</v>
      </c>
      <c r="R94" s="10">
        <f>(co2e_g_kwh!O94)/1000000000000</f>
        <v>0</v>
      </c>
      <c r="S94" s="14">
        <f t="shared" si="7"/>
        <v>1.8980261221279984</v>
      </c>
    </row>
    <row r="95" spans="1:19" x14ac:dyDescent="0.3">
      <c r="A95" s="6">
        <v>94</v>
      </c>
      <c r="B95" s="6">
        <v>2007</v>
      </c>
      <c r="C95" s="6">
        <v>10</v>
      </c>
      <c r="D95" s="10">
        <f>(co2e_g_kwh!D95)/1000000000000</f>
        <v>4.6987719999999999E-5</v>
      </c>
      <c r="E95" s="10">
        <f>(co2e_g_kwh!F95)/1000000000000</f>
        <v>8.7669308999999943E-4</v>
      </c>
      <c r="F95" s="10">
        <f>(co2e_g_kwh!G95)/1000000000000</f>
        <v>0</v>
      </c>
      <c r="G95" s="10">
        <f>(co2e_g_kwh!K95)/1000000000000</f>
        <v>1.5829281000000053E-2</v>
      </c>
      <c r="H95" s="19">
        <f t="shared" si="4"/>
        <v>1.6752961810000053E-2</v>
      </c>
      <c r="I95" s="10">
        <f>(co2e_g_kwh!E95)/1000000000000</f>
        <v>0.66056645655000412</v>
      </c>
      <c r="J95" s="10">
        <f>(co2e_g_kwh!H95)/1000000000000</f>
        <v>0.60896350638000207</v>
      </c>
      <c r="K95" s="20">
        <f t="shared" si="5"/>
        <v>1.2695299629300063</v>
      </c>
      <c r="L95" s="21">
        <f>(co2e_g_kwh!I95)/1000000000000</f>
        <v>0.72547801137001833</v>
      </c>
      <c r="M95" s="10">
        <f>(co2e_g_kwh!J95)/1000000000000</f>
        <v>0</v>
      </c>
      <c r="N95" s="10">
        <f>(co2e_g_kwh!L95)/1000000000000</f>
        <v>1.6510687200000002E-2</v>
      </c>
      <c r="O95" s="10">
        <f>(co2e_g_kwh!M95)/1000000000000</f>
        <v>0</v>
      </c>
      <c r="P95" s="22">
        <f t="shared" si="6"/>
        <v>1.6510687200000002E-2</v>
      </c>
      <c r="Q95" s="10">
        <f>(co2e_g_kwh!N95)/1000000000000</f>
        <v>0</v>
      </c>
      <c r="R95" s="10">
        <f>(co2e_g_kwh!O95)/1000000000000</f>
        <v>0</v>
      </c>
      <c r="S95" s="14">
        <f t="shared" si="7"/>
        <v>2.0282716233100246</v>
      </c>
    </row>
    <row r="96" spans="1:19" x14ac:dyDescent="0.3">
      <c r="A96" s="6">
        <v>95</v>
      </c>
      <c r="B96" s="6">
        <v>2007</v>
      </c>
      <c r="C96" s="6">
        <v>11</v>
      </c>
      <c r="D96" s="10">
        <f>(co2e_g_kwh!D96)/1000000000000</f>
        <v>4.4215600000000003E-4</v>
      </c>
      <c r="E96" s="10">
        <f>(co2e_g_kwh!F96)/1000000000000</f>
        <v>6.364823399999986E-4</v>
      </c>
      <c r="F96" s="10">
        <f>(co2e_g_kwh!G96)/1000000000000</f>
        <v>0</v>
      </c>
      <c r="G96" s="10">
        <f>(co2e_g_kwh!K96)/1000000000000</f>
        <v>1.6845197719999958E-2</v>
      </c>
      <c r="H96" s="19">
        <f t="shared" si="4"/>
        <v>1.7923836059999958E-2</v>
      </c>
      <c r="I96" s="10">
        <f>(co2e_g_kwh!E96)/1000000000000</f>
        <v>0.6115471261899994</v>
      </c>
      <c r="J96" s="10">
        <f>(co2e_g_kwh!H96)/1000000000000</f>
        <v>0.72178574796000705</v>
      </c>
      <c r="K96" s="20">
        <f t="shared" si="5"/>
        <v>1.3333328741500066</v>
      </c>
      <c r="L96" s="21">
        <f>(co2e_g_kwh!I96)/1000000000000</f>
        <v>0.6863204497800115</v>
      </c>
      <c r="M96" s="10">
        <f>(co2e_g_kwh!J96)/1000000000000</f>
        <v>0</v>
      </c>
      <c r="N96" s="10">
        <f>(co2e_g_kwh!L96)/1000000000000</f>
        <v>6.2692896000000001E-3</v>
      </c>
      <c r="O96" s="10">
        <f>(co2e_g_kwh!M96)/1000000000000</f>
        <v>0</v>
      </c>
      <c r="P96" s="22">
        <f t="shared" si="6"/>
        <v>6.2692896000000001E-3</v>
      </c>
      <c r="Q96" s="10">
        <f>(co2e_g_kwh!N96)/1000000000000</f>
        <v>0</v>
      </c>
      <c r="R96" s="10">
        <f>(co2e_g_kwh!O96)/1000000000000</f>
        <v>0</v>
      </c>
      <c r="S96" s="14">
        <f t="shared" si="7"/>
        <v>2.0438464495900179</v>
      </c>
    </row>
    <row r="97" spans="1:19" x14ac:dyDescent="0.3">
      <c r="A97" s="6">
        <v>96</v>
      </c>
      <c r="B97" s="6">
        <v>2007</v>
      </c>
      <c r="C97" s="6">
        <v>12</v>
      </c>
      <c r="D97" s="10">
        <f>(co2e_g_kwh!D97)/1000000000000</f>
        <v>5.6213612000000004E-4</v>
      </c>
      <c r="E97" s="10">
        <f>(co2e_g_kwh!F97)/1000000000000</f>
        <v>6.6785394000000063E-4</v>
      </c>
      <c r="F97" s="10">
        <f>(co2e_g_kwh!G97)/1000000000000</f>
        <v>0</v>
      </c>
      <c r="G97" s="10">
        <f>(co2e_g_kwh!K97)/1000000000000</f>
        <v>1.6437973109999979E-2</v>
      </c>
      <c r="H97" s="19">
        <f t="shared" si="4"/>
        <v>1.7667963169999981E-2</v>
      </c>
      <c r="I97" s="10">
        <f>(co2e_g_kwh!E97)/1000000000000</f>
        <v>0.65527294833000049</v>
      </c>
      <c r="J97" s="10">
        <f>(co2e_g_kwh!H97)/1000000000000</f>
        <v>0.83754185490000244</v>
      </c>
      <c r="K97" s="20">
        <f t="shared" si="5"/>
        <v>1.492814803230003</v>
      </c>
      <c r="L97" s="21">
        <f>(co2e_g_kwh!I97)/1000000000000</f>
        <v>0.70460744991000246</v>
      </c>
      <c r="M97" s="10">
        <f>(co2e_g_kwh!J97)/1000000000000</f>
        <v>0</v>
      </c>
      <c r="N97" s="10">
        <f>(co2e_g_kwh!L97)/1000000000000</f>
        <v>3.7998080399999967E-2</v>
      </c>
      <c r="O97" s="10">
        <f>(co2e_g_kwh!M97)/1000000000000</f>
        <v>3.1899982799999858E-2</v>
      </c>
      <c r="P97" s="22">
        <f t="shared" si="6"/>
        <v>6.9898063199999833E-2</v>
      </c>
      <c r="Q97" s="10">
        <f>(co2e_g_kwh!N97)/1000000000000</f>
        <v>0</v>
      </c>
      <c r="R97" s="10">
        <f>(co2e_g_kwh!O97)/1000000000000</f>
        <v>0</v>
      </c>
      <c r="S97" s="14">
        <f t="shared" si="7"/>
        <v>2.2849882795100052</v>
      </c>
    </row>
    <row r="98" spans="1:19" x14ac:dyDescent="0.3">
      <c r="A98" s="6">
        <v>97</v>
      </c>
      <c r="B98" s="6">
        <v>2008</v>
      </c>
      <c r="C98" s="6">
        <v>1</v>
      </c>
      <c r="D98" s="10">
        <f>(co2e_g_kwh!D98)/1000000000000</f>
        <v>1.6514784000000004E-3</v>
      </c>
      <c r="E98" s="10">
        <f>(co2e_g_kwh!F98)/1000000000000</f>
        <v>7.0623552999999934E-4</v>
      </c>
      <c r="F98" s="10">
        <f>(co2e_g_kwh!G98)/1000000000000</f>
        <v>0</v>
      </c>
      <c r="G98" s="10">
        <f>(co2e_g_kwh!K98)/1000000000000</f>
        <v>1.693308226999999E-2</v>
      </c>
      <c r="H98" s="19">
        <f t="shared" si="4"/>
        <v>1.9290796199999988E-2</v>
      </c>
      <c r="I98" s="10">
        <f>(co2e_g_kwh!E98)/1000000000000</f>
        <v>0.64607740197000085</v>
      </c>
      <c r="J98" s="10">
        <f>(co2e_g_kwh!H98)/1000000000000</f>
        <v>1.0602827553600003</v>
      </c>
      <c r="K98" s="20">
        <f t="shared" si="5"/>
        <v>1.7063601573300011</v>
      </c>
      <c r="L98" s="21">
        <f>(co2e_g_kwh!I98)/1000000000000</f>
        <v>0.69274706508000061</v>
      </c>
      <c r="M98" s="10">
        <f>(co2e_g_kwh!J98)/1000000000000</f>
        <v>0</v>
      </c>
      <c r="N98" s="10">
        <f>(co2e_g_kwh!L98)/1000000000000</f>
        <v>0.17982744359999986</v>
      </c>
      <c r="O98" s="10">
        <f>(co2e_g_kwh!M98)/1000000000000</f>
        <v>0.14813080800000006</v>
      </c>
      <c r="P98" s="22">
        <f t="shared" si="6"/>
        <v>0.32795825159999992</v>
      </c>
      <c r="Q98" s="10">
        <f>(co2e_g_kwh!N98)/1000000000000</f>
        <v>0</v>
      </c>
      <c r="R98" s="10">
        <f>(co2e_g_kwh!O98)/1000000000000</f>
        <v>0</v>
      </c>
      <c r="S98" s="14">
        <f t="shared" si="7"/>
        <v>2.7463562702100015</v>
      </c>
    </row>
    <row r="99" spans="1:19" x14ac:dyDescent="0.3">
      <c r="A99" s="6">
        <v>98</v>
      </c>
      <c r="B99" s="6">
        <v>2008</v>
      </c>
      <c r="C99" s="6">
        <v>2</v>
      </c>
      <c r="D99" s="10">
        <f>(co2e_g_kwh!D99)/1000000000000</f>
        <v>1.7895461999999993E-3</v>
      </c>
      <c r="E99" s="10">
        <f>(co2e_g_kwh!F99)/1000000000000</f>
        <v>5.5207827999999987E-4</v>
      </c>
      <c r="F99" s="10">
        <f>(co2e_g_kwh!G99)/1000000000000</f>
        <v>0</v>
      </c>
      <c r="G99" s="10">
        <f>(co2e_g_kwh!K99)/1000000000000</f>
        <v>1.4563281070000021E-2</v>
      </c>
      <c r="H99" s="19">
        <f t="shared" si="4"/>
        <v>1.6904905550000019E-2</v>
      </c>
      <c r="I99" s="10">
        <f>(co2e_g_kwh!E99)/1000000000000</f>
        <v>0.64165717616000062</v>
      </c>
      <c r="J99" s="10">
        <f>(co2e_g_kwh!H99)/1000000000000</f>
        <v>1.2089998440000016</v>
      </c>
      <c r="K99" s="20">
        <f t="shared" si="5"/>
        <v>1.8506570201600021</v>
      </c>
      <c r="L99" s="21">
        <f>(co2e_g_kwh!I99)/1000000000000</f>
        <v>0.64809135341999613</v>
      </c>
      <c r="M99" s="10">
        <f>(co2e_g_kwh!J99)/1000000000000</f>
        <v>0</v>
      </c>
      <c r="N99" s="10">
        <f>(co2e_g_kwh!L99)/1000000000000</f>
        <v>0.14326048799999991</v>
      </c>
      <c r="O99" s="10">
        <f>(co2e_g_kwh!M99)/1000000000000</f>
        <v>0.20268608639999974</v>
      </c>
      <c r="P99" s="22">
        <f t="shared" si="6"/>
        <v>0.34594657439999965</v>
      </c>
      <c r="Q99" s="10">
        <f>(co2e_g_kwh!N99)/1000000000000</f>
        <v>0</v>
      </c>
      <c r="R99" s="10">
        <f>(co2e_g_kwh!O99)/1000000000000</f>
        <v>0</v>
      </c>
      <c r="S99" s="14">
        <f t="shared" si="7"/>
        <v>2.8615998535299987</v>
      </c>
    </row>
    <row r="100" spans="1:19" x14ac:dyDescent="0.3">
      <c r="A100" s="6">
        <v>99</v>
      </c>
      <c r="B100" s="6">
        <v>2008</v>
      </c>
      <c r="C100" s="6">
        <v>3</v>
      </c>
      <c r="D100" s="10">
        <f>(co2e_g_kwh!D100)/1000000000000</f>
        <v>1.6015136800000009E-3</v>
      </c>
      <c r="E100" s="10">
        <f>(co2e_g_kwh!F100)/1000000000000</f>
        <v>3.8015964999999998E-4</v>
      </c>
      <c r="F100" s="10">
        <f>(co2e_g_kwh!G100)/1000000000000</f>
        <v>0</v>
      </c>
      <c r="G100" s="10">
        <f>(co2e_g_kwh!K100)/1000000000000</f>
        <v>1.2981618389999984E-2</v>
      </c>
      <c r="H100" s="19">
        <f t="shared" si="4"/>
        <v>1.4963291719999985E-2</v>
      </c>
      <c r="I100" s="10">
        <f>(co2e_g_kwh!E100)/1000000000000</f>
        <v>0.5845188849500017</v>
      </c>
      <c r="J100" s="10">
        <f>(co2e_g_kwh!H100)/1000000000000</f>
        <v>1.2172584905999961</v>
      </c>
      <c r="K100" s="20">
        <f t="shared" si="5"/>
        <v>1.8017773755499977</v>
      </c>
      <c r="L100" s="21">
        <f>(co2e_g_kwh!I100)/1000000000000</f>
        <v>0.71049091322999169</v>
      </c>
      <c r="M100" s="10">
        <f>(co2e_g_kwh!J100)/1000000000000</f>
        <v>0</v>
      </c>
      <c r="N100" s="10">
        <f>(co2e_g_kwh!L100)/1000000000000</f>
        <v>0.11303836319999958</v>
      </c>
      <c r="O100" s="10">
        <f>(co2e_g_kwh!M100)/1000000000000</f>
        <v>0.20134057439999989</v>
      </c>
      <c r="P100" s="22">
        <f t="shared" si="6"/>
        <v>0.31437893759999946</v>
      </c>
      <c r="Q100" s="10">
        <f>(co2e_g_kwh!N100)/1000000000000</f>
        <v>0</v>
      </c>
      <c r="R100" s="10">
        <f>(co2e_g_kwh!O100)/1000000000000</f>
        <v>0</v>
      </c>
      <c r="S100" s="14">
        <f t="shared" si="7"/>
        <v>2.8416105180999889</v>
      </c>
    </row>
    <row r="101" spans="1:19" x14ac:dyDescent="0.3">
      <c r="A101" s="6">
        <v>100</v>
      </c>
      <c r="B101" s="6">
        <v>2008</v>
      </c>
      <c r="C101" s="6">
        <v>4</v>
      </c>
      <c r="D101" s="10">
        <f>(co2e_g_kwh!D101)/1000000000000</f>
        <v>5.7286267999999971E-4</v>
      </c>
      <c r="E101" s="10">
        <f>(co2e_g_kwh!F101)/1000000000000</f>
        <v>2.9356677999999991E-4</v>
      </c>
      <c r="F101" s="10">
        <f>(co2e_g_kwh!G101)/1000000000000</f>
        <v>0</v>
      </c>
      <c r="G101" s="10">
        <f>(co2e_g_kwh!K101)/1000000000000</f>
        <v>1.4166770540000043E-2</v>
      </c>
      <c r="H101" s="19">
        <f t="shared" si="4"/>
        <v>1.5033200000000043E-2</v>
      </c>
      <c r="I101" s="10">
        <f>(co2e_g_kwh!E101)/1000000000000</f>
        <v>0.3869532867200014</v>
      </c>
      <c r="J101" s="10">
        <f>(co2e_g_kwh!H101)/1000000000000</f>
        <v>1.0236691142999863</v>
      </c>
      <c r="K101" s="20">
        <f t="shared" si="5"/>
        <v>1.4106224010199877</v>
      </c>
      <c r="L101" s="21">
        <f>(co2e_g_kwh!I101)/1000000000000</f>
        <v>0.6973164651599878</v>
      </c>
      <c r="M101" s="10">
        <f>(co2e_g_kwh!J101)/1000000000000</f>
        <v>0</v>
      </c>
      <c r="N101" s="10">
        <f>(co2e_g_kwh!L101)/1000000000000</f>
        <v>4.7580556800000014E-2</v>
      </c>
      <c r="O101" s="10">
        <f>(co2e_g_kwh!M101)/1000000000000</f>
        <v>0.11534381039999972</v>
      </c>
      <c r="P101" s="22">
        <f t="shared" si="6"/>
        <v>0.16292436719999973</v>
      </c>
      <c r="Q101" s="10">
        <f>(co2e_g_kwh!N101)/1000000000000</f>
        <v>0</v>
      </c>
      <c r="R101" s="10">
        <f>(co2e_g_kwh!O101)/1000000000000</f>
        <v>0</v>
      </c>
      <c r="S101" s="14">
        <f t="shared" si="7"/>
        <v>2.2858964333799752</v>
      </c>
    </row>
    <row r="102" spans="1:19" x14ac:dyDescent="0.3">
      <c r="A102" s="6">
        <v>101</v>
      </c>
      <c r="B102" s="6">
        <v>2008</v>
      </c>
      <c r="C102" s="6">
        <v>5</v>
      </c>
      <c r="D102" s="10">
        <f>(co2e_g_kwh!D102)/1000000000000</f>
        <v>2.3677576000000018E-4</v>
      </c>
      <c r="E102" s="10">
        <f>(co2e_g_kwh!F102)/1000000000000</f>
        <v>5.3494545000000047E-4</v>
      </c>
      <c r="F102" s="10">
        <f>(co2e_g_kwh!G102)/1000000000000</f>
        <v>0</v>
      </c>
      <c r="G102" s="10">
        <f>(co2e_g_kwh!K102)/1000000000000</f>
        <v>9.5831176999999941E-3</v>
      </c>
      <c r="H102" s="19">
        <f t="shared" si="4"/>
        <v>1.0354838909999995E-2</v>
      </c>
      <c r="I102" s="10">
        <f>(co2e_g_kwh!E102)/1000000000000</f>
        <v>0.50250540340000005</v>
      </c>
      <c r="J102" s="10">
        <f>(co2e_g_kwh!H102)/1000000000000</f>
        <v>0.89158480703999299</v>
      </c>
      <c r="K102" s="20">
        <f t="shared" si="5"/>
        <v>1.394090210439993</v>
      </c>
      <c r="L102" s="21">
        <f>(co2e_g_kwh!I102)/1000000000000</f>
        <v>0.71070040544999569</v>
      </c>
      <c r="M102" s="10">
        <f>(co2e_g_kwh!J102)/1000000000000</f>
        <v>0</v>
      </c>
      <c r="N102" s="10">
        <f>(co2e_g_kwh!L102)/1000000000000</f>
        <v>0.11186679839999997</v>
      </c>
      <c r="O102" s="10">
        <f>(co2e_g_kwh!M102)/1000000000000</f>
        <v>8.139902400000032E-2</v>
      </c>
      <c r="P102" s="22">
        <f t="shared" si="6"/>
        <v>0.19326582240000029</v>
      </c>
      <c r="Q102" s="10">
        <f>(co2e_g_kwh!N102)/1000000000000</f>
        <v>0</v>
      </c>
      <c r="R102" s="10">
        <f>(co2e_g_kwh!O102)/1000000000000</f>
        <v>0</v>
      </c>
      <c r="S102" s="14">
        <f t="shared" si="7"/>
        <v>2.3084112771999892</v>
      </c>
    </row>
    <row r="103" spans="1:19" x14ac:dyDescent="0.3">
      <c r="A103" s="6">
        <v>102</v>
      </c>
      <c r="B103" s="6">
        <v>2008</v>
      </c>
      <c r="C103" s="6">
        <v>6</v>
      </c>
      <c r="D103" s="10">
        <f>(co2e_g_kwh!D103)/1000000000000</f>
        <v>2.8644979999999987E-4</v>
      </c>
      <c r="E103" s="10">
        <f>(co2e_g_kwh!F103)/1000000000000</f>
        <v>5.4349671999999764E-4</v>
      </c>
      <c r="F103" s="10">
        <f>(co2e_g_kwh!G103)/1000000000000</f>
        <v>0</v>
      </c>
      <c r="G103" s="10">
        <f>(co2e_g_kwh!K103)/1000000000000</f>
        <v>7.3769780500000061E-3</v>
      </c>
      <c r="H103" s="19">
        <f t="shared" si="4"/>
        <v>8.2069245700000029E-3</v>
      </c>
      <c r="I103" s="10">
        <f>(co2e_g_kwh!E103)/1000000000000</f>
        <v>0.62877011197000121</v>
      </c>
      <c r="J103" s="10">
        <f>(co2e_g_kwh!H103)/1000000000000</f>
        <v>0.89722497798</v>
      </c>
      <c r="K103" s="20">
        <f t="shared" si="5"/>
        <v>1.5259950899500012</v>
      </c>
      <c r="L103" s="21">
        <f>(co2e_g_kwh!I103)/1000000000000</f>
        <v>0.69885345368998675</v>
      </c>
      <c r="M103" s="10">
        <f>(co2e_g_kwh!J103)/1000000000000</f>
        <v>0</v>
      </c>
      <c r="N103" s="10">
        <f>(co2e_g_kwh!L103)/1000000000000</f>
        <v>0.15918063840000049</v>
      </c>
      <c r="O103" s="10">
        <f>(co2e_g_kwh!M103)/1000000000000</f>
        <v>0.14325501120000017</v>
      </c>
      <c r="P103" s="22">
        <f t="shared" si="6"/>
        <v>0.30243564960000069</v>
      </c>
      <c r="Q103" s="10">
        <f>(co2e_g_kwh!N103)/1000000000000</f>
        <v>0</v>
      </c>
      <c r="R103" s="10">
        <f>(co2e_g_kwh!O103)/1000000000000</f>
        <v>0</v>
      </c>
      <c r="S103" s="14">
        <f t="shared" si="7"/>
        <v>2.5354911178099888</v>
      </c>
    </row>
    <row r="104" spans="1:19" x14ac:dyDescent="0.3">
      <c r="A104" s="6">
        <v>103</v>
      </c>
      <c r="B104" s="6">
        <v>2008</v>
      </c>
      <c r="C104" s="6">
        <v>7</v>
      </c>
      <c r="D104" s="10">
        <f>(co2e_g_kwh!D104)/1000000000000</f>
        <v>3.3579676000000008E-4</v>
      </c>
      <c r="E104" s="10">
        <f>(co2e_g_kwh!F104)/1000000000000</f>
        <v>4.8520991999999986E-4</v>
      </c>
      <c r="F104" s="10">
        <f>(co2e_g_kwh!G104)/1000000000000</f>
        <v>0</v>
      </c>
      <c r="G104" s="10">
        <f>(co2e_g_kwh!K104)/1000000000000</f>
        <v>1.8013530469999942E-2</v>
      </c>
      <c r="H104" s="19">
        <f t="shared" si="4"/>
        <v>1.8834537149999941E-2</v>
      </c>
      <c r="I104" s="10">
        <f>(co2e_g_kwh!E104)/1000000000000</f>
        <v>0.56443161775000084</v>
      </c>
      <c r="J104" s="10">
        <f>(co2e_g_kwh!H104)/1000000000000</f>
        <v>0.89776278557999944</v>
      </c>
      <c r="K104" s="20">
        <f t="shared" si="5"/>
        <v>1.4621944033300003</v>
      </c>
      <c r="L104" s="21">
        <f>(co2e_g_kwh!I104)/1000000000000</f>
        <v>0.69798892925999279</v>
      </c>
      <c r="M104" s="10">
        <f>(co2e_g_kwh!J104)/1000000000000</f>
        <v>0</v>
      </c>
      <c r="N104" s="10">
        <f>(co2e_g_kwh!L104)/1000000000000</f>
        <v>3.8540023200000002E-2</v>
      </c>
      <c r="O104" s="10">
        <f>(co2e_g_kwh!M104)/1000000000000</f>
        <v>9.5700695999999981E-3</v>
      </c>
      <c r="P104" s="22">
        <f t="shared" si="6"/>
        <v>4.8110092800000004E-2</v>
      </c>
      <c r="Q104" s="10">
        <f>(co2e_g_kwh!N104)/1000000000000</f>
        <v>0</v>
      </c>
      <c r="R104" s="10">
        <f>(co2e_g_kwh!O104)/1000000000000</f>
        <v>0</v>
      </c>
      <c r="S104" s="14">
        <f t="shared" si="7"/>
        <v>2.2271279625399929</v>
      </c>
    </row>
    <row r="105" spans="1:19" x14ac:dyDescent="0.3">
      <c r="A105" s="6">
        <v>104</v>
      </c>
      <c r="B105" s="6">
        <v>2008</v>
      </c>
      <c r="C105" s="6">
        <v>8</v>
      </c>
      <c r="D105" s="10">
        <f>(co2e_g_kwh!D105)/1000000000000</f>
        <v>2.8023372000000001E-4</v>
      </c>
      <c r="E105" s="10">
        <f>(co2e_g_kwh!F105)/1000000000000</f>
        <v>6.7643497999999972E-4</v>
      </c>
      <c r="F105" s="10">
        <f>(co2e_g_kwh!G105)/1000000000000</f>
        <v>0</v>
      </c>
      <c r="G105" s="10">
        <f>(co2e_g_kwh!K105)/1000000000000</f>
        <v>1.7788730310000021E-2</v>
      </c>
      <c r="H105" s="19">
        <f t="shared" si="4"/>
        <v>1.8745399010000021E-2</v>
      </c>
      <c r="I105" s="10">
        <f>(co2e_g_kwh!E105)/1000000000000</f>
        <v>0.52214482319999933</v>
      </c>
      <c r="J105" s="10">
        <f>(co2e_g_kwh!H105)/1000000000000</f>
        <v>0.98519447231999979</v>
      </c>
      <c r="K105" s="20">
        <f t="shared" si="5"/>
        <v>1.5073392955199991</v>
      </c>
      <c r="L105" s="21">
        <f>(co2e_g_kwh!I105)/1000000000000</f>
        <v>0.71621976069000193</v>
      </c>
      <c r="M105" s="10">
        <f>(co2e_g_kwh!J105)/1000000000000</f>
        <v>0</v>
      </c>
      <c r="N105" s="10">
        <f>(co2e_g_kwh!L105)/1000000000000</f>
        <v>1.9955199600000001E-2</v>
      </c>
      <c r="O105" s="10">
        <f>(co2e_g_kwh!M105)/1000000000000</f>
        <v>1.9193999999999993E-5</v>
      </c>
      <c r="P105" s="22">
        <f t="shared" si="6"/>
        <v>1.9974393600000001E-2</v>
      </c>
      <c r="Q105" s="10">
        <f>(co2e_g_kwh!N105)/1000000000000</f>
        <v>0</v>
      </c>
      <c r="R105" s="10">
        <f>(co2e_g_kwh!O105)/1000000000000</f>
        <v>0</v>
      </c>
      <c r="S105" s="14">
        <f t="shared" si="7"/>
        <v>2.2622788488200012</v>
      </c>
    </row>
    <row r="106" spans="1:19" x14ac:dyDescent="0.3">
      <c r="A106" s="6">
        <v>105</v>
      </c>
      <c r="B106" s="6">
        <v>2008</v>
      </c>
      <c r="C106" s="6">
        <v>9</v>
      </c>
      <c r="D106" s="10">
        <f>(co2e_g_kwh!D106)/1000000000000</f>
        <v>7.4846720000000004E-5</v>
      </c>
      <c r="E106" s="10">
        <f>(co2e_g_kwh!F106)/1000000000000</f>
        <v>8.0919488000000034E-4</v>
      </c>
      <c r="F106" s="10">
        <f>(co2e_g_kwh!G106)/1000000000000</f>
        <v>0</v>
      </c>
      <c r="G106" s="10">
        <f>(co2e_g_kwh!K106)/1000000000000</f>
        <v>1.7482748919999978E-2</v>
      </c>
      <c r="H106" s="19">
        <f t="shared" si="4"/>
        <v>1.8366790519999978E-2</v>
      </c>
      <c r="I106" s="10">
        <f>(co2e_g_kwh!E106)/1000000000000</f>
        <v>0.45277333101000167</v>
      </c>
      <c r="J106" s="10">
        <f>(co2e_g_kwh!H106)/1000000000000</f>
        <v>0.94722348186000505</v>
      </c>
      <c r="K106" s="20">
        <f t="shared" si="5"/>
        <v>1.3999968128700067</v>
      </c>
      <c r="L106" s="21">
        <f>(co2e_g_kwh!I106)/1000000000000</f>
        <v>0.69203725122000137</v>
      </c>
      <c r="M106" s="10">
        <f>(co2e_g_kwh!J106)/1000000000000</f>
        <v>0</v>
      </c>
      <c r="N106" s="10">
        <f>(co2e_g_kwh!L106)/1000000000000</f>
        <v>3.2592E-4</v>
      </c>
      <c r="O106" s="10">
        <f>(co2e_g_kwh!M106)/1000000000000</f>
        <v>1.1340000000000001E-6</v>
      </c>
      <c r="P106" s="22">
        <f t="shared" si="6"/>
        <v>3.2705400000000002E-4</v>
      </c>
      <c r="Q106" s="10">
        <f>(co2e_g_kwh!N106)/1000000000000</f>
        <v>0</v>
      </c>
      <c r="R106" s="10">
        <f>(co2e_g_kwh!O106)/1000000000000</f>
        <v>0</v>
      </c>
      <c r="S106" s="14">
        <f t="shared" si="7"/>
        <v>2.1107279086100079</v>
      </c>
    </row>
    <row r="107" spans="1:19" x14ac:dyDescent="0.3">
      <c r="A107" s="6">
        <v>106</v>
      </c>
      <c r="B107" s="6">
        <v>2008</v>
      </c>
      <c r="C107" s="6">
        <v>10</v>
      </c>
      <c r="D107" s="10">
        <f>(co2e_g_kwh!D107)/1000000000000</f>
        <v>3.8603396000000005E-4</v>
      </c>
      <c r="E107" s="10">
        <f>(co2e_g_kwh!F107)/1000000000000</f>
        <v>7.5912238999999908E-4</v>
      </c>
      <c r="F107" s="10">
        <f>(co2e_g_kwh!G107)/1000000000000</f>
        <v>0</v>
      </c>
      <c r="G107" s="10">
        <f>(co2e_g_kwh!K107)/1000000000000</f>
        <v>1.7726646339999992E-2</v>
      </c>
      <c r="H107" s="19">
        <f t="shared" si="4"/>
        <v>1.8871802689999991E-2</v>
      </c>
      <c r="I107" s="10">
        <f>(co2e_g_kwh!E107)/1000000000000</f>
        <v>0.55600345801000073</v>
      </c>
      <c r="J107" s="10">
        <f>(co2e_g_kwh!H107)/1000000000000</f>
        <v>1.042862916420001</v>
      </c>
      <c r="K107" s="20">
        <f t="shared" si="5"/>
        <v>1.5988663744300018</v>
      </c>
      <c r="L107" s="21">
        <f>(co2e_g_kwh!I107)/1000000000000</f>
        <v>0.73277089851000554</v>
      </c>
      <c r="M107" s="10">
        <f>(co2e_g_kwh!J107)/1000000000000</f>
        <v>0</v>
      </c>
      <c r="N107" s="10">
        <f>(co2e_g_kwh!L107)/1000000000000</f>
        <v>2.0715744000000006E-3</v>
      </c>
      <c r="O107" s="10">
        <f>(co2e_g_kwh!M107)/1000000000000</f>
        <v>1.5297895200000003E-2</v>
      </c>
      <c r="P107" s="22">
        <f t="shared" si="6"/>
        <v>1.7369469600000003E-2</v>
      </c>
      <c r="Q107" s="10">
        <f>(co2e_g_kwh!N107)/1000000000000</f>
        <v>0</v>
      </c>
      <c r="R107" s="10">
        <f>(co2e_g_kwh!O107)/1000000000000</f>
        <v>0</v>
      </c>
      <c r="S107" s="14">
        <f t="shared" si="7"/>
        <v>2.3678785452300071</v>
      </c>
    </row>
    <row r="108" spans="1:19" x14ac:dyDescent="0.3">
      <c r="A108" s="6">
        <v>107</v>
      </c>
      <c r="B108" s="6">
        <v>2008</v>
      </c>
      <c r="C108" s="6">
        <v>11</v>
      </c>
      <c r="D108" s="10">
        <f>(co2e_g_kwh!D108)/1000000000000</f>
        <v>8.0701712000000011E-4</v>
      </c>
      <c r="E108" s="10">
        <f>(co2e_g_kwh!F108)/1000000000000</f>
        <v>8.3269121000000012E-4</v>
      </c>
      <c r="F108" s="10">
        <f>(co2e_g_kwh!G108)/1000000000000</f>
        <v>0</v>
      </c>
      <c r="G108" s="10">
        <f>(co2e_g_kwh!K108)/1000000000000</f>
        <v>1.7103141119999984E-2</v>
      </c>
      <c r="H108" s="19">
        <f t="shared" si="4"/>
        <v>1.8742849449999984E-2</v>
      </c>
      <c r="I108" s="10">
        <f>(co2e_g_kwh!E108)/1000000000000</f>
        <v>0.28913380495999874</v>
      </c>
      <c r="J108" s="10">
        <f>(co2e_g_kwh!H108)/1000000000000</f>
        <v>0.86724997542000781</v>
      </c>
      <c r="K108" s="20">
        <f t="shared" si="5"/>
        <v>1.1563837803800066</v>
      </c>
      <c r="L108" s="21">
        <f>(co2e_g_kwh!I108)/1000000000000</f>
        <v>0.6928335932699996</v>
      </c>
      <c r="M108" s="10">
        <f>(co2e_g_kwh!J108)/1000000000000</f>
        <v>0</v>
      </c>
      <c r="N108" s="10">
        <f>(co2e_g_kwh!L108)/1000000000000</f>
        <v>1.7198999999999996E-4</v>
      </c>
      <c r="O108" s="10">
        <f>(co2e_g_kwh!M108)/1000000000000</f>
        <v>3.0559199999999993E-4</v>
      </c>
      <c r="P108" s="22">
        <f t="shared" si="6"/>
        <v>4.7758199999999989E-4</v>
      </c>
      <c r="Q108" s="10">
        <f>(co2e_g_kwh!N108)/1000000000000</f>
        <v>0</v>
      </c>
      <c r="R108" s="10">
        <f>(co2e_g_kwh!O108)/1000000000000</f>
        <v>0</v>
      </c>
      <c r="S108" s="14">
        <f t="shared" si="7"/>
        <v>1.8684378051000059</v>
      </c>
    </row>
    <row r="109" spans="1:19" x14ac:dyDescent="0.3">
      <c r="A109" s="6">
        <v>108</v>
      </c>
      <c r="B109" s="6">
        <v>2008</v>
      </c>
      <c r="C109" s="6">
        <v>12</v>
      </c>
      <c r="D109" s="10">
        <f>(co2e_g_kwh!D109)/1000000000000</f>
        <v>1.2385510800000004E-3</v>
      </c>
      <c r="E109" s="10">
        <f>(co2e_g_kwh!F109)/1000000000000</f>
        <v>6.6426438000000013E-4</v>
      </c>
      <c r="F109" s="10">
        <f>(co2e_g_kwh!G109)/1000000000000</f>
        <v>0</v>
      </c>
      <c r="G109" s="10">
        <f>(co2e_g_kwh!K109)/1000000000000</f>
        <v>1.803098387999998E-2</v>
      </c>
      <c r="H109" s="19">
        <f t="shared" si="4"/>
        <v>1.9933799339999982E-2</v>
      </c>
      <c r="I109" s="10">
        <f>(co2e_g_kwh!E109)/1000000000000</f>
        <v>0.49963737824000104</v>
      </c>
      <c r="J109" s="10">
        <f>(co2e_g_kwh!H109)/1000000000000</f>
        <v>1.0501843557600048</v>
      </c>
      <c r="K109" s="20">
        <f t="shared" si="5"/>
        <v>1.5498217340000058</v>
      </c>
      <c r="L109" s="21">
        <f>(co2e_g_kwh!I109)/1000000000000</f>
        <v>0.66095848748999608</v>
      </c>
      <c r="M109" s="10">
        <f>(co2e_g_kwh!J109)/1000000000000</f>
        <v>0</v>
      </c>
      <c r="N109" s="10">
        <f>(co2e_g_kwh!L109)/1000000000000</f>
        <v>3.5896140000000014E-3</v>
      </c>
      <c r="O109" s="10">
        <f>(co2e_g_kwh!M109)/1000000000000</f>
        <v>5.6559216000000032E-3</v>
      </c>
      <c r="P109" s="22">
        <f t="shared" si="6"/>
        <v>9.2455356000000037E-3</v>
      </c>
      <c r="Q109" s="10">
        <f>(co2e_g_kwh!N109)/1000000000000</f>
        <v>0</v>
      </c>
      <c r="R109" s="10">
        <f>(co2e_g_kwh!O109)/1000000000000</f>
        <v>0</v>
      </c>
      <c r="S109" s="14">
        <f t="shared" si="7"/>
        <v>2.2399595564300014</v>
      </c>
    </row>
    <row r="110" spans="1:19" x14ac:dyDescent="0.3">
      <c r="A110" s="6">
        <v>109</v>
      </c>
      <c r="B110" s="6">
        <v>2009</v>
      </c>
      <c r="C110" s="6">
        <v>1</v>
      </c>
      <c r="D110" s="10">
        <f>(co2e_g_kwh!D110)/1000000000000</f>
        <v>9.3138921720000096E-4</v>
      </c>
      <c r="E110" s="10">
        <f>(co2e_g_kwh!F110)/1000000000000</f>
        <v>5.6738174999999933E-4</v>
      </c>
      <c r="F110" s="10">
        <f>(co2e_g_kwh!G110)/1000000000000</f>
        <v>0</v>
      </c>
      <c r="G110" s="10">
        <f>(co2e_g_kwh!K110)/1000000000000</f>
        <v>1.6476962190000003E-2</v>
      </c>
      <c r="H110" s="19">
        <f t="shared" si="4"/>
        <v>1.7975733157200004E-2</v>
      </c>
      <c r="I110" s="10">
        <f>(co2e_g_kwh!E110)/1000000000000</f>
        <v>0.42235040848000049</v>
      </c>
      <c r="J110" s="10">
        <f>(co2e_g_kwh!H110)/1000000000000</f>
        <v>0.47808318636000197</v>
      </c>
      <c r="K110" s="20">
        <f t="shared" si="5"/>
        <v>0.9004335948400024</v>
      </c>
      <c r="L110" s="21">
        <f>(co2e_g_kwh!I110)/1000000000000</f>
        <v>0.70207950602999547</v>
      </c>
      <c r="M110" s="10">
        <f>(co2e_g_kwh!J110)/1000000000000</f>
        <v>0</v>
      </c>
      <c r="N110" s="10">
        <f>(co2e_g_kwh!L110)/1000000000000</f>
        <v>1.9622232000000004E-3</v>
      </c>
      <c r="O110" s="10">
        <f>(co2e_g_kwh!M110)/1000000000000</f>
        <v>1.365924E-4</v>
      </c>
      <c r="P110" s="22">
        <f t="shared" si="6"/>
        <v>2.0988156000000006E-3</v>
      </c>
      <c r="Q110" s="10">
        <f>(co2e_g_kwh!N110)/1000000000000</f>
        <v>0</v>
      </c>
      <c r="R110" s="10">
        <f>(co2e_g_kwh!O110)/1000000000000</f>
        <v>0</v>
      </c>
      <c r="S110" s="14">
        <f t="shared" si="7"/>
        <v>1.622587649627198</v>
      </c>
    </row>
    <row r="111" spans="1:19" x14ac:dyDescent="0.3">
      <c r="A111" s="6">
        <v>110</v>
      </c>
      <c r="B111" s="6">
        <v>2009</v>
      </c>
      <c r="C111" s="6">
        <v>2</v>
      </c>
      <c r="D111" s="10">
        <f>(co2e_g_kwh!D111)/1000000000000</f>
        <v>1.2569637599999996E-3</v>
      </c>
      <c r="E111" s="10">
        <f>(co2e_g_kwh!F111)/1000000000000</f>
        <v>4.2217122999999956E-4</v>
      </c>
      <c r="F111" s="10">
        <f>(co2e_g_kwh!G111)/1000000000000</f>
        <v>0</v>
      </c>
      <c r="G111" s="10">
        <f>(co2e_g_kwh!K111)/1000000000000</f>
        <v>1.1760303880000001E-2</v>
      </c>
      <c r="H111" s="19">
        <f t="shared" si="4"/>
        <v>1.3439438870000001E-2</v>
      </c>
      <c r="I111" s="10">
        <f>(co2e_g_kwh!E111)/1000000000000</f>
        <v>0.40151127015999849</v>
      </c>
      <c r="J111" s="10">
        <f>(co2e_g_kwh!H111)/1000000000000</f>
        <v>0.31314691206000123</v>
      </c>
      <c r="K111" s="20">
        <f t="shared" si="5"/>
        <v>0.71465818221999977</v>
      </c>
      <c r="L111" s="21">
        <f>(co2e_g_kwh!I111)/1000000000000</f>
        <v>0.67884768251997607</v>
      </c>
      <c r="M111" s="10">
        <f>(co2e_g_kwh!J111)/1000000000000</f>
        <v>0</v>
      </c>
      <c r="N111" s="10">
        <f>(co2e_g_kwh!L111)/1000000000000</f>
        <v>7.3498319999999989E-4</v>
      </c>
      <c r="O111" s="10">
        <f>(co2e_g_kwh!M111)/1000000000000</f>
        <v>3.9931340400000091E-2</v>
      </c>
      <c r="P111" s="22">
        <f t="shared" si="6"/>
        <v>4.0666323600000089E-2</v>
      </c>
      <c r="Q111" s="10">
        <f>(co2e_g_kwh!N111)/1000000000000</f>
        <v>0</v>
      </c>
      <c r="R111" s="10">
        <f>(co2e_g_kwh!O111)/1000000000000</f>
        <v>0</v>
      </c>
      <c r="S111" s="14">
        <f t="shared" si="7"/>
        <v>1.4476116272099759</v>
      </c>
    </row>
    <row r="112" spans="1:19" x14ac:dyDescent="0.3">
      <c r="A112" s="6">
        <v>111</v>
      </c>
      <c r="B112" s="6">
        <v>2009</v>
      </c>
      <c r="C112" s="6">
        <v>3</v>
      </c>
      <c r="D112" s="10">
        <f>(co2e_g_kwh!D112)/1000000000000</f>
        <v>1.5137860399999994E-3</v>
      </c>
      <c r="E112" s="10">
        <f>(co2e_g_kwh!F112)/1000000000000</f>
        <v>5.2515541000000055E-4</v>
      </c>
      <c r="F112" s="10">
        <f>(co2e_g_kwh!G112)/1000000000000</f>
        <v>0</v>
      </c>
      <c r="G112" s="10">
        <f>(co2e_g_kwh!K112)/1000000000000</f>
        <v>1.2974184600000009E-2</v>
      </c>
      <c r="H112" s="19">
        <f t="shared" si="4"/>
        <v>1.5013126050000009E-2</v>
      </c>
      <c r="I112" s="10">
        <f>(co2e_g_kwh!E112)/1000000000000</f>
        <v>0.4517384972100002</v>
      </c>
      <c r="J112" s="10">
        <f>(co2e_g_kwh!H112)/1000000000000</f>
        <v>0.48879389736000006</v>
      </c>
      <c r="K112" s="20">
        <f t="shared" si="5"/>
        <v>0.94053239457000026</v>
      </c>
      <c r="L112" s="21">
        <f>(co2e_g_kwh!I112)/1000000000000</f>
        <v>0.77123766951000561</v>
      </c>
      <c r="M112" s="10">
        <f>(co2e_g_kwh!J112)/1000000000000</f>
        <v>0</v>
      </c>
      <c r="N112" s="10">
        <f>(co2e_g_kwh!L112)/1000000000000</f>
        <v>1.3254360000000004E-4</v>
      </c>
      <c r="O112" s="10">
        <f>(co2e_g_kwh!M112)/1000000000000</f>
        <v>5.9642200800000003E-2</v>
      </c>
      <c r="P112" s="22">
        <f t="shared" si="6"/>
        <v>5.9774744400000003E-2</v>
      </c>
      <c r="Q112" s="10">
        <f>(co2e_g_kwh!N112)/1000000000000</f>
        <v>0</v>
      </c>
      <c r="R112" s="10">
        <f>(co2e_g_kwh!O112)/1000000000000</f>
        <v>0</v>
      </c>
      <c r="S112" s="14">
        <f t="shared" si="7"/>
        <v>1.7865579345300058</v>
      </c>
    </row>
    <row r="113" spans="1:19" x14ac:dyDescent="0.3">
      <c r="A113" s="6">
        <v>112</v>
      </c>
      <c r="B113" s="6">
        <v>2009</v>
      </c>
      <c r="C113" s="6">
        <v>4</v>
      </c>
      <c r="D113" s="10">
        <f>(co2e_g_kwh!D113)/1000000000000</f>
        <v>9.905828400000006E-4</v>
      </c>
      <c r="E113" s="10">
        <f>(co2e_g_kwh!F113)/1000000000000</f>
        <v>3.1466954999999938E-4</v>
      </c>
      <c r="F113" s="10">
        <f>(co2e_g_kwh!G113)/1000000000000</f>
        <v>0</v>
      </c>
      <c r="G113" s="10">
        <f>(co2e_g_kwh!K113)/1000000000000</f>
        <v>1.2363798459999993E-2</v>
      </c>
      <c r="H113" s="19">
        <f t="shared" si="4"/>
        <v>1.3669050849999993E-2</v>
      </c>
      <c r="I113" s="10">
        <f>(co2e_g_kwh!E113)/1000000000000</f>
        <v>0.44267174951999938</v>
      </c>
      <c r="J113" s="10">
        <f>(co2e_g_kwh!H113)/1000000000000</f>
        <v>0.25117030637999932</v>
      </c>
      <c r="K113" s="20">
        <f t="shared" si="5"/>
        <v>0.6938420558999987</v>
      </c>
      <c r="L113" s="21">
        <f>(co2e_g_kwh!I113)/1000000000000</f>
        <v>0.70817899089000536</v>
      </c>
      <c r="M113" s="10">
        <f>(co2e_g_kwh!J113)/1000000000000</f>
        <v>0</v>
      </c>
      <c r="N113" s="10">
        <f>(co2e_g_kwh!L113)/1000000000000</f>
        <v>1.1246760000000003E-4</v>
      </c>
      <c r="O113" s="10">
        <f>(co2e_g_kwh!M113)/1000000000000</f>
        <v>3.6610904399999991E-2</v>
      </c>
      <c r="P113" s="22">
        <f t="shared" si="6"/>
        <v>3.672337199999999E-2</v>
      </c>
      <c r="Q113" s="10">
        <f>(co2e_g_kwh!N113)/1000000000000</f>
        <v>0</v>
      </c>
      <c r="R113" s="10">
        <f>(co2e_g_kwh!O113)/1000000000000</f>
        <v>0</v>
      </c>
      <c r="S113" s="14">
        <f t="shared" si="7"/>
        <v>1.452413469640004</v>
      </c>
    </row>
    <row r="114" spans="1:19" x14ac:dyDescent="0.3">
      <c r="A114" s="6">
        <v>113</v>
      </c>
      <c r="B114" s="6">
        <v>2009</v>
      </c>
      <c r="C114" s="6">
        <v>5</v>
      </c>
      <c r="D114" s="10">
        <f>(co2e_g_kwh!D114)/1000000000000</f>
        <v>2.861483560000007E-3</v>
      </c>
      <c r="E114" s="10">
        <f>(co2e_g_kwh!F114)/1000000000000</f>
        <v>3.897168599999994E-4</v>
      </c>
      <c r="F114" s="10">
        <f>(co2e_g_kwh!G114)/1000000000000</f>
        <v>0</v>
      </c>
      <c r="G114" s="10">
        <f>(co2e_g_kwh!K114)/1000000000000</f>
        <v>1.3061166169999939E-2</v>
      </c>
      <c r="H114" s="19">
        <f t="shared" si="4"/>
        <v>1.6312366589999946E-2</v>
      </c>
      <c r="I114" s="10">
        <f>(co2e_g_kwh!E114)/1000000000000</f>
        <v>0.53584480950000091</v>
      </c>
      <c r="J114" s="10">
        <f>(co2e_g_kwh!H114)/1000000000000</f>
        <v>0.76201595316000559</v>
      </c>
      <c r="K114" s="20">
        <f t="shared" si="5"/>
        <v>1.2978607626600065</v>
      </c>
      <c r="L114" s="21">
        <f>(co2e_g_kwh!I114)/1000000000000</f>
        <v>0.69046291818000038</v>
      </c>
      <c r="M114" s="10">
        <f>(co2e_g_kwh!J114)/1000000000000</f>
        <v>0</v>
      </c>
      <c r="N114" s="10">
        <f>(co2e_g_kwh!L114)/1000000000000</f>
        <v>0</v>
      </c>
      <c r="O114" s="10">
        <f>(co2e_g_kwh!M114)/1000000000000</f>
        <v>8.8614943200000101E-2</v>
      </c>
      <c r="P114" s="22">
        <f t="shared" si="6"/>
        <v>8.8614943200000101E-2</v>
      </c>
      <c r="Q114" s="10">
        <f>(co2e_g_kwh!N114)/1000000000000</f>
        <v>0</v>
      </c>
      <c r="R114" s="10">
        <f>(co2e_g_kwh!O114)/1000000000000</f>
        <v>0</v>
      </c>
      <c r="S114" s="14">
        <f t="shared" si="7"/>
        <v>2.0932509906300072</v>
      </c>
    </row>
    <row r="115" spans="1:19" x14ac:dyDescent="0.3">
      <c r="A115" s="6">
        <v>114</v>
      </c>
      <c r="B115" s="6">
        <v>2009</v>
      </c>
      <c r="C115" s="6">
        <v>6</v>
      </c>
      <c r="D115" s="10">
        <f>(co2e_g_kwh!D115)/1000000000000</f>
        <v>1.8870222800000001E-3</v>
      </c>
      <c r="E115" s="10">
        <f>(co2e_g_kwh!F115)/1000000000000</f>
        <v>5.5477796400000136E-4</v>
      </c>
      <c r="F115" s="10">
        <f>(co2e_g_kwh!G115)/1000000000000</f>
        <v>0</v>
      </c>
      <c r="G115" s="10">
        <f>(co2e_g_kwh!K115)/1000000000000</f>
        <v>1.638907087999996E-2</v>
      </c>
      <c r="H115" s="19">
        <f t="shared" si="4"/>
        <v>1.8830871123999962E-2</v>
      </c>
      <c r="I115" s="10">
        <f>(co2e_g_kwh!E115)/1000000000000</f>
        <v>0.54297162919999886</v>
      </c>
      <c r="J115" s="10">
        <f>(co2e_g_kwh!H115)/1000000000000</f>
        <v>0.64101383100000009</v>
      </c>
      <c r="K115" s="20">
        <f t="shared" si="5"/>
        <v>1.1839854601999988</v>
      </c>
      <c r="L115" s="21">
        <f>(co2e_g_kwh!I115)/1000000000000</f>
        <v>0.66004298471999034</v>
      </c>
      <c r="M115" s="10">
        <f>(co2e_g_kwh!J115)/1000000000000</f>
        <v>0</v>
      </c>
      <c r="N115" s="10">
        <f>(co2e_g_kwh!L115)/1000000000000</f>
        <v>2.9660399999999991E-5</v>
      </c>
      <c r="O115" s="10">
        <f>(co2e_g_kwh!M115)/1000000000000</f>
        <v>5.1078073200000046E-2</v>
      </c>
      <c r="P115" s="22">
        <f t="shared" si="6"/>
        <v>5.1107733600000045E-2</v>
      </c>
      <c r="Q115" s="10">
        <f>(co2e_g_kwh!N115)/1000000000000</f>
        <v>0</v>
      </c>
      <c r="R115" s="10">
        <f>(co2e_g_kwh!O115)/1000000000000</f>
        <v>0</v>
      </c>
      <c r="S115" s="14">
        <f t="shared" si="7"/>
        <v>1.9139670496439891</v>
      </c>
    </row>
    <row r="116" spans="1:19" x14ac:dyDescent="0.3">
      <c r="A116" s="6">
        <v>115</v>
      </c>
      <c r="B116" s="6">
        <v>2009</v>
      </c>
      <c r="C116" s="6">
        <v>7</v>
      </c>
      <c r="D116" s="10">
        <f>(co2e_g_kwh!D116)/1000000000000</f>
        <v>6.8506151999999992E-4</v>
      </c>
      <c r="E116" s="10">
        <f>(co2e_g_kwh!F116)/1000000000000</f>
        <v>5.2130312000000015E-4</v>
      </c>
      <c r="F116" s="10">
        <f>(co2e_g_kwh!G116)/1000000000000</f>
        <v>0</v>
      </c>
      <c r="G116" s="10">
        <f>(co2e_g_kwh!K116)/1000000000000</f>
        <v>1.748139822E-2</v>
      </c>
      <c r="H116" s="19">
        <f t="shared" si="4"/>
        <v>1.8687762859999998E-2</v>
      </c>
      <c r="I116" s="10">
        <f>(co2e_g_kwh!E116)/1000000000000</f>
        <v>0.50270772551999987</v>
      </c>
      <c r="J116" s="10">
        <f>(co2e_g_kwh!H116)/1000000000000</f>
        <v>0.31016289635999944</v>
      </c>
      <c r="K116" s="20">
        <f t="shared" si="5"/>
        <v>0.81287062187999926</v>
      </c>
      <c r="L116" s="21">
        <f>(co2e_g_kwh!I116)/1000000000000</f>
        <v>0.71634856502999633</v>
      </c>
      <c r="M116" s="10">
        <f>(co2e_g_kwh!J116)/1000000000000</f>
        <v>0</v>
      </c>
      <c r="N116" s="10">
        <f>(co2e_g_kwh!L116)/1000000000000</f>
        <v>1.1284559999999997E-4</v>
      </c>
      <c r="O116" s="10">
        <f>(co2e_g_kwh!M116)/1000000000000</f>
        <v>8.7065999999999969E-5</v>
      </c>
      <c r="P116" s="22">
        <f t="shared" si="6"/>
        <v>1.9991159999999992E-4</v>
      </c>
      <c r="Q116" s="10">
        <f>(co2e_g_kwh!N116)/1000000000000</f>
        <v>0</v>
      </c>
      <c r="R116" s="10">
        <f>(co2e_g_kwh!O116)/1000000000000</f>
        <v>0</v>
      </c>
      <c r="S116" s="14">
        <f t="shared" si="7"/>
        <v>1.5481068613699955</v>
      </c>
    </row>
    <row r="117" spans="1:19" x14ac:dyDescent="0.3">
      <c r="A117" s="6">
        <v>116</v>
      </c>
      <c r="B117" s="6">
        <v>2009</v>
      </c>
      <c r="C117" s="6">
        <v>8</v>
      </c>
      <c r="D117" s="10">
        <f>(co2e_g_kwh!D117)/1000000000000</f>
        <v>1.8081845599999969E-3</v>
      </c>
      <c r="E117" s="10">
        <f>(co2e_g_kwh!F117)/1000000000000</f>
        <v>7.5610027999999986E-4</v>
      </c>
      <c r="F117" s="10">
        <f>(co2e_g_kwh!G117)/1000000000000</f>
        <v>0</v>
      </c>
      <c r="G117" s="10">
        <f>(co2e_g_kwh!K117)/1000000000000</f>
        <v>6.3014676400000059E-3</v>
      </c>
      <c r="H117" s="19">
        <f t="shared" si="4"/>
        <v>8.8657524800000026E-3</v>
      </c>
      <c r="I117" s="10">
        <f>(co2e_g_kwh!E117)/1000000000000</f>
        <v>0.43638905309999904</v>
      </c>
      <c r="J117" s="10">
        <f>(co2e_g_kwh!H117)/1000000000000</f>
        <v>0.17650531962000068</v>
      </c>
      <c r="K117" s="20">
        <f t="shared" si="5"/>
        <v>0.61289437271999969</v>
      </c>
      <c r="L117" s="21">
        <f>(co2e_g_kwh!I117)/1000000000000</f>
        <v>0.74602151378999404</v>
      </c>
      <c r="M117" s="10">
        <f>(co2e_g_kwh!J117)/1000000000000</f>
        <v>0</v>
      </c>
      <c r="N117" s="10">
        <f>(co2e_g_kwh!L117)/1000000000000</f>
        <v>6.8552400000000005E-5</v>
      </c>
      <c r="O117" s="10">
        <f>(co2e_g_kwh!M117)/1000000000000</f>
        <v>3.0643200000000002E-3</v>
      </c>
      <c r="P117" s="22">
        <f t="shared" si="6"/>
        <v>3.1328724000000002E-3</v>
      </c>
      <c r="Q117" s="10">
        <f>(co2e_g_kwh!N117)/1000000000000</f>
        <v>0</v>
      </c>
      <c r="R117" s="10">
        <f>(co2e_g_kwh!O117)/1000000000000</f>
        <v>0</v>
      </c>
      <c r="S117" s="14">
        <f t="shared" si="7"/>
        <v>1.3709145113899937</v>
      </c>
    </row>
    <row r="118" spans="1:19" x14ac:dyDescent="0.3">
      <c r="A118" s="6">
        <v>117</v>
      </c>
      <c r="B118" s="6">
        <v>2009</v>
      </c>
      <c r="C118" s="6">
        <v>9</v>
      </c>
      <c r="D118" s="10">
        <f>(co2e_g_kwh!D118)/1000000000000</f>
        <v>1.5309712496000007E-3</v>
      </c>
      <c r="E118" s="10">
        <f>(co2e_g_kwh!F118)/1000000000000</f>
        <v>1.1322004199999993E-3</v>
      </c>
      <c r="F118" s="10">
        <f>(co2e_g_kwh!G118)/1000000000000</f>
        <v>0</v>
      </c>
      <c r="G118" s="10">
        <f>(co2e_g_kwh!K118)/1000000000000</f>
        <v>1.5105829310000006E-2</v>
      </c>
      <c r="H118" s="19">
        <f t="shared" si="4"/>
        <v>1.7769000979600005E-2</v>
      </c>
      <c r="I118" s="10">
        <f>(co2e_g_kwh!E118)/1000000000000</f>
        <v>0.30605649074000107</v>
      </c>
      <c r="J118" s="10">
        <f>(co2e_g_kwh!H118)/1000000000000</f>
        <v>0.17851478382000058</v>
      </c>
      <c r="K118" s="20">
        <f t="shared" si="5"/>
        <v>0.48457127456000165</v>
      </c>
      <c r="L118" s="21">
        <f>(co2e_g_kwh!I118)/1000000000000</f>
        <v>0.73123148216999712</v>
      </c>
      <c r="M118" s="10">
        <f>(co2e_g_kwh!J118)/1000000000000</f>
        <v>0</v>
      </c>
      <c r="N118" s="10">
        <f>(co2e_g_kwh!L118)/1000000000000</f>
        <v>2.6045879999999998E-4</v>
      </c>
      <c r="O118" s="10">
        <f>(co2e_g_kwh!M118)/1000000000000</f>
        <v>5.8733640000000007E-4</v>
      </c>
      <c r="P118" s="22">
        <f t="shared" si="6"/>
        <v>8.477952E-4</v>
      </c>
      <c r="Q118" s="10">
        <f>(co2e_g_kwh!N118)/1000000000000</f>
        <v>0</v>
      </c>
      <c r="R118" s="10">
        <f>(co2e_g_kwh!O118)/1000000000000</f>
        <v>0</v>
      </c>
      <c r="S118" s="14">
        <f t="shared" si="7"/>
        <v>1.2344195529095985</v>
      </c>
    </row>
    <row r="119" spans="1:19" x14ac:dyDescent="0.3">
      <c r="A119" s="6">
        <v>118</v>
      </c>
      <c r="B119" s="6">
        <v>2009</v>
      </c>
      <c r="C119" s="6">
        <v>10</v>
      </c>
      <c r="D119" s="10">
        <f>(co2e_g_kwh!D119)/1000000000000</f>
        <v>1.3973564799999998E-3</v>
      </c>
      <c r="E119" s="10">
        <f>(co2e_g_kwh!F119)/1000000000000</f>
        <v>1.3393711499999983E-3</v>
      </c>
      <c r="F119" s="10">
        <f>(co2e_g_kwh!G119)/1000000000000</f>
        <v>0</v>
      </c>
      <c r="G119" s="10">
        <f>(co2e_g_kwh!K119)/1000000000000</f>
        <v>1.3913041220000002E-2</v>
      </c>
      <c r="H119" s="19">
        <f t="shared" si="4"/>
        <v>1.664976885E-2</v>
      </c>
      <c r="I119" s="10">
        <f>(co2e_g_kwh!E119)/1000000000000</f>
        <v>0.39106418351000066</v>
      </c>
      <c r="J119" s="10">
        <f>(co2e_g_kwh!H119)/1000000000000</f>
        <v>0.16927468937999945</v>
      </c>
      <c r="K119" s="20">
        <f t="shared" si="5"/>
        <v>0.56033887289000006</v>
      </c>
      <c r="L119" s="21">
        <f>(co2e_g_kwh!I119)/1000000000000</f>
        <v>0.75896553201000927</v>
      </c>
      <c r="M119" s="10">
        <f>(co2e_g_kwh!J119)/1000000000000</f>
        <v>0</v>
      </c>
      <c r="N119" s="10">
        <f>(co2e_g_kwh!L119)/1000000000000</f>
        <v>1.1657435999999997E-3</v>
      </c>
      <c r="O119" s="10">
        <f>(co2e_g_kwh!M119)/1000000000000</f>
        <v>6.7655271600000011E-2</v>
      </c>
      <c r="P119" s="22">
        <f t="shared" si="6"/>
        <v>6.8821015200000016E-2</v>
      </c>
      <c r="Q119" s="10">
        <f>(co2e_g_kwh!N119)/1000000000000</f>
        <v>0</v>
      </c>
      <c r="R119" s="10">
        <f>(co2e_g_kwh!O119)/1000000000000</f>
        <v>0</v>
      </c>
      <c r="S119" s="14">
        <f t="shared" si="7"/>
        <v>1.4047751889500095</v>
      </c>
    </row>
    <row r="120" spans="1:19" x14ac:dyDescent="0.3">
      <c r="A120" s="6">
        <v>119</v>
      </c>
      <c r="B120" s="6">
        <v>2009</v>
      </c>
      <c r="C120" s="6">
        <v>11</v>
      </c>
      <c r="D120" s="10">
        <f>(co2e_g_kwh!D120)/1000000000000</f>
        <v>1.3537061200000022E-3</v>
      </c>
      <c r="E120" s="10">
        <f>(co2e_g_kwh!F120)/1000000000000</f>
        <v>1.4128654800000021E-3</v>
      </c>
      <c r="F120" s="10">
        <f>(co2e_g_kwh!G120)/1000000000000</f>
        <v>0</v>
      </c>
      <c r="G120" s="10">
        <f>(co2e_g_kwh!K120)/1000000000000</f>
        <v>1.5301183299999979E-2</v>
      </c>
      <c r="H120" s="19">
        <f t="shared" si="4"/>
        <v>1.8067754899999983E-2</v>
      </c>
      <c r="I120" s="10">
        <f>(co2e_g_kwh!E120)/1000000000000</f>
        <v>0.38025215227999926</v>
      </c>
      <c r="J120" s="10">
        <f>(co2e_g_kwh!H120)/1000000000000</f>
        <v>0.10738727442000007</v>
      </c>
      <c r="K120" s="20">
        <f t="shared" si="5"/>
        <v>0.48763942669999932</v>
      </c>
      <c r="L120" s="21">
        <f>(co2e_g_kwh!I120)/1000000000000</f>
        <v>0.76896435440999067</v>
      </c>
      <c r="M120" s="10">
        <f>(co2e_g_kwh!J120)/1000000000000</f>
        <v>0</v>
      </c>
      <c r="N120" s="10">
        <f>(co2e_g_kwh!L120)/1000000000000</f>
        <v>3.1689167999999993E-3</v>
      </c>
      <c r="O120" s="10">
        <f>(co2e_g_kwh!M120)/1000000000000</f>
        <v>0.14092207920000002</v>
      </c>
      <c r="P120" s="22">
        <f t="shared" si="6"/>
        <v>0.14409099600000003</v>
      </c>
      <c r="Q120" s="10">
        <f>(co2e_g_kwh!N120)/1000000000000</f>
        <v>0</v>
      </c>
      <c r="R120" s="10">
        <f>(co2e_g_kwh!O120)/1000000000000</f>
        <v>0</v>
      </c>
      <c r="S120" s="14">
        <f t="shared" si="7"/>
        <v>1.4187625320099899</v>
      </c>
    </row>
    <row r="121" spans="1:19" x14ac:dyDescent="0.3">
      <c r="A121" s="6">
        <v>120</v>
      </c>
      <c r="B121" s="6">
        <v>2009</v>
      </c>
      <c r="C121" s="6">
        <v>12</v>
      </c>
      <c r="D121" s="10">
        <f>(co2e_g_kwh!D121)/1000000000000</f>
        <v>8.6626488000000239E-4</v>
      </c>
      <c r="E121" s="10">
        <f>(co2e_g_kwh!F121)/1000000000000</f>
        <v>1.2988626300000057E-3</v>
      </c>
      <c r="F121" s="10">
        <f>(co2e_g_kwh!G121)/1000000000000</f>
        <v>0</v>
      </c>
      <c r="G121" s="10">
        <f>(co2e_g_kwh!K121)/1000000000000</f>
        <v>1.7325712689999943E-2</v>
      </c>
      <c r="H121" s="19">
        <f t="shared" si="4"/>
        <v>1.9490840199999949E-2</v>
      </c>
      <c r="I121" s="10">
        <f>(co2e_g_kwh!E121)/1000000000000</f>
        <v>0.38441104702000178</v>
      </c>
      <c r="J121" s="10">
        <f>(co2e_g_kwh!H121)/1000000000000</f>
        <v>0.12860943642000014</v>
      </c>
      <c r="K121" s="20">
        <f t="shared" si="5"/>
        <v>0.51302048344000195</v>
      </c>
      <c r="L121" s="21">
        <f>(co2e_g_kwh!I121)/1000000000000</f>
        <v>0.77222010452998924</v>
      </c>
      <c r="M121" s="10">
        <f>(co2e_g_kwh!J121)/1000000000000</f>
        <v>0</v>
      </c>
      <c r="N121" s="10">
        <f>(co2e_g_kwh!L121)/1000000000000</f>
        <v>1.4321664000000003E-3</v>
      </c>
      <c r="O121" s="10">
        <f>(co2e_g_kwh!M121)/1000000000000</f>
        <v>0.11435270279999993</v>
      </c>
      <c r="P121" s="22">
        <f t="shared" si="6"/>
        <v>0.11578486919999993</v>
      </c>
      <c r="Q121" s="10">
        <f>(co2e_g_kwh!N121)/1000000000000</f>
        <v>0</v>
      </c>
      <c r="R121" s="10">
        <f>(co2e_g_kwh!O121)/1000000000000</f>
        <v>0</v>
      </c>
      <c r="S121" s="14">
        <f t="shared" si="7"/>
        <v>1.4205162973699912</v>
      </c>
    </row>
    <row r="122" spans="1:19" x14ac:dyDescent="0.3">
      <c r="A122" s="6">
        <v>121</v>
      </c>
      <c r="B122" s="6">
        <v>2010</v>
      </c>
      <c r="C122" s="6">
        <v>1</v>
      </c>
      <c r="D122" s="10">
        <f>(co2e_g_kwh!D122)/1000000000000</f>
        <v>5.8031999999999995E-4</v>
      </c>
      <c r="E122" s="10">
        <f>(co2e_g_kwh!F122)/1000000000000</f>
        <v>1.0728200599999999E-3</v>
      </c>
      <c r="F122" s="10">
        <f>(co2e_g_kwh!G122)/1000000000000</f>
        <v>0</v>
      </c>
      <c r="G122" s="10">
        <f>(co2e_g_kwh!K122)/1000000000000</f>
        <v>1.9027398650000037E-2</v>
      </c>
      <c r="H122" s="19">
        <f t="shared" si="4"/>
        <v>2.0680538710000036E-2</v>
      </c>
      <c r="I122" s="10">
        <f>(co2e_g_kwh!E122)/1000000000000</f>
        <v>0.38833150355999885</v>
      </c>
      <c r="J122" s="10">
        <f>(co2e_g_kwh!H122)/1000000000000</f>
        <v>0.1568824378200003</v>
      </c>
      <c r="K122" s="20">
        <f t="shared" si="5"/>
        <v>0.54521394137999912</v>
      </c>
      <c r="L122" s="21">
        <f>(co2e_g_kwh!I122)/1000000000000</f>
        <v>0.78927844210741527</v>
      </c>
      <c r="M122" s="10">
        <f>(co2e_g_kwh!J122)/1000000000000</f>
        <v>0</v>
      </c>
      <c r="N122" s="10">
        <f>(co2e_g_kwh!L122)/1000000000000</f>
        <v>4.2330452639999993E-3</v>
      </c>
      <c r="O122" s="10">
        <f>(co2e_g_kwh!M122)/1000000000000</f>
        <v>9.7569376799999899E-2</v>
      </c>
      <c r="P122" s="22">
        <f t="shared" si="6"/>
        <v>0.10180242206399989</v>
      </c>
      <c r="Q122" s="10">
        <f>(co2e_g_kwh!N122)/1000000000000</f>
        <v>0</v>
      </c>
      <c r="R122" s="10">
        <f>(co2e_g_kwh!O122)/1000000000000</f>
        <v>0</v>
      </c>
      <c r="S122" s="14">
        <f t="shared" si="7"/>
        <v>1.4569753442614144</v>
      </c>
    </row>
    <row r="123" spans="1:19" x14ac:dyDescent="0.3">
      <c r="A123" s="6">
        <v>122</v>
      </c>
      <c r="B123" s="6">
        <v>2010</v>
      </c>
      <c r="C123" s="6">
        <v>2</v>
      </c>
      <c r="D123" s="10">
        <f>(co2e_g_kwh!D123)/1000000000000</f>
        <v>1.0930805600000005E-3</v>
      </c>
      <c r="E123" s="10">
        <f>(co2e_g_kwh!F123)/1000000000000</f>
        <v>1.427451870000001E-3</v>
      </c>
      <c r="F123" s="10">
        <f>(co2e_g_kwh!G123)/1000000000000</f>
        <v>0</v>
      </c>
      <c r="G123" s="10">
        <f>(co2e_g_kwh!K123)/1000000000000</f>
        <v>1.6641818180000052E-2</v>
      </c>
      <c r="H123" s="19">
        <f t="shared" si="4"/>
        <v>1.9162350610000052E-2</v>
      </c>
      <c r="I123" s="10">
        <f>(co2e_g_kwh!E123)/1000000000000</f>
        <v>0.40099969909999972</v>
      </c>
      <c r="J123" s="10">
        <f>(co2e_g_kwh!H123)/1000000000000</f>
        <v>0.29257204373999929</v>
      </c>
      <c r="K123" s="20">
        <f t="shared" si="5"/>
        <v>0.69357174283999901</v>
      </c>
      <c r="L123" s="21">
        <f>(co2e_g_kwh!I123)/1000000000000</f>
        <v>0.74291772638997611</v>
      </c>
      <c r="M123" s="10">
        <f>(co2e_g_kwh!J123)/1000000000000</f>
        <v>0</v>
      </c>
      <c r="N123" s="10">
        <f>(co2e_g_kwh!L123)/1000000000000</f>
        <v>6.5392403999999993E-3</v>
      </c>
      <c r="O123" s="10">
        <f>(co2e_g_kwh!M123)/1000000000000</f>
        <v>8.9523537599999967E-2</v>
      </c>
      <c r="P123" s="22">
        <f t="shared" si="6"/>
        <v>9.606277799999996E-2</v>
      </c>
      <c r="Q123" s="10">
        <f>(co2e_g_kwh!N123)/1000000000000</f>
        <v>0</v>
      </c>
      <c r="R123" s="10">
        <f>(co2e_g_kwh!O123)/1000000000000</f>
        <v>0</v>
      </c>
      <c r="S123" s="14">
        <f t="shared" si="7"/>
        <v>1.5517145978399749</v>
      </c>
    </row>
    <row r="124" spans="1:19" x14ac:dyDescent="0.3">
      <c r="A124" s="6">
        <v>123</v>
      </c>
      <c r="B124" s="6">
        <v>2010</v>
      </c>
      <c r="C124" s="6">
        <v>3</v>
      </c>
      <c r="D124" s="10">
        <f>(co2e_g_kwh!D124)/1000000000000</f>
        <v>1.1732089200000009E-3</v>
      </c>
      <c r="E124" s="10">
        <f>(co2e_g_kwh!F124)/1000000000000</f>
        <v>1.4127464000000018E-3</v>
      </c>
      <c r="F124" s="10">
        <f>(co2e_g_kwh!G124)/1000000000000</f>
        <v>0</v>
      </c>
      <c r="G124" s="10">
        <f>(co2e_g_kwh!K124)/1000000000000</f>
        <v>1.9051865039999977E-2</v>
      </c>
      <c r="H124" s="19">
        <f t="shared" si="4"/>
        <v>2.163782035999998E-2</v>
      </c>
      <c r="I124" s="10">
        <f>(co2e_g_kwh!E124)/1000000000000</f>
        <v>0.45641262667000043</v>
      </c>
      <c r="J124" s="10">
        <f>(co2e_g_kwh!H124)/1000000000000</f>
        <v>0.26474078718000044</v>
      </c>
      <c r="K124" s="20">
        <f t="shared" si="5"/>
        <v>0.72115341385000087</v>
      </c>
      <c r="L124" s="21">
        <f>(co2e_g_kwh!I124)/1000000000000</f>
        <v>0.82527594218996536</v>
      </c>
      <c r="M124" s="10">
        <f>(co2e_g_kwh!J124)/1000000000000</f>
        <v>0</v>
      </c>
      <c r="N124" s="10">
        <f>(co2e_g_kwh!L124)/1000000000000</f>
        <v>1.4061263999999994E-3</v>
      </c>
      <c r="O124" s="10">
        <f>(co2e_g_kwh!M124)/1000000000000</f>
        <v>0.13267212</v>
      </c>
      <c r="P124" s="22">
        <f t="shared" si="6"/>
        <v>0.13407824640000002</v>
      </c>
      <c r="Q124" s="10">
        <f>(co2e_g_kwh!N124)/1000000000000</f>
        <v>0</v>
      </c>
      <c r="R124" s="10">
        <f>(co2e_g_kwh!O124)/1000000000000</f>
        <v>0</v>
      </c>
      <c r="S124" s="14">
        <f t="shared" si="7"/>
        <v>1.7021454227999664</v>
      </c>
    </row>
    <row r="125" spans="1:19" x14ac:dyDescent="0.3">
      <c r="A125" s="6">
        <v>124</v>
      </c>
      <c r="B125" s="6">
        <v>2010</v>
      </c>
      <c r="C125" s="6">
        <v>4</v>
      </c>
      <c r="D125" s="10">
        <f>(co2e_g_kwh!D125)/1000000000000</f>
        <v>8.9700727999999976E-4</v>
      </c>
      <c r="E125" s="10">
        <f>(co2e_g_kwh!F125)/1000000000000</f>
        <v>8.6391966700000069E-4</v>
      </c>
      <c r="F125" s="10">
        <f>(co2e_g_kwh!G125)/1000000000000</f>
        <v>0</v>
      </c>
      <c r="G125" s="10">
        <f>(co2e_g_kwh!K125)/1000000000000</f>
        <v>1.4693785730000001E-2</v>
      </c>
      <c r="H125" s="19">
        <f t="shared" si="4"/>
        <v>1.6454712677000001E-2</v>
      </c>
      <c r="I125" s="10">
        <f>(co2e_g_kwh!E125)/1000000000000</f>
        <v>0.39220684502999981</v>
      </c>
      <c r="J125" s="10">
        <f>(co2e_g_kwh!H125)/1000000000000</f>
        <v>0.28124759250000048</v>
      </c>
      <c r="K125" s="20">
        <f t="shared" si="5"/>
        <v>0.67345443753000023</v>
      </c>
      <c r="L125" s="21">
        <f>(co2e_g_kwh!I125)/1000000000000</f>
        <v>0.75673514720998369</v>
      </c>
      <c r="M125" s="10">
        <f>(co2e_g_kwh!J125)/1000000000000</f>
        <v>0</v>
      </c>
      <c r="N125" s="10">
        <f>(co2e_g_kwh!L125)/1000000000000</f>
        <v>6.2660639999999974E-4</v>
      </c>
      <c r="O125" s="10">
        <f>(co2e_g_kwh!M125)/1000000000000</f>
        <v>0.13622392560000016</v>
      </c>
      <c r="P125" s="22">
        <f t="shared" si="6"/>
        <v>0.13685053200000016</v>
      </c>
      <c r="Q125" s="10">
        <f>(co2e_g_kwh!N125)/1000000000000</f>
        <v>0</v>
      </c>
      <c r="R125" s="10">
        <f>(co2e_g_kwh!O125)/1000000000000</f>
        <v>0</v>
      </c>
      <c r="S125" s="14">
        <f t="shared" si="7"/>
        <v>1.5834948294169842</v>
      </c>
    </row>
    <row r="126" spans="1:19" x14ac:dyDescent="0.3">
      <c r="A126" s="6">
        <v>125</v>
      </c>
      <c r="B126" s="6">
        <v>2010</v>
      </c>
      <c r="C126" s="6">
        <v>5</v>
      </c>
      <c r="D126" s="10">
        <f>(co2e_g_kwh!D126)/1000000000000</f>
        <v>1.9937761999999949E-3</v>
      </c>
      <c r="E126" s="10">
        <f>(co2e_g_kwh!F126)/1000000000000</f>
        <v>1.144329755399999E-3</v>
      </c>
      <c r="F126" s="10">
        <f>(co2e_g_kwh!G126)/1000000000000</f>
        <v>0</v>
      </c>
      <c r="G126" s="10">
        <f>(co2e_g_kwh!K126)/1000000000000</f>
        <v>1.661745357999999E-2</v>
      </c>
      <c r="H126" s="19">
        <f t="shared" si="4"/>
        <v>1.9755559535399984E-2</v>
      </c>
      <c r="I126" s="10">
        <f>(co2e_g_kwh!E126)/1000000000000</f>
        <v>0.46324673394999932</v>
      </c>
      <c r="J126" s="10">
        <f>(co2e_g_kwh!H126)/1000000000000</f>
        <v>0.59676116418000225</v>
      </c>
      <c r="K126" s="20">
        <f t="shared" si="5"/>
        <v>1.0600078981300016</v>
      </c>
      <c r="L126" s="21">
        <f>(co2e_g_kwh!I126)/1000000000000</f>
        <v>0.75075997437000674</v>
      </c>
      <c r="M126" s="10">
        <f>(co2e_g_kwh!J126)/1000000000000</f>
        <v>0</v>
      </c>
      <c r="N126" s="10">
        <f>(co2e_g_kwh!L126)/1000000000000</f>
        <v>2.0942040000000001E-4</v>
      </c>
      <c r="O126" s="10">
        <f>(co2e_g_kwh!M126)/1000000000000</f>
        <v>0.14715256079999992</v>
      </c>
      <c r="P126" s="22">
        <f t="shared" si="6"/>
        <v>0.14736198119999991</v>
      </c>
      <c r="Q126" s="10">
        <f>(co2e_g_kwh!N126)/1000000000000</f>
        <v>0</v>
      </c>
      <c r="R126" s="10">
        <f>(co2e_g_kwh!O126)/1000000000000</f>
        <v>0</v>
      </c>
      <c r="S126" s="14">
        <f t="shared" si="7"/>
        <v>1.9778854132354082</v>
      </c>
    </row>
    <row r="127" spans="1:19" x14ac:dyDescent="0.3">
      <c r="A127" s="6">
        <v>126</v>
      </c>
      <c r="B127" s="6">
        <v>2010</v>
      </c>
      <c r="C127" s="6">
        <v>6</v>
      </c>
      <c r="D127" s="10">
        <f>(co2e_g_kwh!D127)/1000000000000</f>
        <v>1.9746443599999979E-3</v>
      </c>
      <c r="E127" s="10">
        <f>(co2e_g_kwh!F127)/1000000000000</f>
        <v>1.4137265999999971E-3</v>
      </c>
      <c r="F127" s="10">
        <f>(co2e_g_kwh!G127)/1000000000000</f>
        <v>0</v>
      </c>
      <c r="G127" s="10">
        <f>(co2e_g_kwh!K127)/1000000000000</f>
        <v>1.853070101999988E-2</v>
      </c>
      <c r="H127" s="19">
        <f t="shared" si="4"/>
        <v>2.1919071979999875E-2</v>
      </c>
      <c r="I127" s="10">
        <f>(co2e_g_kwh!E127)/1000000000000</f>
        <v>0.51086852816999984</v>
      </c>
      <c r="J127" s="10">
        <f>(co2e_g_kwh!H127)/1000000000000</f>
        <v>1.0280280337199972</v>
      </c>
      <c r="K127" s="20">
        <f t="shared" si="5"/>
        <v>1.538896561889997</v>
      </c>
      <c r="L127" s="21">
        <f>(co2e_g_kwh!I127)/1000000000000</f>
        <v>0.69543664112999082</v>
      </c>
      <c r="M127" s="10">
        <f>(co2e_g_kwh!J127)/1000000000000</f>
        <v>0</v>
      </c>
      <c r="N127" s="10">
        <f>(co2e_g_kwh!L127)/1000000000000</f>
        <v>3.6645251999999988E-3</v>
      </c>
      <c r="O127" s="10">
        <f>(co2e_g_kwh!M127)/1000000000000</f>
        <v>0.21780837119999991</v>
      </c>
      <c r="P127" s="22">
        <f t="shared" si="6"/>
        <v>0.2214728963999999</v>
      </c>
      <c r="Q127" s="10">
        <f>(co2e_g_kwh!N127)/1000000000000</f>
        <v>0</v>
      </c>
      <c r="R127" s="10">
        <f>(co2e_g_kwh!O127)/1000000000000</f>
        <v>0</v>
      </c>
      <c r="S127" s="14">
        <f t="shared" si="7"/>
        <v>2.4777251713999875</v>
      </c>
    </row>
    <row r="128" spans="1:19" x14ac:dyDescent="0.3">
      <c r="A128" s="6">
        <v>127</v>
      </c>
      <c r="B128" s="6">
        <v>2010</v>
      </c>
      <c r="C128" s="6">
        <v>7</v>
      </c>
      <c r="D128" s="10">
        <f>(co2e_g_kwh!D128)/1000000000000</f>
        <v>2.6256068799999925E-3</v>
      </c>
      <c r="E128" s="10">
        <f>(co2e_g_kwh!F128)/1000000000000</f>
        <v>1.4102803000000004E-3</v>
      </c>
      <c r="F128" s="10">
        <f>(co2e_g_kwh!G128)/1000000000000</f>
        <v>0</v>
      </c>
      <c r="G128" s="10">
        <f>(co2e_g_kwh!K128)/1000000000000</f>
        <v>1.5938831220000074E-2</v>
      </c>
      <c r="H128" s="19">
        <f t="shared" si="4"/>
        <v>1.9974718400000067E-2</v>
      </c>
      <c r="I128" s="10">
        <f>(co2e_g_kwh!E128)/1000000000000</f>
        <v>0.42641812213000058</v>
      </c>
      <c r="J128" s="10">
        <f>(co2e_g_kwh!H128)/1000000000000</f>
        <v>0.99887834663999775</v>
      </c>
      <c r="K128" s="20">
        <f t="shared" si="5"/>
        <v>1.4252964687699983</v>
      </c>
      <c r="L128" s="21">
        <f>(co2e_g_kwh!I128)/1000000000000</f>
        <v>0.74227322399998319</v>
      </c>
      <c r="M128" s="10">
        <f>(co2e_g_kwh!J128)/1000000000000</f>
        <v>0</v>
      </c>
      <c r="N128" s="10">
        <f>(co2e_g_kwh!L128)/1000000000000</f>
        <v>1.5236760000000003E-4</v>
      </c>
      <c r="O128" s="10">
        <f>(co2e_g_kwh!M128)/1000000000000</f>
        <v>0.22651025879999995</v>
      </c>
      <c r="P128" s="22">
        <f t="shared" si="6"/>
        <v>0.22666262639999996</v>
      </c>
      <c r="Q128" s="10">
        <f>(co2e_g_kwh!N128)/1000000000000</f>
        <v>0</v>
      </c>
      <c r="R128" s="10">
        <f>(co2e_g_kwh!O128)/1000000000000</f>
        <v>0</v>
      </c>
      <c r="S128" s="14">
        <f t="shared" si="7"/>
        <v>2.4142070375699816</v>
      </c>
    </row>
    <row r="129" spans="1:19" x14ac:dyDescent="0.3">
      <c r="A129" s="6">
        <v>128</v>
      </c>
      <c r="B129" s="6">
        <v>2010</v>
      </c>
      <c r="C129" s="6">
        <v>8</v>
      </c>
      <c r="D129" s="10">
        <f>(co2e_g_kwh!D129)/1000000000000</f>
        <v>3.1291493999999944E-3</v>
      </c>
      <c r="E129" s="10">
        <f>(co2e_g_kwh!F129)/1000000000000</f>
        <v>2.0314688809999863E-3</v>
      </c>
      <c r="F129" s="10">
        <f>(co2e_g_kwh!G129)/1000000000000</f>
        <v>0</v>
      </c>
      <c r="G129" s="10">
        <f>(co2e_g_kwh!K129)/1000000000000</f>
        <v>1.3960478740000015E-2</v>
      </c>
      <c r="H129" s="19">
        <f t="shared" si="4"/>
        <v>1.9121097020999997E-2</v>
      </c>
      <c r="I129" s="10">
        <f>(co2e_g_kwh!E129)/1000000000000</f>
        <v>0.59148990901000009</v>
      </c>
      <c r="J129" s="10">
        <f>(co2e_g_kwh!H129)/1000000000000</f>
        <v>1.6384737817799802</v>
      </c>
      <c r="K129" s="20">
        <f t="shared" si="5"/>
        <v>2.2299636907899805</v>
      </c>
      <c r="L129" s="21">
        <f>(co2e_g_kwh!I129)/1000000000000</f>
        <v>0.71192155439999827</v>
      </c>
      <c r="M129" s="10">
        <f>(co2e_g_kwh!J129)/1000000000000</f>
        <v>0</v>
      </c>
      <c r="N129" s="10">
        <f>(co2e_g_kwh!L129)/1000000000000</f>
        <v>4.3247316000000022E-2</v>
      </c>
      <c r="O129" s="10">
        <f>(co2e_g_kwh!M129)/1000000000000</f>
        <v>0.30520701960000024</v>
      </c>
      <c r="P129" s="22">
        <f t="shared" si="6"/>
        <v>0.34845433560000028</v>
      </c>
      <c r="Q129" s="10">
        <f>(co2e_g_kwh!N129)/1000000000000</f>
        <v>0</v>
      </c>
      <c r="R129" s="10">
        <f>(co2e_g_kwh!O129)/1000000000000</f>
        <v>0</v>
      </c>
      <c r="S129" s="14">
        <f t="shared" si="7"/>
        <v>3.3094606778109785</v>
      </c>
    </row>
    <row r="130" spans="1:19" x14ac:dyDescent="0.3">
      <c r="A130" s="6">
        <v>129</v>
      </c>
      <c r="B130" s="6">
        <v>2010</v>
      </c>
      <c r="C130" s="6">
        <v>9</v>
      </c>
      <c r="D130" s="10">
        <f>(co2e_g_kwh!D130)/1000000000000</f>
        <v>3.145439439999992E-3</v>
      </c>
      <c r="E130" s="10">
        <f>(co2e_g_kwh!F130)/1000000000000</f>
        <v>2.5111391500000049E-3</v>
      </c>
      <c r="F130" s="10">
        <f>(co2e_g_kwh!G130)/1000000000000</f>
        <v>0</v>
      </c>
      <c r="G130" s="10">
        <f>(co2e_g_kwh!K130)/1000000000000</f>
        <v>1.7337629659999951E-2</v>
      </c>
      <c r="H130" s="19">
        <f t="shared" si="4"/>
        <v>2.2994208249999946E-2</v>
      </c>
      <c r="I130" s="10">
        <f>(co2e_g_kwh!E130)/1000000000000</f>
        <v>0.60766256551000231</v>
      </c>
      <c r="J130" s="10">
        <f>(co2e_g_kwh!H130)/1000000000000</f>
        <v>1.9218137549400001</v>
      </c>
      <c r="K130" s="20">
        <f t="shared" si="5"/>
        <v>2.5294763204500024</v>
      </c>
      <c r="L130" s="21">
        <f>(co2e_g_kwh!I130)/1000000000000</f>
        <v>0.68119994669998818</v>
      </c>
      <c r="M130" s="10">
        <f>(co2e_g_kwh!J130)/1000000000000</f>
        <v>0</v>
      </c>
      <c r="N130" s="10">
        <f>(co2e_g_kwh!L130)/1000000000000</f>
        <v>6.3897456000000019E-2</v>
      </c>
      <c r="O130" s="10">
        <f>(co2e_g_kwh!M130)/1000000000000</f>
        <v>0.3399008592000004</v>
      </c>
      <c r="P130" s="22">
        <f t="shared" si="6"/>
        <v>0.40379831520000042</v>
      </c>
      <c r="Q130" s="10">
        <f>(co2e_g_kwh!N130)/1000000000000</f>
        <v>0</v>
      </c>
      <c r="R130" s="10">
        <f>(co2e_g_kwh!O130)/1000000000000</f>
        <v>0</v>
      </c>
      <c r="S130" s="14">
        <f t="shared" si="7"/>
        <v>3.637468790599991</v>
      </c>
    </row>
    <row r="131" spans="1:19" x14ac:dyDescent="0.3">
      <c r="A131" s="6">
        <v>130</v>
      </c>
      <c r="B131" s="6">
        <v>2010</v>
      </c>
      <c r="C131" s="6">
        <v>10</v>
      </c>
      <c r="D131" s="10">
        <f>(co2e_g_kwh!D131)/1000000000000</f>
        <v>2.9928261999999975E-3</v>
      </c>
      <c r="E131" s="10">
        <f>(co2e_g_kwh!F131)/1000000000000</f>
        <v>1.8480949499999888E-3</v>
      </c>
      <c r="F131" s="10">
        <f>(co2e_g_kwh!G131)/1000000000000</f>
        <v>0</v>
      </c>
      <c r="G131" s="10">
        <f>(co2e_g_kwh!K131)/1000000000000</f>
        <v>1.4585703729999972E-2</v>
      </c>
      <c r="H131" s="19">
        <f t="shared" ref="H131:H194" si="8">SUM(D131:G131)</f>
        <v>1.9426624879999958E-2</v>
      </c>
      <c r="I131" s="10">
        <f>(co2e_g_kwh!E131)/1000000000000</f>
        <v>0.57683331706000085</v>
      </c>
      <c r="J131" s="10">
        <f>(co2e_g_kwh!H131)/1000000000000</f>
        <v>1.7291976228000006</v>
      </c>
      <c r="K131" s="20">
        <f t="shared" ref="K131:K194" si="9">SUM(I131:J131)</f>
        <v>2.3060309398600012</v>
      </c>
      <c r="L131" s="21">
        <f>(co2e_g_kwh!I131)/1000000000000</f>
        <v>0.71367896817000931</v>
      </c>
      <c r="M131" s="10">
        <f>(co2e_g_kwh!J131)/1000000000000</f>
        <v>0</v>
      </c>
      <c r="N131" s="10">
        <f>(co2e_g_kwh!L131)/1000000000000</f>
        <v>6.8657568E-3</v>
      </c>
      <c r="O131" s="10">
        <f>(co2e_g_kwh!M131)/1000000000000</f>
        <v>0.2685467988000001</v>
      </c>
      <c r="P131" s="22">
        <f t="shared" ref="P131:P194" si="10">SUM(M131:O131)</f>
        <v>0.27541255560000011</v>
      </c>
      <c r="Q131" s="10">
        <f>(co2e_g_kwh!N131)/1000000000000</f>
        <v>0</v>
      </c>
      <c r="R131" s="10">
        <f>(co2e_g_kwh!O131)/1000000000000</f>
        <v>0</v>
      </c>
      <c r="S131" s="14">
        <f t="shared" ref="S131:S194" si="11">D131+E131+F131+G131+I131+J131+L131+M131+N131+O131</f>
        <v>3.3145490885100108</v>
      </c>
    </row>
    <row r="132" spans="1:19" x14ac:dyDescent="0.3">
      <c r="A132" s="6">
        <v>131</v>
      </c>
      <c r="B132" s="6">
        <v>2010</v>
      </c>
      <c r="C132" s="6">
        <v>11</v>
      </c>
      <c r="D132" s="10">
        <f>(co2e_g_kwh!D132)/1000000000000</f>
        <v>3.0564393599999949E-3</v>
      </c>
      <c r="E132" s="10">
        <f>(co2e_g_kwh!F132)/1000000000000</f>
        <v>2.0531166499999864E-3</v>
      </c>
      <c r="F132" s="10">
        <f>(co2e_g_kwh!G132)/1000000000000</f>
        <v>0</v>
      </c>
      <c r="G132" s="10">
        <f>(co2e_g_kwh!K132)/1000000000000</f>
        <v>5.6402200399999942E-3</v>
      </c>
      <c r="H132" s="19">
        <f t="shared" si="8"/>
        <v>1.0749776049999975E-2</v>
      </c>
      <c r="I132" s="10">
        <f>(co2e_g_kwh!E132)/1000000000000</f>
        <v>0.65108308264999859</v>
      </c>
      <c r="J132" s="10">
        <f>(co2e_g_kwh!H132)/1000000000000</f>
        <v>1.7682244774199984</v>
      </c>
      <c r="K132" s="20">
        <f t="shared" si="9"/>
        <v>2.4193075600699969</v>
      </c>
      <c r="L132" s="21">
        <f>(co2e_g_kwh!I132)/1000000000000</f>
        <v>0.70483709456999932</v>
      </c>
      <c r="M132" s="10">
        <f>(co2e_g_kwh!J132)/1000000000000</f>
        <v>0</v>
      </c>
      <c r="N132" s="10">
        <f>(co2e_g_kwh!L132)/1000000000000</f>
        <v>1.0759022399999997E-2</v>
      </c>
      <c r="O132" s="10">
        <f>(co2e_g_kwh!M132)/1000000000000</f>
        <v>0.33350399040000006</v>
      </c>
      <c r="P132" s="22">
        <f t="shared" si="10"/>
        <v>0.34426301280000005</v>
      </c>
      <c r="Q132" s="10">
        <f>(co2e_g_kwh!N132)/1000000000000</f>
        <v>0</v>
      </c>
      <c r="R132" s="10">
        <f>(co2e_g_kwh!O132)/1000000000000</f>
        <v>0</v>
      </c>
      <c r="S132" s="14">
        <f t="shared" si="11"/>
        <v>3.4791574434899961</v>
      </c>
    </row>
    <row r="133" spans="1:19" x14ac:dyDescent="0.3">
      <c r="A133" s="6">
        <v>132</v>
      </c>
      <c r="B133" s="6">
        <v>2010</v>
      </c>
      <c r="C133" s="6">
        <v>12</v>
      </c>
      <c r="D133" s="10">
        <f>(co2e_g_kwh!D133)/1000000000000</f>
        <v>1.3173778799999997E-3</v>
      </c>
      <c r="E133" s="10">
        <f>(co2e_g_kwh!F133)/1000000000000</f>
        <v>1.6267301700000009E-3</v>
      </c>
      <c r="F133" s="10">
        <f>(co2e_g_kwh!G133)/1000000000000</f>
        <v>0</v>
      </c>
      <c r="G133" s="10">
        <f>(co2e_g_kwh!K133)/1000000000000</f>
        <v>1.6775142279999999E-2</v>
      </c>
      <c r="H133" s="19">
        <f t="shared" si="8"/>
        <v>1.971925033E-2</v>
      </c>
      <c r="I133" s="10">
        <f>(co2e_g_kwh!E133)/1000000000000</f>
        <v>0.57585280752999979</v>
      </c>
      <c r="J133" s="10">
        <f>(co2e_g_kwh!H133)/1000000000000</f>
        <v>1.1161169090999965</v>
      </c>
      <c r="K133" s="20">
        <f t="shared" si="9"/>
        <v>1.6919697166299963</v>
      </c>
      <c r="L133" s="21">
        <f>(co2e_g_kwh!I133)/1000000000000</f>
        <v>0.76433903805000036</v>
      </c>
      <c r="M133" s="10">
        <f>(co2e_g_kwh!J133)/1000000000000</f>
        <v>0</v>
      </c>
      <c r="N133" s="10">
        <f>(co2e_g_kwh!L133)/1000000000000</f>
        <v>4.7333243999999981E-3</v>
      </c>
      <c r="O133" s="10">
        <f>(co2e_g_kwh!M133)/1000000000000</f>
        <v>0.23167443600000001</v>
      </c>
      <c r="P133" s="22">
        <f t="shared" si="10"/>
        <v>0.2364077604</v>
      </c>
      <c r="Q133" s="10">
        <f>(co2e_g_kwh!N133)/1000000000000</f>
        <v>0</v>
      </c>
      <c r="R133" s="10">
        <f>(co2e_g_kwh!O133)/1000000000000</f>
        <v>0</v>
      </c>
      <c r="S133" s="14">
        <f t="shared" si="11"/>
        <v>2.7124357654099964</v>
      </c>
    </row>
    <row r="134" spans="1:19" x14ac:dyDescent="0.3">
      <c r="A134" s="6">
        <v>133</v>
      </c>
      <c r="B134" s="6">
        <v>2011</v>
      </c>
      <c r="C134" s="6">
        <v>1</v>
      </c>
      <c r="D134" s="10">
        <f>(co2e_g_kwh!D134)/1000000000000</f>
        <v>4.1512900000000014E-4</v>
      </c>
      <c r="E134" s="10">
        <f>(co2e_g_kwh!F134)/1000000000000</f>
        <v>9.2163889999999479E-4</v>
      </c>
      <c r="F134" s="10">
        <f>(co2e_g_kwh!G134)/1000000000000</f>
        <v>0</v>
      </c>
      <c r="G134" s="10">
        <f>(co2e_g_kwh!K134)/1000000000000</f>
        <v>1.7919932550000007E-2</v>
      </c>
      <c r="H134" s="19">
        <f t="shared" si="8"/>
        <v>1.9256700450000001E-2</v>
      </c>
      <c r="I134" s="10">
        <f>(co2e_g_kwh!E134)/1000000000000</f>
        <v>0.38590295744000014</v>
      </c>
      <c r="J134" s="10">
        <f>(co2e_g_kwh!H134)/1000000000000</f>
        <v>0.42431176728000053</v>
      </c>
      <c r="K134" s="20">
        <f t="shared" si="9"/>
        <v>0.81021472472000067</v>
      </c>
      <c r="L134" s="21">
        <f>(co2e_g_kwh!I134)/1000000000000</f>
        <v>0.81444816999001168</v>
      </c>
      <c r="M134" s="10">
        <f>(co2e_g_kwh!J134)/1000000000000</f>
        <v>0</v>
      </c>
      <c r="N134" s="10">
        <f>(co2e_g_kwh!L134)/1000000000000</f>
        <v>3.5387519999999998E-4</v>
      </c>
      <c r="O134" s="10">
        <f>(co2e_g_kwh!M134)/1000000000000</f>
        <v>0.15306153240000003</v>
      </c>
      <c r="P134" s="22">
        <f t="shared" si="10"/>
        <v>0.15341540760000003</v>
      </c>
      <c r="Q134" s="10">
        <f>(co2e_g_kwh!N134)/1000000000000</f>
        <v>0</v>
      </c>
      <c r="R134" s="10">
        <f>(co2e_g_kwh!O134)/1000000000000</f>
        <v>0</v>
      </c>
      <c r="S134" s="14">
        <f t="shared" si="11"/>
        <v>1.7973350027600123</v>
      </c>
    </row>
    <row r="135" spans="1:19" x14ac:dyDescent="0.3">
      <c r="A135" s="6">
        <v>134</v>
      </c>
      <c r="B135" s="6">
        <v>2011</v>
      </c>
      <c r="C135" s="6">
        <v>2</v>
      </c>
      <c r="D135" s="10">
        <f>(co2e_g_kwh!D135)/1000000000000</f>
        <v>6.3782582240000092E-4</v>
      </c>
      <c r="E135" s="10">
        <f>(co2e_g_kwh!F135)/1000000000000</f>
        <v>8.2608889999999803E-4</v>
      </c>
      <c r="F135" s="10">
        <f>(co2e_g_kwh!G135)/1000000000000</f>
        <v>0</v>
      </c>
      <c r="G135" s="10">
        <f>(co2e_g_kwh!K135)/1000000000000</f>
        <v>1.5543798919999975E-2</v>
      </c>
      <c r="H135" s="19">
        <f t="shared" si="8"/>
        <v>1.7007713642399974E-2</v>
      </c>
      <c r="I135" s="10">
        <f>(co2e_g_kwh!E135)/1000000000000</f>
        <v>0.47069138116000259</v>
      </c>
      <c r="J135" s="10">
        <f>(co2e_g_kwh!H135)/1000000000000</f>
        <v>0.4071604239000014</v>
      </c>
      <c r="K135" s="20">
        <f t="shared" si="9"/>
        <v>0.87785180506000393</v>
      </c>
      <c r="L135" s="21">
        <f>(co2e_g_kwh!I135)/1000000000000</f>
        <v>0.77004703691998888</v>
      </c>
      <c r="M135" s="10">
        <f>(co2e_g_kwh!J135)/1000000000000</f>
        <v>0</v>
      </c>
      <c r="N135" s="10">
        <f>(co2e_g_kwh!L135)/1000000000000</f>
        <v>2.4679199999999999E-5</v>
      </c>
      <c r="O135" s="10">
        <f>(co2e_g_kwh!M135)/1000000000000</f>
        <v>0.10922207519999994</v>
      </c>
      <c r="P135" s="22">
        <f t="shared" si="10"/>
        <v>0.10924675439999994</v>
      </c>
      <c r="Q135" s="10">
        <f>(co2e_g_kwh!N135)/1000000000000</f>
        <v>0</v>
      </c>
      <c r="R135" s="10">
        <f>(co2e_g_kwh!O135)/1000000000000</f>
        <v>0</v>
      </c>
      <c r="S135" s="14">
        <f t="shared" si="11"/>
        <v>1.7741533100223927</v>
      </c>
    </row>
    <row r="136" spans="1:19" x14ac:dyDescent="0.3">
      <c r="A136" s="6">
        <v>135</v>
      </c>
      <c r="B136" s="6">
        <v>2011</v>
      </c>
      <c r="C136" s="6">
        <v>3</v>
      </c>
      <c r="D136" s="10">
        <f>(co2e_g_kwh!D136)/1000000000000</f>
        <v>5.2960127999999995E-4</v>
      </c>
      <c r="E136" s="10">
        <f>(co2e_g_kwh!F136)/1000000000000</f>
        <v>9.8285173999999842E-4</v>
      </c>
      <c r="F136" s="10">
        <f>(co2e_g_kwh!G136)/1000000000000</f>
        <v>0</v>
      </c>
      <c r="G136" s="10">
        <f>(co2e_g_kwh!K136)/1000000000000</f>
        <v>1.7850885780000051E-2</v>
      </c>
      <c r="H136" s="19">
        <f t="shared" si="8"/>
        <v>1.936333880000005E-2</v>
      </c>
      <c r="I136" s="10">
        <f>(co2e_g_kwh!E136)/1000000000000</f>
        <v>0.27093335268999913</v>
      </c>
      <c r="J136" s="10">
        <f>(co2e_g_kwh!H136)/1000000000000</f>
        <v>0.383933759759996</v>
      </c>
      <c r="K136" s="20">
        <f t="shared" si="9"/>
        <v>0.65486711244999518</v>
      </c>
      <c r="L136" s="21">
        <f>(co2e_g_kwh!I136)/1000000000000</f>
        <v>0.82410462945299179</v>
      </c>
      <c r="M136" s="10">
        <f>(co2e_g_kwh!J136)/1000000000000</f>
        <v>0</v>
      </c>
      <c r="N136" s="10">
        <f>(co2e_g_kwh!L136)/1000000000000</f>
        <v>9.8779632000000183E-3</v>
      </c>
      <c r="O136" s="10">
        <f>(co2e_g_kwh!M136)/1000000000000</f>
        <v>0.10882437720000009</v>
      </c>
      <c r="P136" s="22">
        <f t="shared" si="10"/>
        <v>0.11870234040000011</v>
      </c>
      <c r="Q136" s="10">
        <f>(co2e_g_kwh!N136)/1000000000000</f>
        <v>0</v>
      </c>
      <c r="R136" s="10">
        <f>(co2e_g_kwh!O136)/1000000000000</f>
        <v>0</v>
      </c>
      <c r="S136" s="14">
        <f t="shared" si="11"/>
        <v>1.6170374211029872</v>
      </c>
    </row>
    <row r="137" spans="1:19" x14ac:dyDescent="0.3">
      <c r="A137" s="6">
        <v>136</v>
      </c>
      <c r="B137" s="6">
        <v>2011</v>
      </c>
      <c r="C137" s="6">
        <v>4</v>
      </c>
      <c r="D137" s="10">
        <f>(co2e_g_kwh!D137)/1000000000000</f>
        <v>1.4106455999999997E-4</v>
      </c>
      <c r="E137" s="10">
        <f>(co2e_g_kwh!F137)/1000000000000</f>
        <v>5.5494790000000071E-4</v>
      </c>
      <c r="F137" s="10">
        <f>(co2e_g_kwh!G137)/1000000000000</f>
        <v>0</v>
      </c>
      <c r="G137" s="10">
        <f>(co2e_g_kwh!K137)/1000000000000</f>
        <v>1.5713788480000001E-2</v>
      </c>
      <c r="H137" s="19">
        <f t="shared" si="8"/>
        <v>1.640980094E-2</v>
      </c>
      <c r="I137" s="10">
        <f>(co2e_g_kwh!E137)/1000000000000</f>
        <v>0.31753251530000409</v>
      </c>
      <c r="J137" s="10">
        <f>(co2e_g_kwh!H137)/1000000000000</f>
        <v>0.21672479394000096</v>
      </c>
      <c r="K137" s="20">
        <f t="shared" si="9"/>
        <v>0.53425730924000503</v>
      </c>
      <c r="L137" s="21">
        <f>(co2e_g_kwh!I137)/1000000000000</f>
        <v>0.79316622482997912</v>
      </c>
      <c r="M137" s="10">
        <f>(co2e_g_kwh!J137)/1000000000000</f>
        <v>0</v>
      </c>
      <c r="N137" s="10">
        <f>(co2e_g_kwh!L137)/1000000000000</f>
        <v>3.6949079999999998E-3</v>
      </c>
      <c r="O137" s="10">
        <f>(co2e_g_kwh!M137)/1000000000000</f>
        <v>0.14247770879999994</v>
      </c>
      <c r="P137" s="22">
        <f t="shared" si="10"/>
        <v>0.14617261679999993</v>
      </c>
      <c r="Q137" s="10">
        <f>(co2e_g_kwh!N137)/1000000000000</f>
        <v>0</v>
      </c>
      <c r="R137" s="10">
        <f>(co2e_g_kwh!O137)/1000000000000</f>
        <v>0</v>
      </c>
      <c r="S137" s="14">
        <f t="shared" si="11"/>
        <v>1.4900059518099842</v>
      </c>
    </row>
    <row r="138" spans="1:19" x14ac:dyDescent="0.3">
      <c r="A138" s="6">
        <v>137</v>
      </c>
      <c r="B138" s="6">
        <v>2011</v>
      </c>
      <c r="C138" s="6">
        <v>5</v>
      </c>
      <c r="D138" s="10">
        <f>(co2e_g_kwh!D138)/1000000000000</f>
        <v>2.3529100400000052E-3</v>
      </c>
      <c r="E138" s="10">
        <f>(co2e_g_kwh!F138)/1000000000000</f>
        <v>8.592707499999946E-4</v>
      </c>
      <c r="F138" s="10">
        <f>(co2e_g_kwh!G138)/1000000000000</f>
        <v>0</v>
      </c>
      <c r="G138" s="10">
        <f>(co2e_g_kwh!K138)/1000000000000</f>
        <v>1.5961597210000057E-2</v>
      </c>
      <c r="H138" s="19">
        <f t="shared" si="8"/>
        <v>1.9173778000000058E-2</v>
      </c>
      <c r="I138" s="10">
        <f>(co2e_g_kwh!E138)/1000000000000</f>
        <v>0.44301242985999967</v>
      </c>
      <c r="J138" s="10">
        <f>(co2e_g_kwh!H138)/1000000000000</f>
        <v>0.44986046166000165</v>
      </c>
      <c r="K138" s="20">
        <f t="shared" si="9"/>
        <v>0.89287289152000127</v>
      </c>
      <c r="L138" s="21">
        <f>(co2e_g_kwh!I138)/1000000000000</f>
        <v>0.78124729368002965</v>
      </c>
      <c r="M138" s="10">
        <f>(co2e_g_kwh!J138)/1000000000000</f>
        <v>0</v>
      </c>
      <c r="N138" s="10">
        <f>(co2e_g_kwh!L138)/1000000000000</f>
        <v>9.0396516000000055E-3</v>
      </c>
      <c r="O138" s="10">
        <f>(co2e_g_kwh!M138)/1000000000000</f>
        <v>0.22754807039999991</v>
      </c>
      <c r="P138" s="22">
        <f t="shared" si="10"/>
        <v>0.23658772199999992</v>
      </c>
      <c r="Q138" s="10">
        <f>(co2e_g_kwh!N138)/1000000000000</f>
        <v>0</v>
      </c>
      <c r="R138" s="10">
        <f>(co2e_g_kwh!O138)/1000000000000</f>
        <v>0</v>
      </c>
      <c r="S138" s="14">
        <f t="shared" si="11"/>
        <v>1.9298816852000309</v>
      </c>
    </row>
    <row r="139" spans="1:19" x14ac:dyDescent="0.3">
      <c r="A139" s="6">
        <v>138</v>
      </c>
      <c r="B139" s="6">
        <v>2011</v>
      </c>
      <c r="C139" s="6">
        <v>6</v>
      </c>
      <c r="D139" s="10">
        <f>(co2e_g_kwh!D139)/1000000000000</f>
        <v>3.0452879599999995E-3</v>
      </c>
      <c r="E139" s="10">
        <f>(co2e_g_kwh!F139)/1000000000000</f>
        <v>1.4691598999999949E-3</v>
      </c>
      <c r="F139" s="10">
        <f>(co2e_g_kwh!G139)/1000000000000</f>
        <v>0</v>
      </c>
      <c r="G139" s="10">
        <f>(co2e_g_kwh!K139)/1000000000000</f>
        <v>1.8369171859999988E-2</v>
      </c>
      <c r="H139" s="19">
        <f t="shared" si="8"/>
        <v>2.2883619719999984E-2</v>
      </c>
      <c r="I139" s="10">
        <f>(co2e_g_kwh!E139)/1000000000000</f>
        <v>0.53246683489999991</v>
      </c>
      <c r="J139" s="10">
        <f>(co2e_g_kwh!H139)/1000000000000</f>
        <v>0.64164480966000259</v>
      </c>
      <c r="K139" s="20">
        <f t="shared" si="9"/>
        <v>1.1741116445600026</v>
      </c>
      <c r="L139" s="21">
        <f>(co2e_g_kwh!I139)/1000000000000</f>
        <v>0.73588790961000528</v>
      </c>
      <c r="M139" s="10">
        <f>(co2e_g_kwh!J139)/1000000000000</f>
        <v>0</v>
      </c>
      <c r="N139" s="10">
        <f>(co2e_g_kwh!L139)/1000000000000</f>
        <v>5.8156055999999999E-3</v>
      </c>
      <c r="O139" s="10">
        <f>(co2e_g_kwh!M139)/1000000000000</f>
        <v>0.23652011040000007</v>
      </c>
      <c r="P139" s="22">
        <f t="shared" si="10"/>
        <v>0.24233571600000006</v>
      </c>
      <c r="Q139" s="10">
        <f>(co2e_g_kwh!N139)/1000000000000</f>
        <v>0</v>
      </c>
      <c r="R139" s="10">
        <f>(co2e_g_kwh!O139)/1000000000000</f>
        <v>0</v>
      </c>
      <c r="S139" s="14">
        <f t="shared" si="11"/>
        <v>2.175218889890008</v>
      </c>
    </row>
    <row r="140" spans="1:19" x14ac:dyDescent="0.3">
      <c r="A140" s="6">
        <v>139</v>
      </c>
      <c r="B140" s="6">
        <v>2011</v>
      </c>
      <c r="C140" s="6">
        <v>7</v>
      </c>
      <c r="D140" s="10">
        <f>(co2e_g_kwh!D140)/1000000000000</f>
        <v>3.2353438000000071E-3</v>
      </c>
      <c r="E140" s="10">
        <f>(co2e_g_kwh!F140)/1000000000000</f>
        <v>1.9517293900000068E-3</v>
      </c>
      <c r="F140" s="10">
        <f>(co2e_g_kwh!G140)/1000000000000</f>
        <v>0</v>
      </c>
      <c r="G140" s="10">
        <f>(co2e_g_kwh!K140)/1000000000000</f>
        <v>1.8498612210000005E-2</v>
      </c>
      <c r="H140" s="19">
        <f t="shared" si="8"/>
        <v>2.3685685400000017E-2</v>
      </c>
      <c r="I140" s="10">
        <f>(co2e_g_kwh!E140)/1000000000000</f>
        <v>0.48471208786000014</v>
      </c>
      <c r="J140" s="10">
        <f>(co2e_g_kwh!H140)/1000000000000</f>
        <v>0.65897219682001307</v>
      </c>
      <c r="K140" s="20">
        <f t="shared" si="9"/>
        <v>1.1436842846800133</v>
      </c>
      <c r="L140" s="21">
        <f>(co2e_g_kwh!I140)/1000000000000</f>
        <v>0.7712344544100026</v>
      </c>
      <c r="M140" s="10">
        <f>(co2e_g_kwh!J140)/1000000000000</f>
        <v>0</v>
      </c>
      <c r="N140" s="10">
        <f>(co2e_g_kwh!L140)/1000000000000</f>
        <v>8.5661520000000009E-4</v>
      </c>
      <c r="O140" s="10">
        <f>(co2e_g_kwh!M140)/1000000000000</f>
        <v>0.24727660440000021</v>
      </c>
      <c r="P140" s="22">
        <f t="shared" si="10"/>
        <v>0.2481332196000002</v>
      </c>
      <c r="Q140" s="10">
        <f>(co2e_g_kwh!N140)/1000000000000</f>
        <v>0</v>
      </c>
      <c r="R140" s="10">
        <f>(co2e_g_kwh!O140)/1000000000000</f>
        <v>0</v>
      </c>
      <c r="S140" s="14">
        <f t="shared" si="11"/>
        <v>2.1867376440900159</v>
      </c>
    </row>
    <row r="141" spans="1:19" x14ac:dyDescent="0.3">
      <c r="A141" s="6">
        <v>140</v>
      </c>
      <c r="B141" s="6">
        <v>2011</v>
      </c>
      <c r="C141" s="6">
        <v>8</v>
      </c>
      <c r="D141" s="10">
        <f>(co2e_g_kwh!D141)/1000000000000</f>
        <v>2.6170866800000071E-3</v>
      </c>
      <c r="E141" s="10">
        <f>(co2e_g_kwh!F141)/1000000000000</f>
        <v>3.1174465400000332E-3</v>
      </c>
      <c r="F141" s="10">
        <f>(co2e_g_kwh!G141)/1000000000000</f>
        <v>0</v>
      </c>
      <c r="G141" s="10">
        <f>(co2e_g_kwh!K141)/1000000000000</f>
        <v>1.5882182420000009E-2</v>
      </c>
      <c r="H141" s="19">
        <f t="shared" si="8"/>
        <v>2.1616715640000048E-2</v>
      </c>
      <c r="I141" s="10">
        <f>(co2e_g_kwh!E141)/1000000000000</f>
        <v>0.48190692550000014</v>
      </c>
      <c r="J141" s="10">
        <f>(co2e_g_kwh!H141)/1000000000000</f>
        <v>0.58014131040000017</v>
      </c>
      <c r="K141" s="20">
        <f t="shared" si="9"/>
        <v>1.0620482359000003</v>
      </c>
      <c r="L141" s="21">
        <f>(co2e_g_kwh!I141)/1000000000000</f>
        <v>0.81066462602999145</v>
      </c>
      <c r="M141" s="10">
        <f>(co2e_g_kwh!J141)/1000000000000</f>
        <v>0</v>
      </c>
      <c r="N141" s="10">
        <f>(co2e_g_kwh!L141)/1000000000000</f>
        <v>8.9962319999999975E-4</v>
      </c>
      <c r="O141" s="10">
        <f>(co2e_g_kwh!M141)/1000000000000</f>
        <v>0.27156301199999971</v>
      </c>
      <c r="P141" s="22">
        <f t="shared" si="10"/>
        <v>0.27246263519999969</v>
      </c>
      <c r="Q141" s="10">
        <f>(co2e_g_kwh!N141)/1000000000000</f>
        <v>0</v>
      </c>
      <c r="R141" s="10">
        <f>(co2e_g_kwh!O141)/1000000000000</f>
        <v>0</v>
      </c>
      <c r="S141" s="14">
        <f t="shared" si="11"/>
        <v>2.1667922127699915</v>
      </c>
    </row>
    <row r="142" spans="1:19" x14ac:dyDescent="0.3">
      <c r="A142" s="6">
        <v>141</v>
      </c>
      <c r="B142" s="6">
        <v>2011</v>
      </c>
      <c r="C142" s="6">
        <v>9</v>
      </c>
      <c r="D142" s="10">
        <f>(co2e_g_kwh!D142)/1000000000000</f>
        <v>1.5345974799999974E-3</v>
      </c>
      <c r="E142" s="10">
        <f>(co2e_g_kwh!F142)/1000000000000</f>
        <v>3.2049386200000028E-3</v>
      </c>
      <c r="F142" s="10">
        <f>(co2e_g_kwh!G142)/1000000000000</f>
        <v>0</v>
      </c>
      <c r="G142" s="10">
        <f>(co2e_g_kwh!K142)/1000000000000</f>
        <v>1.5008057220000046E-2</v>
      </c>
      <c r="H142" s="19">
        <f t="shared" si="8"/>
        <v>1.9747593320000048E-2</v>
      </c>
      <c r="I142" s="10">
        <f>(co2e_g_kwh!E142)/1000000000000</f>
        <v>0.43727759075000006</v>
      </c>
      <c r="J142" s="10">
        <f>(co2e_g_kwh!H142)/1000000000000</f>
        <v>0.51741672642000336</v>
      </c>
      <c r="K142" s="20">
        <f t="shared" si="9"/>
        <v>0.95469431717000341</v>
      </c>
      <c r="L142" s="21">
        <f>(co2e_g_kwh!I142)/1000000000000</f>
        <v>0.78347279744999032</v>
      </c>
      <c r="M142" s="10">
        <f>(co2e_g_kwh!J142)/1000000000000</f>
        <v>0</v>
      </c>
      <c r="N142" s="10">
        <f>(co2e_g_kwh!L142)/1000000000000</f>
        <v>6.5319324000000017E-3</v>
      </c>
      <c r="O142" s="10">
        <f>(co2e_g_kwh!M142)/1000000000000</f>
        <v>0.28192146359999992</v>
      </c>
      <c r="P142" s="22">
        <f t="shared" si="10"/>
        <v>0.28845339599999992</v>
      </c>
      <c r="Q142" s="10">
        <f>(co2e_g_kwh!N142)/1000000000000</f>
        <v>0</v>
      </c>
      <c r="R142" s="10">
        <f>(co2e_g_kwh!O142)/1000000000000</f>
        <v>0</v>
      </c>
      <c r="S142" s="14">
        <f t="shared" si="11"/>
        <v>2.0463681039399937</v>
      </c>
    </row>
    <row r="143" spans="1:19" x14ac:dyDescent="0.3">
      <c r="A143" s="6">
        <v>142</v>
      </c>
      <c r="B143" s="6">
        <v>2011</v>
      </c>
      <c r="C143" s="6">
        <v>10</v>
      </c>
      <c r="D143" s="10">
        <f>(co2e_g_kwh!D143)/1000000000000</f>
        <v>7.5483251999999986E-4</v>
      </c>
      <c r="E143" s="10">
        <f>(co2e_g_kwh!F143)/1000000000000</f>
        <v>3.4210465899999899E-3</v>
      </c>
      <c r="F143" s="10">
        <f>(co2e_g_kwh!G143)/1000000000000</f>
        <v>0</v>
      </c>
      <c r="G143" s="10">
        <f>(co2e_g_kwh!K143)/1000000000000</f>
        <v>1.5342630810000004E-2</v>
      </c>
      <c r="H143" s="19">
        <f t="shared" si="8"/>
        <v>1.9518509919999993E-2</v>
      </c>
      <c r="I143" s="10">
        <f>(co2e_g_kwh!E143)/1000000000000</f>
        <v>0.59388330000999801</v>
      </c>
      <c r="J143" s="10">
        <f>(co2e_g_kwh!H143)/1000000000000</f>
        <v>0.68709937878000171</v>
      </c>
      <c r="K143" s="20">
        <f t="shared" si="9"/>
        <v>1.2809826787899996</v>
      </c>
      <c r="L143" s="21">
        <f>(co2e_g_kwh!I143)/1000000000000</f>
        <v>0.79238142479998563</v>
      </c>
      <c r="M143" s="10">
        <f>(co2e_g_kwh!J143)/1000000000000</f>
        <v>0</v>
      </c>
      <c r="N143" s="10">
        <f>(co2e_g_kwh!L143)/1000000000000</f>
        <v>1.9609463999999991E-3</v>
      </c>
      <c r="O143" s="10">
        <f>(co2e_g_kwh!M143)/1000000000000</f>
        <v>0.28562516640000013</v>
      </c>
      <c r="P143" s="22">
        <f t="shared" si="10"/>
        <v>0.28758611280000013</v>
      </c>
      <c r="Q143" s="10">
        <f>(co2e_g_kwh!N143)/1000000000000</f>
        <v>0</v>
      </c>
      <c r="R143" s="10">
        <f>(co2e_g_kwh!O143)/1000000000000</f>
        <v>0</v>
      </c>
      <c r="S143" s="14">
        <f t="shared" si="11"/>
        <v>2.3804687263099855</v>
      </c>
    </row>
    <row r="144" spans="1:19" x14ac:dyDescent="0.3">
      <c r="A144" s="6">
        <v>143</v>
      </c>
      <c r="B144" s="6">
        <v>2011</v>
      </c>
      <c r="C144" s="6">
        <v>11</v>
      </c>
      <c r="D144" s="10">
        <f>(co2e_g_kwh!D144)/1000000000000</f>
        <v>7.1180199999999966E-4</v>
      </c>
      <c r="E144" s="10">
        <f>(co2e_g_kwh!F144)/1000000000000</f>
        <v>3.8273823900000009E-3</v>
      </c>
      <c r="F144" s="10">
        <f>(co2e_g_kwh!G144)/1000000000000</f>
        <v>0</v>
      </c>
      <c r="G144" s="10">
        <f>(co2e_g_kwh!K144)/1000000000000</f>
        <v>1.832712803999996E-2</v>
      </c>
      <c r="H144" s="19">
        <f t="shared" si="8"/>
        <v>2.2866312429999959E-2</v>
      </c>
      <c r="I144" s="10">
        <f>(co2e_g_kwh!E144)/1000000000000</f>
        <v>0.62429033666999967</v>
      </c>
      <c r="J144" s="10">
        <f>(co2e_g_kwh!H144)/1000000000000</f>
        <v>0.68296527809999763</v>
      </c>
      <c r="K144" s="20">
        <f t="shared" si="9"/>
        <v>1.3072556147699972</v>
      </c>
      <c r="L144" s="21">
        <f>(co2e_g_kwh!I144)/1000000000000</f>
        <v>0.76861003862998989</v>
      </c>
      <c r="M144" s="10">
        <f>(co2e_g_kwh!J144)/1000000000000</f>
        <v>0</v>
      </c>
      <c r="N144" s="10">
        <f>(co2e_g_kwh!L144)/1000000000000</f>
        <v>5.652141600000004E-3</v>
      </c>
      <c r="O144" s="10">
        <f>(co2e_g_kwh!M144)/1000000000000</f>
        <v>0.25096617839999952</v>
      </c>
      <c r="P144" s="22">
        <f t="shared" si="10"/>
        <v>0.25661831999999951</v>
      </c>
      <c r="Q144" s="10">
        <f>(co2e_g_kwh!N144)/1000000000000</f>
        <v>0</v>
      </c>
      <c r="R144" s="10">
        <f>(co2e_g_kwh!O144)/1000000000000</f>
        <v>0</v>
      </c>
      <c r="S144" s="14">
        <f t="shared" si="11"/>
        <v>2.3553502858299873</v>
      </c>
    </row>
    <row r="145" spans="1:19" x14ac:dyDescent="0.3">
      <c r="A145" s="6">
        <v>144</v>
      </c>
      <c r="B145" s="6">
        <v>2011</v>
      </c>
      <c r="C145" s="6">
        <v>12</v>
      </c>
      <c r="D145" s="10">
        <f>(co2e_g_kwh!D145)/1000000000000</f>
        <v>3.8938587999999986E-4</v>
      </c>
      <c r="E145" s="10">
        <f>(co2e_g_kwh!F145)/1000000000000</f>
        <v>3.6211284199999931E-3</v>
      </c>
      <c r="F145" s="10">
        <f>(co2e_g_kwh!G145)/1000000000000</f>
        <v>0</v>
      </c>
      <c r="G145" s="10">
        <f>(co2e_g_kwh!K145)/1000000000000</f>
        <v>1.9136143520000076E-2</v>
      </c>
      <c r="H145" s="19">
        <f t="shared" si="8"/>
        <v>2.3146657820000069E-2</v>
      </c>
      <c r="I145" s="10">
        <f>(co2e_g_kwh!E145)/1000000000000</f>
        <v>0.61774380667999784</v>
      </c>
      <c r="J145" s="10">
        <f>(co2e_g_kwh!H145)/1000000000000</f>
        <v>0.67357601567999947</v>
      </c>
      <c r="K145" s="20">
        <f t="shared" si="9"/>
        <v>1.2913198223599973</v>
      </c>
      <c r="L145" s="21">
        <f>(co2e_g_kwh!I145)/1000000000000</f>
        <v>0.80811956546999641</v>
      </c>
      <c r="M145" s="10">
        <f>(co2e_g_kwh!J145)/1000000000000</f>
        <v>0</v>
      </c>
      <c r="N145" s="10">
        <f>(co2e_g_kwh!L145)/1000000000000</f>
        <v>1.476677999999999E-2</v>
      </c>
      <c r="O145" s="10">
        <f>(co2e_g_kwh!M145)/1000000000000</f>
        <v>0.24242973720000049</v>
      </c>
      <c r="P145" s="22">
        <f t="shared" si="10"/>
        <v>0.25719651720000047</v>
      </c>
      <c r="Q145" s="10">
        <f>(co2e_g_kwh!N145)/1000000000000</f>
        <v>0</v>
      </c>
      <c r="R145" s="10">
        <f>(co2e_g_kwh!O145)/1000000000000</f>
        <v>0</v>
      </c>
      <c r="S145" s="14">
        <f t="shared" si="11"/>
        <v>2.3797825628499947</v>
      </c>
    </row>
    <row r="146" spans="1:19" x14ac:dyDescent="0.3">
      <c r="A146" s="6">
        <v>145</v>
      </c>
      <c r="B146" s="6">
        <v>2012</v>
      </c>
      <c r="C146" s="6">
        <v>1</v>
      </c>
      <c r="D146" s="10">
        <f>(co2e_g_kwh!D146)/1000000000000</f>
        <v>0</v>
      </c>
      <c r="E146" s="10">
        <f>(co2e_g_kwh!F146)/1000000000000</f>
        <v>3.3254362569999957E-3</v>
      </c>
      <c r="F146" s="10">
        <f>(co2e_g_kwh!G146)/1000000000000</f>
        <v>0</v>
      </c>
      <c r="G146" s="10">
        <f>(co2e_g_kwh!K146)/1000000000000</f>
        <v>1.832672244000003E-2</v>
      </c>
      <c r="H146" s="19">
        <f t="shared" si="8"/>
        <v>2.1652158697000025E-2</v>
      </c>
      <c r="I146" s="10">
        <f>(co2e_g_kwh!E146)/1000000000000</f>
        <v>0.55586268737999922</v>
      </c>
      <c r="J146" s="10">
        <f>(co2e_g_kwh!H146)/1000000000000</f>
        <v>0.36883737504000652</v>
      </c>
      <c r="K146" s="20">
        <f t="shared" si="9"/>
        <v>0.92470006242000569</v>
      </c>
      <c r="L146" s="21">
        <f>(co2e_g_kwh!I146)/1000000000000</f>
        <v>0.83195981273998609</v>
      </c>
      <c r="M146" s="10">
        <f>(co2e_g_kwh!J146)/1000000000000</f>
        <v>0</v>
      </c>
      <c r="N146" s="10">
        <f>(co2e_g_kwh!L146)/1000000000000</f>
        <v>1.3999389599999988E-2</v>
      </c>
      <c r="O146" s="10">
        <f>(co2e_g_kwh!M146)/1000000000000</f>
        <v>0.15036002520000033</v>
      </c>
      <c r="P146" s="22">
        <f t="shared" si="10"/>
        <v>0.16435941480000033</v>
      </c>
      <c r="Q146" s="10">
        <f>(co2e_g_kwh!N146)/1000000000000</f>
        <v>0</v>
      </c>
      <c r="R146" s="10">
        <f>(co2e_g_kwh!O146)/1000000000000</f>
        <v>0</v>
      </c>
      <c r="S146" s="14">
        <f t="shared" si="11"/>
        <v>1.942671448656992</v>
      </c>
    </row>
    <row r="147" spans="1:19" x14ac:dyDescent="0.3">
      <c r="A147" s="6">
        <v>146</v>
      </c>
      <c r="B147" s="6">
        <v>2012</v>
      </c>
      <c r="C147" s="6">
        <v>2</v>
      </c>
      <c r="D147" s="10">
        <f>(co2e_g_kwh!D147)/1000000000000</f>
        <v>5.8967116000000126E-4</v>
      </c>
      <c r="E147" s="10">
        <f>(co2e_g_kwh!F147)/1000000000000</f>
        <v>2.4638891159999925E-3</v>
      </c>
      <c r="F147" s="10">
        <f>(co2e_g_kwh!G147)/1000000000000</f>
        <v>0</v>
      </c>
      <c r="G147" s="10">
        <f>(co2e_g_kwh!K147)/1000000000000</f>
        <v>1.5008953179999989E-2</v>
      </c>
      <c r="H147" s="19">
        <f t="shared" si="8"/>
        <v>1.8062513455999983E-2</v>
      </c>
      <c r="I147" s="10">
        <f>(co2e_g_kwh!E147)/1000000000000</f>
        <v>0.47825377599999841</v>
      </c>
      <c r="J147" s="10">
        <f>(co2e_g_kwh!H147)/1000000000000</f>
        <v>0.54901117332000404</v>
      </c>
      <c r="K147" s="20">
        <f t="shared" si="9"/>
        <v>1.0272649493200023</v>
      </c>
      <c r="L147" s="21">
        <f>(co2e_g_kwh!I147)/1000000000000</f>
        <v>0.82558309133999475</v>
      </c>
      <c r="M147" s="10">
        <f>(co2e_g_kwh!J147)/1000000000000</f>
        <v>0</v>
      </c>
      <c r="N147" s="10">
        <f>(co2e_g_kwh!L147)/1000000000000</f>
        <v>1.8026744399999996E-2</v>
      </c>
      <c r="O147" s="10">
        <f>(co2e_g_kwh!M147)/1000000000000</f>
        <v>0.1094416596</v>
      </c>
      <c r="P147" s="22">
        <f t="shared" si="10"/>
        <v>0.12746840400000001</v>
      </c>
      <c r="Q147" s="10">
        <f>(co2e_g_kwh!N147)/1000000000000</f>
        <v>0</v>
      </c>
      <c r="R147" s="10">
        <f>(co2e_g_kwh!O147)/1000000000000</f>
        <v>0</v>
      </c>
      <c r="S147" s="14">
        <f t="shared" si="11"/>
        <v>1.998378958115997</v>
      </c>
    </row>
    <row r="148" spans="1:19" x14ac:dyDescent="0.3">
      <c r="A148" s="6">
        <v>147</v>
      </c>
      <c r="B148" s="6">
        <v>2012</v>
      </c>
      <c r="C148" s="6">
        <v>3</v>
      </c>
      <c r="D148" s="10">
        <f>(co2e_g_kwh!D148)/1000000000000</f>
        <v>9.4039867999999962E-4</v>
      </c>
      <c r="E148" s="10">
        <f>(co2e_g_kwh!F148)/1000000000000</f>
        <v>2.3011690649999989E-3</v>
      </c>
      <c r="F148" s="10">
        <f>(co2e_g_kwh!G148)/1000000000000</f>
        <v>0</v>
      </c>
      <c r="G148" s="10">
        <f>(co2e_g_kwh!K148)/1000000000000</f>
        <v>6.6714378900000022E-3</v>
      </c>
      <c r="H148" s="19">
        <f t="shared" si="8"/>
        <v>9.9130056350000013E-3</v>
      </c>
      <c r="I148" s="10">
        <f>(co2e_g_kwh!E148)/1000000000000</f>
        <v>0.56278181960000073</v>
      </c>
      <c r="J148" s="10">
        <f>(co2e_g_kwh!H148)/1000000000000</f>
        <v>0.83162291436000035</v>
      </c>
      <c r="K148" s="20">
        <f t="shared" si="9"/>
        <v>1.394404733960001</v>
      </c>
      <c r="L148" s="21">
        <f>(co2e_g_kwh!I148)/1000000000000</f>
        <v>0.89507126154598915</v>
      </c>
      <c r="M148" s="10">
        <f>(co2e_g_kwh!J148)/1000000000000</f>
        <v>0</v>
      </c>
      <c r="N148" s="10">
        <f>(co2e_g_kwh!L148)/1000000000000</f>
        <v>7.5976236000000023E-3</v>
      </c>
      <c r="O148" s="10">
        <f>(co2e_g_kwh!M148)/1000000000000</f>
        <v>0.15274935480000021</v>
      </c>
      <c r="P148" s="22">
        <f t="shared" si="10"/>
        <v>0.1603469784000002</v>
      </c>
      <c r="Q148" s="10">
        <f>(co2e_g_kwh!N148)/1000000000000</f>
        <v>0</v>
      </c>
      <c r="R148" s="10">
        <f>(co2e_g_kwh!O148)/1000000000000</f>
        <v>0</v>
      </c>
      <c r="S148" s="14">
        <f t="shared" si="11"/>
        <v>2.4597359795409903</v>
      </c>
    </row>
    <row r="149" spans="1:19" x14ac:dyDescent="0.3">
      <c r="A149" s="6">
        <v>148</v>
      </c>
      <c r="B149" s="6">
        <v>2012</v>
      </c>
      <c r="C149" s="6">
        <v>4</v>
      </c>
      <c r="D149" s="10">
        <f>(co2e_g_kwh!D149)/1000000000000</f>
        <v>2.5400637600000013E-3</v>
      </c>
      <c r="E149" s="10">
        <f>(co2e_g_kwh!F149)/1000000000000</f>
        <v>2.428236278000007E-3</v>
      </c>
      <c r="F149" s="10">
        <f>(co2e_g_kwh!G149)/1000000000000</f>
        <v>0</v>
      </c>
      <c r="G149" s="10">
        <f>(co2e_g_kwh!K149)/1000000000000</f>
        <v>1.8287949940000006E-2</v>
      </c>
      <c r="H149" s="19">
        <f t="shared" si="8"/>
        <v>2.3256249978000014E-2</v>
      </c>
      <c r="I149" s="10">
        <f>(co2e_g_kwh!E149)/1000000000000</f>
        <v>0.50862770958999981</v>
      </c>
      <c r="J149" s="10">
        <f>(co2e_g_kwh!H149)/1000000000000</f>
        <v>1.4462446271399947</v>
      </c>
      <c r="K149" s="20">
        <f t="shared" si="9"/>
        <v>1.9548723367299945</v>
      </c>
      <c r="L149" s="21">
        <f>(co2e_g_kwh!I149)/1000000000000</f>
        <v>0.77537053752900031</v>
      </c>
      <c r="M149" s="10">
        <f>(co2e_g_kwh!J149)/1000000000000</f>
        <v>0</v>
      </c>
      <c r="N149" s="10">
        <f>(co2e_g_kwh!L149)/1000000000000</f>
        <v>4.5860480399999973E-2</v>
      </c>
      <c r="O149" s="10">
        <f>(co2e_g_kwh!M149)/1000000000000</f>
        <v>0.20843939760000005</v>
      </c>
      <c r="P149" s="22">
        <f t="shared" si="10"/>
        <v>0.25429987800000003</v>
      </c>
      <c r="Q149" s="10">
        <f>(co2e_g_kwh!N149)/1000000000000</f>
        <v>0</v>
      </c>
      <c r="R149" s="10">
        <f>(co2e_g_kwh!O149)/1000000000000</f>
        <v>0</v>
      </c>
      <c r="S149" s="14">
        <f t="shared" si="11"/>
        <v>3.0077990022369945</v>
      </c>
    </row>
    <row r="150" spans="1:19" x14ac:dyDescent="0.3">
      <c r="A150" s="6">
        <v>149</v>
      </c>
      <c r="B150" s="6">
        <v>2012</v>
      </c>
      <c r="C150" s="6">
        <v>5</v>
      </c>
      <c r="D150" s="10">
        <f>(co2e_g_kwh!D150)/1000000000000</f>
        <v>5.9389174000000064E-3</v>
      </c>
      <c r="E150" s="10">
        <f>(co2e_g_kwh!F150)/1000000000000</f>
        <v>2.7882219429999988E-3</v>
      </c>
      <c r="F150" s="10">
        <f>(co2e_g_kwh!G150)/1000000000000</f>
        <v>0</v>
      </c>
      <c r="G150" s="10">
        <f>(co2e_g_kwh!K150)/1000000000000</f>
        <v>1.9200077389999959E-2</v>
      </c>
      <c r="H150" s="19">
        <f t="shared" si="8"/>
        <v>2.7927216732999964E-2</v>
      </c>
      <c r="I150" s="10">
        <f>(co2e_g_kwh!E150)/1000000000000</f>
        <v>0.53258985780000112</v>
      </c>
      <c r="J150" s="10">
        <f>(co2e_g_kwh!H150)/1000000000000</f>
        <v>1.4130330444000079</v>
      </c>
      <c r="K150" s="20">
        <f t="shared" si="9"/>
        <v>1.9456229022000091</v>
      </c>
      <c r="L150" s="21">
        <f>(co2e_g_kwh!I150)/1000000000000</f>
        <v>0.76405565075699422</v>
      </c>
      <c r="M150" s="10">
        <f>(co2e_g_kwh!J150)/1000000000000</f>
        <v>0</v>
      </c>
      <c r="N150" s="10">
        <f>(co2e_g_kwh!L150)/1000000000000</f>
        <v>7.1492988000000004E-3</v>
      </c>
      <c r="O150" s="10">
        <f>(co2e_g_kwh!M150)/1000000000000</f>
        <v>0.26219294640000024</v>
      </c>
      <c r="P150" s="22">
        <f t="shared" si="10"/>
        <v>0.26934224520000022</v>
      </c>
      <c r="Q150" s="10">
        <f>(co2e_g_kwh!N150)/1000000000000</f>
        <v>0</v>
      </c>
      <c r="R150" s="10">
        <f>(co2e_g_kwh!O150)/1000000000000</f>
        <v>0</v>
      </c>
      <c r="S150" s="14">
        <f t="shared" si="11"/>
        <v>3.0069480148900034</v>
      </c>
    </row>
    <row r="151" spans="1:19" x14ac:dyDescent="0.3">
      <c r="A151" s="6">
        <v>150</v>
      </c>
      <c r="B151" s="6">
        <v>2012</v>
      </c>
      <c r="C151" s="6">
        <v>6</v>
      </c>
      <c r="D151" s="10">
        <f>(co2e_g_kwh!D151)/1000000000000</f>
        <v>6.6950138372E-3</v>
      </c>
      <c r="E151" s="10">
        <f>(co2e_g_kwh!F151)/1000000000000</f>
        <v>2.5889492589999913E-3</v>
      </c>
      <c r="F151" s="10">
        <f>(co2e_g_kwh!G151)/1000000000000</f>
        <v>0</v>
      </c>
      <c r="G151" s="10">
        <f>(co2e_g_kwh!K151)/1000000000000</f>
        <v>1.8532524659999768E-2</v>
      </c>
      <c r="H151" s="19">
        <f t="shared" si="8"/>
        <v>2.781648775619976E-2</v>
      </c>
      <c r="I151" s="10">
        <f>(co2e_g_kwh!E151)/1000000000000</f>
        <v>0.46194116968999915</v>
      </c>
      <c r="J151" s="10">
        <f>(co2e_g_kwh!H151)/1000000000000</f>
        <v>0.46432350089999946</v>
      </c>
      <c r="K151" s="20">
        <f t="shared" si="9"/>
        <v>0.92626467058999862</v>
      </c>
      <c r="L151" s="21">
        <f>(co2e_g_kwh!I151)/1000000000000</f>
        <v>0.74432526548099653</v>
      </c>
      <c r="M151" s="10">
        <f>(co2e_g_kwh!J151)/1000000000000</f>
        <v>0</v>
      </c>
      <c r="N151" s="10">
        <f>(co2e_g_kwh!L151)/1000000000000</f>
        <v>1.2164686800000008E-2</v>
      </c>
      <c r="O151" s="10">
        <f>(co2e_g_kwh!M151)/1000000000000</f>
        <v>0.25373709480000006</v>
      </c>
      <c r="P151" s="22">
        <f t="shared" si="10"/>
        <v>0.26590178160000005</v>
      </c>
      <c r="Q151" s="10">
        <f>(co2e_g_kwh!N151)/1000000000000</f>
        <v>0</v>
      </c>
      <c r="R151" s="10">
        <f>(co2e_g_kwh!O151)/1000000000000</f>
        <v>0</v>
      </c>
      <c r="S151" s="14">
        <f t="shared" si="11"/>
        <v>1.9643082054271952</v>
      </c>
    </row>
    <row r="152" spans="1:19" x14ac:dyDescent="0.3">
      <c r="A152" s="6">
        <v>151</v>
      </c>
      <c r="B152" s="6">
        <v>2012</v>
      </c>
      <c r="C152" s="6">
        <v>7</v>
      </c>
      <c r="D152" s="10">
        <f>(co2e_g_kwh!D152)/1000000000000</f>
        <v>8.889960559999981E-3</v>
      </c>
      <c r="E152" s="10">
        <f>(co2e_g_kwh!F152)/1000000000000</f>
        <v>3.6102469520000015E-3</v>
      </c>
      <c r="F152" s="10">
        <f>(co2e_g_kwh!G152)/1000000000000</f>
        <v>0</v>
      </c>
      <c r="G152" s="10">
        <f>(co2e_g_kwh!K152)/1000000000000</f>
        <v>1.9208501259999913E-2</v>
      </c>
      <c r="H152" s="19">
        <f t="shared" si="8"/>
        <v>3.1708708771999897E-2</v>
      </c>
      <c r="I152" s="10">
        <f>(co2e_g_kwh!E152)/1000000000000</f>
        <v>0.57900900056999993</v>
      </c>
      <c r="J152" s="10">
        <f>(co2e_g_kwh!H152)/1000000000000</f>
        <v>0.24433932366000002</v>
      </c>
      <c r="K152" s="20">
        <f t="shared" si="9"/>
        <v>0.82334832422999993</v>
      </c>
      <c r="L152" s="21">
        <f>(co2e_g_kwh!I152)/1000000000000</f>
        <v>0.77717722515299192</v>
      </c>
      <c r="M152" s="10">
        <f>(co2e_g_kwh!J152)/1000000000000</f>
        <v>0</v>
      </c>
      <c r="N152" s="10">
        <f>(co2e_g_kwh!L152)/1000000000000</f>
        <v>1.533424200000002E-2</v>
      </c>
      <c r="O152" s="10">
        <f>(co2e_g_kwh!M152)/1000000000000</f>
        <v>0.2058087443999996</v>
      </c>
      <c r="P152" s="22">
        <f t="shared" si="10"/>
        <v>0.22114298639999963</v>
      </c>
      <c r="Q152" s="10">
        <f>(co2e_g_kwh!N152)/1000000000000</f>
        <v>0</v>
      </c>
      <c r="R152" s="10">
        <f>(co2e_g_kwh!O152)/1000000000000</f>
        <v>0</v>
      </c>
      <c r="S152" s="14">
        <f t="shared" si="11"/>
        <v>1.8533772445549914</v>
      </c>
    </row>
    <row r="153" spans="1:19" x14ac:dyDescent="0.3">
      <c r="A153" s="6">
        <v>152</v>
      </c>
      <c r="B153" s="6">
        <v>2012</v>
      </c>
      <c r="C153" s="6">
        <v>8</v>
      </c>
      <c r="D153" s="10">
        <f>(co2e_g_kwh!D153)/1000000000000</f>
        <v>1.1434940420799969E-2</v>
      </c>
      <c r="E153" s="10">
        <f>(co2e_g_kwh!F153)/1000000000000</f>
        <v>4.44165684300002E-3</v>
      </c>
      <c r="F153" s="10">
        <f>(co2e_g_kwh!G153)/1000000000000</f>
        <v>0</v>
      </c>
      <c r="G153" s="10">
        <f>(co2e_g_kwh!K153)/1000000000000</f>
        <v>1.9124235519999932E-2</v>
      </c>
      <c r="H153" s="19">
        <f t="shared" si="8"/>
        <v>3.5000832783799923E-2</v>
      </c>
      <c r="I153" s="10">
        <f>(co2e_g_kwh!E153)/1000000000000</f>
        <v>0.80135949893999769</v>
      </c>
      <c r="J153" s="10">
        <f>(co2e_g_kwh!H153)/1000000000000</f>
        <v>0.75171986042400041</v>
      </c>
      <c r="K153" s="20">
        <f t="shared" si="9"/>
        <v>1.553079359363998</v>
      </c>
      <c r="L153" s="21">
        <f>(co2e_g_kwh!I153)/1000000000000</f>
        <v>0.78888529921320716</v>
      </c>
      <c r="M153" s="10">
        <f>(co2e_g_kwh!J153)/1000000000000</f>
        <v>0</v>
      </c>
      <c r="N153" s="10">
        <f>(co2e_g_kwh!L153)/1000000000000</f>
        <v>5.9454721200000015E-3</v>
      </c>
      <c r="O153" s="10">
        <f>(co2e_g_kwh!M153)/1000000000000</f>
        <v>0.22888702200000022</v>
      </c>
      <c r="P153" s="22">
        <f t="shared" si="10"/>
        <v>0.23483249412000021</v>
      </c>
      <c r="Q153" s="10">
        <f>(co2e_g_kwh!N153)/1000000000000</f>
        <v>0</v>
      </c>
      <c r="R153" s="10">
        <f>(co2e_g_kwh!O153)/1000000000000</f>
        <v>0</v>
      </c>
      <c r="S153" s="14">
        <f t="shared" si="11"/>
        <v>2.6117979854810058</v>
      </c>
    </row>
    <row r="154" spans="1:19" x14ac:dyDescent="0.3">
      <c r="A154" s="6">
        <v>153</v>
      </c>
      <c r="B154" s="6">
        <v>2012</v>
      </c>
      <c r="C154" s="6">
        <v>9</v>
      </c>
      <c r="D154" s="10">
        <f>(co2e_g_kwh!D154)/1000000000000</f>
        <v>1.211346749600003E-2</v>
      </c>
      <c r="E154" s="10">
        <f>(co2e_g_kwh!F154)/1000000000000</f>
        <v>4.6067757319999906E-3</v>
      </c>
      <c r="F154" s="10">
        <f>(co2e_g_kwh!G154)/1000000000000</f>
        <v>0</v>
      </c>
      <c r="G154" s="10">
        <f>(co2e_g_kwh!K154)/1000000000000</f>
        <v>1.8250801790000024E-2</v>
      </c>
      <c r="H154" s="19">
        <f t="shared" si="8"/>
        <v>3.4971045018000045E-2</v>
      </c>
      <c r="I154" s="10">
        <f>(co2e_g_kwh!E154)/1000000000000</f>
        <v>0.75263652463999886</v>
      </c>
      <c r="J154" s="10">
        <f>(co2e_g_kwh!H154)/1000000000000</f>
        <v>1.9064991460140028</v>
      </c>
      <c r="K154" s="20">
        <f t="shared" si="9"/>
        <v>2.6591356706540017</v>
      </c>
      <c r="L154" s="21">
        <f>(co2e_g_kwh!I154)/1000000000000</f>
        <v>0.72401113476299606</v>
      </c>
      <c r="M154" s="10">
        <f>(co2e_g_kwh!J154)/1000000000000</f>
        <v>0</v>
      </c>
      <c r="N154" s="10">
        <f>(co2e_g_kwh!L154)/1000000000000</f>
        <v>6.2820996000000019E-4</v>
      </c>
      <c r="O154" s="10">
        <f>(co2e_g_kwh!M154)/1000000000000</f>
        <v>0.23214820355999977</v>
      </c>
      <c r="P154" s="22">
        <f t="shared" si="10"/>
        <v>0.23277641351999975</v>
      </c>
      <c r="Q154" s="10">
        <f>(co2e_g_kwh!N154)/1000000000000</f>
        <v>0</v>
      </c>
      <c r="R154" s="10">
        <f>(co2e_g_kwh!O154)/1000000000000</f>
        <v>0</v>
      </c>
      <c r="S154" s="14">
        <f t="shared" si="11"/>
        <v>3.6508942639549975</v>
      </c>
    </row>
    <row r="155" spans="1:19" x14ac:dyDescent="0.3">
      <c r="A155" s="6">
        <v>154</v>
      </c>
      <c r="B155" s="6">
        <v>2012</v>
      </c>
      <c r="C155" s="6">
        <v>10</v>
      </c>
      <c r="D155" s="10">
        <f>(co2e_g_kwh!D155)/1000000000000</f>
        <v>1.3460321217199979E-2</v>
      </c>
      <c r="E155" s="10">
        <f>(co2e_g_kwh!F155)/1000000000000</f>
        <v>4.4686708040000108E-3</v>
      </c>
      <c r="F155" s="10">
        <f>(co2e_g_kwh!G155)/1000000000000</f>
        <v>0</v>
      </c>
      <c r="G155" s="10">
        <f>(co2e_g_kwh!K155)/1000000000000</f>
        <v>1.9208873059999982E-2</v>
      </c>
      <c r="H155" s="19">
        <f t="shared" si="8"/>
        <v>3.7137865081199969E-2</v>
      </c>
      <c r="I155" s="10">
        <f>(co2e_g_kwh!E155)/1000000000000</f>
        <v>0.81117395759400046</v>
      </c>
      <c r="J155" s="10">
        <f>(co2e_g_kwh!H155)/1000000000000</f>
        <v>2.312537232132005</v>
      </c>
      <c r="K155" s="20">
        <f t="shared" si="9"/>
        <v>3.1237111897260057</v>
      </c>
      <c r="L155" s="21">
        <f>(co2e_g_kwh!I155)/1000000000000</f>
        <v>0.74080085803499196</v>
      </c>
      <c r="M155" s="10">
        <f>(co2e_g_kwh!J155)/1000000000000</f>
        <v>0</v>
      </c>
      <c r="N155" s="10">
        <f>(co2e_g_kwh!L155)/1000000000000</f>
        <v>0.37777474811999934</v>
      </c>
      <c r="O155" s="10">
        <f>(co2e_g_kwh!M155)/1000000000000</f>
        <v>0.41676477947999813</v>
      </c>
      <c r="P155" s="22">
        <f t="shared" si="10"/>
        <v>0.79453952759999746</v>
      </c>
      <c r="Q155" s="10">
        <f>(co2e_g_kwh!N155)/1000000000000</f>
        <v>0</v>
      </c>
      <c r="R155" s="10">
        <f>(co2e_g_kwh!O155)/1000000000000</f>
        <v>0</v>
      </c>
      <c r="S155" s="14">
        <f t="shared" si="11"/>
        <v>4.696189440442196</v>
      </c>
    </row>
    <row r="156" spans="1:19" x14ac:dyDescent="0.3">
      <c r="A156" s="6">
        <v>155</v>
      </c>
      <c r="B156" s="6">
        <v>2012</v>
      </c>
      <c r="C156" s="6">
        <v>11</v>
      </c>
      <c r="D156" s="10">
        <f>(co2e_g_kwh!D156)/1000000000000</f>
        <v>1.1398673051999998E-2</v>
      </c>
      <c r="E156" s="10">
        <f>(co2e_g_kwh!F156)/1000000000000</f>
        <v>3.8761347300000277E-3</v>
      </c>
      <c r="F156" s="10">
        <f>(co2e_g_kwh!G156)/1000000000000</f>
        <v>0</v>
      </c>
      <c r="G156" s="10">
        <f>(co2e_g_kwh!K156)/1000000000000</f>
        <v>1.8612642880000026E-2</v>
      </c>
      <c r="H156" s="19">
        <f t="shared" si="8"/>
        <v>3.3887450662000052E-2</v>
      </c>
      <c r="I156" s="10">
        <f>(co2e_g_kwh!E156)/1000000000000</f>
        <v>0.74423948198599965</v>
      </c>
      <c r="J156" s="10">
        <f>(co2e_g_kwh!H156)/1000000000000</f>
        <v>2.4202346124599994</v>
      </c>
      <c r="K156" s="20">
        <f t="shared" si="9"/>
        <v>3.1644740944459988</v>
      </c>
      <c r="L156" s="21">
        <f>(co2e_g_kwh!I156)/1000000000000</f>
        <v>0.66772834953299531</v>
      </c>
      <c r="M156" s="10">
        <f>(co2e_g_kwh!J156)/1000000000000</f>
        <v>0</v>
      </c>
      <c r="N156" s="10">
        <f>(co2e_g_kwh!L156)/1000000000000</f>
        <v>0.93263974624800206</v>
      </c>
      <c r="O156" s="10">
        <f>(co2e_g_kwh!M156)/1000000000000</f>
        <v>0.76794067644000719</v>
      </c>
      <c r="P156" s="22">
        <f t="shared" si="10"/>
        <v>1.7005804226880092</v>
      </c>
      <c r="Q156" s="10">
        <f>(co2e_g_kwh!N156)/1000000000000</f>
        <v>0</v>
      </c>
      <c r="R156" s="10">
        <f>(co2e_g_kwh!O156)/1000000000000</f>
        <v>0</v>
      </c>
      <c r="S156" s="14">
        <f t="shared" si="11"/>
        <v>5.5666703173290042</v>
      </c>
    </row>
    <row r="157" spans="1:19" x14ac:dyDescent="0.3">
      <c r="A157" s="6">
        <v>156</v>
      </c>
      <c r="B157" s="6">
        <v>2012</v>
      </c>
      <c r="C157" s="6">
        <v>12</v>
      </c>
      <c r="D157" s="10">
        <f>(co2e_g_kwh!D157)/1000000000000</f>
        <v>7.7855863799999861E-3</v>
      </c>
      <c r="E157" s="10">
        <f>(co2e_g_kwh!F157)/1000000000000</f>
        <v>4.3601997269999849E-3</v>
      </c>
      <c r="F157" s="10">
        <f>(co2e_g_kwh!G157)/1000000000000</f>
        <v>0</v>
      </c>
      <c r="G157" s="10">
        <f>(co2e_g_kwh!K157)/1000000000000</f>
        <v>1.8080553009999976E-2</v>
      </c>
      <c r="H157" s="19">
        <f t="shared" si="8"/>
        <v>3.0226339116999946E-2</v>
      </c>
      <c r="I157" s="10">
        <f>(co2e_g_kwh!E157)/1000000000000</f>
        <v>0.67664027130699866</v>
      </c>
      <c r="J157" s="10">
        <f>(co2e_g_kwh!H157)/1000000000000</f>
        <v>2.2465468166040048</v>
      </c>
      <c r="K157" s="20">
        <f t="shared" si="9"/>
        <v>2.9231870879110033</v>
      </c>
      <c r="L157" s="21">
        <f>(co2e_g_kwh!I157)/1000000000000</f>
        <v>0.73223087552999744</v>
      </c>
      <c r="M157" s="10">
        <f>(co2e_g_kwh!J157)/1000000000000</f>
        <v>0</v>
      </c>
      <c r="N157" s="10">
        <f>(co2e_g_kwh!L157)/1000000000000</f>
        <v>1.0808192648399957</v>
      </c>
      <c r="O157" s="10">
        <f>(co2e_g_kwh!M157)/1000000000000</f>
        <v>0.70738519739999584</v>
      </c>
      <c r="P157" s="22">
        <f t="shared" si="10"/>
        <v>1.7882044622399915</v>
      </c>
      <c r="Q157" s="10">
        <f>(co2e_g_kwh!N157)/1000000000000</f>
        <v>0</v>
      </c>
      <c r="R157" s="10">
        <f>(co2e_g_kwh!O157)/1000000000000</f>
        <v>0</v>
      </c>
      <c r="S157" s="14">
        <f t="shared" si="11"/>
        <v>5.4738487647979923</v>
      </c>
    </row>
    <row r="158" spans="1:19" x14ac:dyDescent="0.3">
      <c r="A158" s="6">
        <v>157</v>
      </c>
      <c r="B158" s="6">
        <v>2013</v>
      </c>
      <c r="C158" s="6">
        <v>1</v>
      </c>
      <c r="D158" s="10">
        <f>(co2e_g_kwh!D158)/1000000000000</f>
        <v>3.6056609159999999E-3</v>
      </c>
      <c r="E158" s="10">
        <f>(co2e_g_kwh!F158)/1000000000000</f>
        <v>3.8482673579999837E-3</v>
      </c>
      <c r="F158" s="10">
        <f>(co2e_g_kwh!G158)/1000000000000</f>
        <v>0</v>
      </c>
      <c r="G158" s="10">
        <f>(co2e_g_kwh!K158)/1000000000000</f>
        <v>1.3557110970000006E-2</v>
      </c>
      <c r="H158" s="19">
        <f t="shared" si="8"/>
        <v>2.1011039243999989E-2</v>
      </c>
      <c r="I158" s="10">
        <f>(co2e_g_kwh!E158)/1000000000000</f>
        <v>1.0645634069069976</v>
      </c>
      <c r="J158" s="10">
        <f>(co2e_g_kwh!H158)/1000000000000</f>
        <v>2.0059827968340009</v>
      </c>
      <c r="K158" s="20">
        <f t="shared" si="9"/>
        <v>3.0705462037409985</v>
      </c>
      <c r="L158" s="21">
        <f>(co2e_g_kwh!I158)/1000000000000</f>
        <v>0.7228863159420027</v>
      </c>
      <c r="M158" s="10">
        <f>(co2e_g_kwh!J158)/1000000000000</f>
        <v>0</v>
      </c>
      <c r="N158" s="10">
        <f>(co2e_g_kwh!L158)/1000000000000</f>
        <v>1.0534911643200007</v>
      </c>
      <c r="O158" s="10">
        <f>(co2e_g_kwh!M158)/1000000000000</f>
        <v>0.60123227304000337</v>
      </c>
      <c r="P158" s="22">
        <f t="shared" si="10"/>
        <v>1.6547234373600039</v>
      </c>
      <c r="Q158" s="10">
        <f>(co2e_g_kwh!N158)/1000000000000</f>
        <v>0</v>
      </c>
      <c r="R158" s="10">
        <f>(co2e_g_kwh!O158)/1000000000000</f>
        <v>0</v>
      </c>
      <c r="S158" s="14">
        <f t="shared" si="11"/>
        <v>5.4691669962870053</v>
      </c>
    </row>
    <row r="159" spans="1:19" x14ac:dyDescent="0.3">
      <c r="A159" s="6">
        <v>158</v>
      </c>
      <c r="B159" s="6">
        <v>2013</v>
      </c>
      <c r="C159" s="6">
        <v>2</v>
      </c>
      <c r="D159" s="10">
        <f>(co2e_g_kwh!D159)/1000000000000</f>
        <v>2.7993092399999989E-3</v>
      </c>
      <c r="E159" s="10">
        <f>(co2e_g_kwh!F159)/1000000000000</f>
        <v>3.8794773029999885E-3</v>
      </c>
      <c r="F159" s="10">
        <f>(co2e_g_kwh!G159)/1000000000000</f>
        <v>0</v>
      </c>
      <c r="G159" s="10">
        <f>(co2e_g_kwh!K159)/1000000000000</f>
        <v>1.1640045430000008E-2</v>
      </c>
      <c r="H159" s="19">
        <f t="shared" si="8"/>
        <v>1.8318831972999994E-2</v>
      </c>
      <c r="I159" s="10">
        <f>(co2e_g_kwh!E159)/1000000000000</f>
        <v>0.97128059228200625</v>
      </c>
      <c r="J159" s="10">
        <f>(co2e_g_kwh!H159)/1000000000000</f>
        <v>1.9449483434640047</v>
      </c>
      <c r="K159" s="20">
        <f t="shared" si="9"/>
        <v>2.9162289357460107</v>
      </c>
      <c r="L159" s="21">
        <f>(co2e_g_kwh!I159)/1000000000000</f>
        <v>0.69279425667899952</v>
      </c>
      <c r="M159" s="10">
        <f>(co2e_g_kwh!J159)/1000000000000</f>
        <v>0</v>
      </c>
      <c r="N159" s="10">
        <f>(co2e_g_kwh!L159)/1000000000000</f>
        <v>0.84117741287999837</v>
      </c>
      <c r="O159" s="10">
        <f>(co2e_g_kwh!M159)/1000000000000</f>
        <v>0.43545500460000058</v>
      </c>
      <c r="P159" s="22">
        <f t="shared" si="10"/>
        <v>1.276632417479999</v>
      </c>
      <c r="Q159" s="10">
        <f>(co2e_g_kwh!N159)/1000000000000</f>
        <v>0</v>
      </c>
      <c r="R159" s="10">
        <f>(co2e_g_kwh!O159)/1000000000000</f>
        <v>0</v>
      </c>
      <c r="S159" s="14">
        <f t="shared" si="11"/>
        <v>4.9039744418780096</v>
      </c>
    </row>
    <row r="160" spans="1:19" x14ac:dyDescent="0.3">
      <c r="A160" s="6">
        <v>159</v>
      </c>
      <c r="B160" s="6">
        <v>2013</v>
      </c>
      <c r="C160" s="6">
        <v>3</v>
      </c>
      <c r="D160" s="10">
        <f>(co2e_g_kwh!D160)/1000000000000</f>
        <v>4.1837244799999927E-3</v>
      </c>
      <c r="E160" s="10">
        <f>(co2e_g_kwh!F160)/1000000000000</f>
        <v>3.9296766469999866E-3</v>
      </c>
      <c r="F160" s="10">
        <f>(co2e_g_kwh!G160)/1000000000000</f>
        <v>0</v>
      </c>
      <c r="G160" s="10">
        <f>(co2e_g_kwh!K160)/1000000000000</f>
        <v>1.6739093539999996E-2</v>
      </c>
      <c r="H160" s="19">
        <f t="shared" si="8"/>
        <v>2.4852494666999975E-2</v>
      </c>
      <c r="I160" s="10">
        <f>(co2e_g_kwh!E160)/1000000000000</f>
        <v>0.98911524611899604</v>
      </c>
      <c r="J160" s="10">
        <f>(co2e_g_kwh!H160)/1000000000000</f>
        <v>1.8794275473060091</v>
      </c>
      <c r="K160" s="20">
        <f t="shared" si="9"/>
        <v>2.8685427934250054</v>
      </c>
      <c r="L160" s="21">
        <f>(co2e_g_kwh!I160)/1000000000000</f>
        <v>0.7650986324100022</v>
      </c>
      <c r="M160" s="10">
        <f>(co2e_g_kwh!J160)/1000000000000</f>
        <v>0</v>
      </c>
      <c r="N160" s="10">
        <f>(co2e_g_kwh!L160)/1000000000000</f>
        <v>0.76074371519998885</v>
      </c>
      <c r="O160" s="10">
        <f>(co2e_g_kwh!M160)/1000000000000</f>
        <v>0.43663572120000088</v>
      </c>
      <c r="P160" s="22">
        <f t="shared" si="10"/>
        <v>1.1973794363999897</v>
      </c>
      <c r="Q160" s="10">
        <f>(co2e_g_kwh!N160)/1000000000000</f>
        <v>0</v>
      </c>
      <c r="R160" s="10">
        <f>(co2e_g_kwh!O160)/1000000000000</f>
        <v>0</v>
      </c>
      <c r="S160" s="14">
        <f t="shared" si="11"/>
        <v>4.8558733569019976</v>
      </c>
    </row>
    <row r="161" spans="1:19" x14ac:dyDescent="0.3">
      <c r="A161" s="6">
        <v>160</v>
      </c>
      <c r="B161" s="6">
        <v>2013</v>
      </c>
      <c r="C161" s="6">
        <v>4</v>
      </c>
      <c r="D161" s="10">
        <f>(co2e_g_kwh!D161)/1000000000000</f>
        <v>9.3281151600000077E-3</v>
      </c>
      <c r="E161" s="10">
        <f>(co2e_g_kwh!F161)/1000000000000</f>
        <v>2.9908443109999999E-3</v>
      </c>
      <c r="F161" s="10">
        <f>(co2e_g_kwh!G161)/1000000000000</f>
        <v>0</v>
      </c>
      <c r="G161" s="10">
        <f>(co2e_g_kwh!K161)/1000000000000</f>
        <v>1.5284257560000087E-2</v>
      </c>
      <c r="H161" s="19">
        <f t="shared" si="8"/>
        <v>2.7603217031000094E-2</v>
      </c>
      <c r="I161" s="10">
        <f>(co2e_g_kwh!E161)/1000000000000</f>
        <v>0.94923520191500144</v>
      </c>
      <c r="J161" s="10">
        <f>(co2e_g_kwh!H161)/1000000000000</f>
        <v>1.6873854404580027</v>
      </c>
      <c r="K161" s="20">
        <f t="shared" si="9"/>
        <v>2.6366206423730043</v>
      </c>
      <c r="L161" s="21">
        <f>(co2e_g_kwh!I161)/1000000000000</f>
        <v>0.72543384465299443</v>
      </c>
      <c r="M161" s="10">
        <f>(co2e_g_kwh!J161)/1000000000000</f>
        <v>0</v>
      </c>
      <c r="N161" s="10">
        <f>(co2e_g_kwh!L161)/1000000000000</f>
        <v>0.67911120227999966</v>
      </c>
      <c r="O161" s="10">
        <f>(co2e_g_kwh!M161)/1000000000000</f>
        <v>0.40198801944000068</v>
      </c>
      <c r="P161" s="22">
        <f t="shared" si="10"/>
        <v>1.0810992217200004</v>
      </c>
      <c r="Q161" s="10">
        <f>(co2e_g_kwh!N161)/1000000000000</f>
        <v>0</v>
      </c>
      <c r="R161" s="10">
        <f>(co2e_g_kwh!O161)/1000000000000</f>
        <v>0</v>
      </c>
      <c r="S161" s="14">
        <f t="shared" si="11"/>
        <v>4.4707569257769997</v>
      </c>
    </row>
    <row r="162" spans="1:19" x14ac:dyDescent="0.3">
      <c r="A162" s="6">
        <v>161</v>
      </c>
      <c r="B162" s="6">
        <v>2013</v>
      </c>
      <c r="C162" s="6">
        <v>5</v>
      </c>
      <c r="D162" s="10">
        <f>(co2e_g_kwh!D162)/1000000000000</f>
        <v>1.6776094140000006E-2</v>
      </c>
      <c r="E162" s="10">
        <f>(co2e_g_kwh!F162)/1000000000000</f>
        <v>3.1545553650000032E-3</v>
      </c>
      <c r="F162" s="10">
        <f>(co2e_g_kwh!G162)/1000000000000</f>
        <v>0</v>
      </c>
      <c r="G162" s="10">
        <f>(co2e_g_kwh!K162)/1000000000000</f>
        <v>7.0674255599999982E-3</v>
      </c>
      <c r="H162" s="19">
        <f t="shared" si="8"/>
        <v>2.6998075065000009E-2</v>
      </c>
      <c r="I162" s="10">
        <f>(co2e_g_kwh!E162)/1000000000000</f>
        <v>1.1120697047460002</v>
      </c>
      <c r="J162" s="10">
        <f>(co2e_g_kwh!H162)/1000000000000</f>
        <v>2.0490289944120077</v>
      </c>
      <c r="K162" s="20">
        <f t="shared" si="9"/>
        <v>3.1610986991580079</v>
      </c>
      <c r="L162" s="21">
        <f>(co2e_g_kwh!I162)/1000000000000</f>
        <v>0.70112283750599891</v>
      </c>
      <c r="M162" s="10">
        <f>(co2e_g_kwh!J162)/1000000000000</f>
        <v>0</v>
      </c>
      <c r="N162" s="10">
        <f>(co2e_g_kwh!L162)/1000000000000</f>
        <v>0.90120836147999894</v>
      </c>
      <c r="O162" s="10">
        <f>(co2e_g_kwh!M162)/1000000000000</f>
        <v>0.47974328984400094</v>
      </c>
      <c r="P162" s="22">
        <f t="shared" si="10"/>
        <v>1.3809516513239999</v>
      </c>
      <c r="Q162" s="10">
        <f>(co2e_g_kwh!N162)/1000000000000</f>
        <v>0</v>
      </c>
      <c r="R162" s="10">
        <f>(co2e_g_kwh!O162)/1000000000000</f>
        <v>0</v>
      </c>
      <c r="S162" s="14">
        <f t="shared" si="11"/>
        <v>5.2701712630530073</v>
      </c>
    </row>
    <row r="163" spans="1:19" x14ac:dyDescent="0.3">
      <c r="A163" s="6">
        <v>162</v>
      </c>
      <c r="B163" s="6">
        <v>2013</v>
      </c>
      <c r="C163" s="6">
        <v>6</v>
      </c>
      <c r="D163" s="10">
        <f>(co2e_g_kwh!D163)/1000000000000</f>
        <v>1.6824386799999994E-2</v>
      </c>
      <c r="E163" s="10">
        <f>(co2e_g_kwh!F163)/1000000000000</f>
        <v>3.2470138089999946E-3</v>
      </c>
      <c r="F163" s="10">
        <f>(co2e_g_kwh!G163)/1000000000000</f>
        <v>0</v>
      </c>
      <c r="G163" s="10">
        <f>(co2e_g_kwh!K163)/1000000000000</f>
        <v>1.7600589369999992E-2</v>
      </c>
      <c r="H163" s="19">
        <f t="shared" si="8"/>
        <v>3.7671989978999981E-2</v>
      </c>
      <c r="I163" s="10">
        <f>(co2e_g_kwh!E163)/1000000000000</f>
        <v>1.2523170309649991</v>
      </c>
      <c r="J163" s="10">
        <f>(co2e_g_kwh!H163)/1000000000000</f>
        <v>1.8060170295780078</v>
      </c>
      <c r="K163" s="20">
        <f t="shared" si="9"/>
        <v>3.0583340605430069</v>
      </c>
      <c r="L163" s="21">
        <f>(co2e_g_kwh!I163)/1000000000000</f>
        <v>0.66454907828399523</v>
      </c>
      <c r="M163" s="10">
        <f>(co2e_g_kwh!J163)/1000000000000</f>
        <v>0</v>
      </c>
      <c r="N163" s="10">
        <f>(co2e_g_kwh!L163)/1000000000000</f>
        <v>0.82648010592000298</v>
      </c>
      <c r="O163" s="10">
        <f>(co2e_g_kwh!M163)/1000000000000</f>
        <v>0.32071863432000014</v>
      </c>
      <c r="P163" s="22">
        <f t="shared" si="10"/>
        <v>1.147198740240003</v>
      </c>
      <c r="Q163" s="10">
        <f>(co2e_g_kwh!N163)/1000000000000</f>
        <v>0</v>
      </c>
      <c r="R163" s="10">
        <f>(co2e_g_kwh!O163)/1000000000000</f>
        <v>0</v>
      </c>
      <c r="S163" s="14">
        <f t="shared" si="11"/>
        <v>4.9077538690460054</v>
      </c>
    </row>
    <row r="164" spans="1:19" x14ac:dyDescent="0.3">
      <c r="A164" s="6">
        <v>163</v>
      </c>
      <c r="B164" s="6">
        <v>2013</v>
      </c>
      <c r="C164" s="6">
        <v>7</v>
      </c>
      <c r="D164" s="10">
        <f>(co2e_g_kwh!D164)/1000000000000</f>
        <v>1.9446253839999979E-2</v>
      </c>
      <c r="E164" s="10">
        <f>(co2e_g_kwh!F164)/1000000000000</f>
        <v>3.8623885820000146E-3</v>
      </c>
      <c r="F164" s="10">
        <f>(co2e_g_kwh!G164)/1000000000000</f>
        <v>0</v>
      </c>
      <c r="G164" s="10">
        <f>(co2e_g_kwh!K164)/1000000000000</f>
        <v>1.7040334219999981E-2</v>
      </c>
      <c r="H164" s="19">
        <f t="shared" si="8"/>
        <v>4.0348976641999976E-2</v>
      </c>
      <c r="I164" s="10">
        <f>(co2e_g_kwh!E164)/1000000000000</f>
        <v>1.3091157269190012</v>
      </c>
      <c r="J164" s="10">
        <f>(co2e_g_kwh!H164)/1000000000000</f>
        <v>1.7750926240739981</v>
      </c>
      <c r="K164" s="20">
        <f t="shared" si="9"/>
        <v>3.0842083509929994</v>
      </c>
      <c r="L164" s="21">
        <f>(co2e_g_kwh!I164)/1000000000000</f>
        <v>0.72366479474097989</v>
      </c>
      <c r="M164" s="10">
        <f>(co2e_g_kwh!J164)/1000000000000</f>
        <v>0</v>
      </c>
      <c r="N164" s="10">
        <f>(co2e_g_kwh!L164)/1000000000000</f>
        <v>0.14301058715999984</v>
      </c>
      <c r="O164" s="10">
        <f>(co2e_g_kwh!M164)/1000000000000</f>
        <v>0.20327537832000003</v>
      </c>
      <c r="P164" s="22">
        <f t="shared" si="10"/>
        <v>0.3462859654799999</v>
      </c>
      <c r="Q164" s="10">
        <f>(co2e_g_kwh!N164)/1000000000000</f>
        <v>0</v>
      </c>
      <c r="R164" s="10">
        <f>(co2e_g_kwh!O164)/1000000000000</f>
        <v>0</v>
      </c>
      <c r="S164" s="14">
        <f t="shared" si="11"/>
        <v>4.1945080878559793</v>
      </c>
    </row>
    <row r="165" spans="1:19" x14ac:dyDescent="0.3">
      <c r="A165" s="6">
        <v>164</v>
      </c>
      <c r="B165" s="6">
        <v>2013</v>
      </c>
      <c r="C165" s="6">
        <v>8</v>
      </c>
      <c r="D165" s="10">
        <f>(co2e_g_kwh!D165)/1000000000000</f>
        <v>2.5070602783200033E-2</v>
      </c>
      <c r="E165" s="10">
        <f>(co2e_g_kwh!F165)/1000000000000</f>
        <v>5.3286682800000188E-3</v>
      </c>
      <c r="F165" s="10">
        <f>(co2e_g_kwh!G165)/1000000000000</f>
        <v>0</v>
      </c>
      <c r="G165" s="10">
        <f>(co2e_g_kwh!K165)/1000000000000</f>
        <v>1.7502871490000033E-2</v>
      </c>
      <c r="H165" s="19">
        <f t="shared" si="8"/>
        <v>4.7902142553200085E-2</v>
      </c>
      <c r="I165" s="10">
        <f>(co2e_g_kwh!E165)/1000000000000</f>
        <v>1.3167745971379998</v>
      </c>
      <c r="J165" s="10">
        <f>(co2e_g_kwh!H165)/1000000000000</f>
        <v>1.9781143622460011</v>
      </c>
      <c r="K165" s="20">
        <f t="shared" si="9"/>
        <v>3.2948889593840009</v>
      </c>
      <c r="L165" s="21">
        <f>(co2e_g_kwh!I165)/1000000000000</f>
        <v>0.73613343132419706</v>
      </c>
      <c r="M165" s="10">
        <f>(co2e_g_kwh!J165)/1000000000000</f>
        <v>0</v>
      </c>
      <c r="N165" s="10">
        <f>(co2e_g_kwh!L165)/1000000000000</f>
        <v>1.9610228399999999E-2</v>
      </c>
      <c r="O165" s="10">
        <f>(co2e_g_kwh!M165)/1000000000000</f>
        <v>0.20047906200000015</v>
      </c>
      <c r="P165" s="22">
        <f t="shared" si="10"/>
        <v>0.22008929040000014</v>
      </c>
      <c r="Q165" s="10">
        <f>(co2e_g_kwh!N165)/1000000000000</f>
        <v>0</v>
      </c>
      <c r="R165" s="10">
        <f>(co2e_g_kwh!O165)/1000000000000</f>
        <v>0</v>
      </c>
      <c r="S165" s="14">
        <f t="shared" si="11"/>
        <v>4.2990138236613991</v>
      </c>
    </row>
    <row r="166" spans="1:19" x14ac:dyDescent="0.3">
      <c r="A166" s="6">
        <v>165</v>
      </c>
      <c r="B166" s="6">
        <v>2013</v>
      </c>
      <c r="C166" s="6">
        <v>9</v>
      </c>
      <c r="D166" s="10">
        <f>(co2e_g_kwh!D166)/1000000000000</f>
        <v>2.5089222667599997E-2</v>
      </c>
      <c r="E166" s="10">
        <f>(co2e_g_kwh!F166)/1000000000000</f>
        <v>5.7810452180000237E-3</v>
      </c>
      <c r="F166" s="10">
        <f>(co2e_g_kwh!G166)/1000000000000</f>
        <v>0</v>
      </c>
      <c r="G166" s="10">
        <f>(co2e_g_kwh!K166)/1000000000000</f>
        <v>1.763876075000001E-2</v>
      </c>
      <c r="H166" s="19">
        <f t="shared" si="8"/>
        <v>4.8509028635600027E-2</v>
      </c>
      <c r="I166" s="10">
        <f>(co2e_g_kwh!E166)/1000000000000</f>
        <v>1.2426627423209975</v>
      </c>
      <c r="J166" s="10">
        <f>(co2e_g_kwh!H166)/1000000000000</f>
        <v>1.772699869169998</v>
      </c>
      <c r="K166" s="20">
        <f t="shared" si="9"/>
        <v>3.0153626114909953</v>
      </c>
      <c r="L166" s="21">
        <f>(co2e_g_kwh!I166)/1000000000000</f>
        <v>0.72171114863400654</v>
      </c>
      <c r="M166" s="10">
        <f>(co2e_g_kwh!J166)/1000000000000</f>
        <v>0</v>
      </c>
      <c r="N166" s="10">
        <f>(co2e_g_kwh!L166)/1000000000000</f>
        <v>0.36347718035999999</v>
      </c>
      <c r="O166" s="10">
        <f>(co2e_g_kwh!M166)/1000000000000</f>
        <v>0.19388515692000016</v>
      </c>
      <c r="P166" s="22">
        <f t="shared" si="10"/>
        <v>0.55736233728000018</v>
      </c>
      <c r="Q166" s="10">
        <f>(co2e_g_kwh!N166)/1000000000000</f>
        <v>0</v>
      </c>
      <c r="R166" s="10">
        <f>(co2e_g_kwh!O166)/1000000000000</f>
        <v>0</v>
      </c>
      <c r="S166" s="14">
        <f t="shared" si="11"/>
        <v>4.3429451260406022</v>
      </c>
    </row>
    <row r="167" spans="1:19" x14ac:dyDescent="0.3">
      <c r="A167" s="6">
        <v>166</v>
      </c>
      <c r="B167" s="6">
        <v>2013</v>
      </c>
      <c r="C167" s="6">
        <v>10</v>
      </c>
      <c r="D167" s="10">
        <f>(co2e_g_kwh!D167)/1000000000000</f>
        <v>2.6242086400399978E-2</v>
      </c>
      <c r="E167" s="10">
        <f>(co2e_g_kwh!F167)/1000000000000</f>
        <v>6.3999421069999649E-3</v>
      </c>
      <c r="F167" s="10">
        <f>(co2e_g_kwh!G167)/1000000000000</f>
        <v>0</v>
      </c>
      <c r="G167" s="10">
        <f>(co2e_g_kwh!K167)/1000000000000</f>
        <v>1.9030969229999976E-2</v>
      </c>
      <c r="H167" s="19">
        <f t="shared" si="8"/>
        <v>5.1672997737399917E-2</v>
      </c>
      <c r="I167" s="10">
        <f>(co2e_g_kwh!E167)/1000000000000</f>
        <v>1.2720611503600017</v>
      </c>
      <c r="J167" s="10">
        <f>(co2e_g_kwh!H167)/1000000000000</f>
        <v>1.7126314640010125</v>
      </c>
      <c r="K167" s="20">
        <f t="shared" si="9"/>
        <v>2.9846926143610144</v>
      </c>
      <c r="L167" s="21">
        <f>(co2e_g_kwh!I167)/1000000000000</f>
        <v>0.75975078643801197</v>
      </c>
      <c r="M167" s="10">
        <f>(co2e_g_kwh!J167)/1000000000000</f>
        <v>0</v>
      </c>
      <c r="N167" s="10">
        <f>(co2e_g_kwh!L167)/1000000000000</f>
        <v>0.5622828758400007</v>
      </c>
      <c r="O167" s="10">
        <f>(co2e_g_kwh!M167)/1000000000000</f>
        <v>0.24994500552000015</v>
      </c>
      <c r="P167" s="22">
        <f t="shared" si="10"/>
        <v>0.81222788136000079</v>
      </c>
      <c r="Q167" s="10">
        <f>(co2e_g_kwh!N167)/1000000000000</f>
        <v>0</v>
      </c>
      <c r="R167" s="10">
        <f>(co2e_g_kwh!O167)/1000000000000</f>
        <v>0</v>
      </c>
      <c r="S167" s="14">
        <f t="shared" si="11"/>
        <v>4.6083442798964267</v>
      </c>
    </row>
    <row r="168" spans="1:19" x14ac:dyDescent="0.3">
      <c r="A168" s="6">
        <v>167</v>
      </c>
      <c r="B168" s="6">
        <v>2013</v>
      </c>
      <c r="C168" s="6">
        <v>11</v>
      </c>
      <c r="D168" s="10">
        <f>(co2e_g_kwh!D168)/1000000000000</f>
        <v>2.3253511995999985E-2</v>
      </c>
      <c r="E168" s="10">
        <f>(co2e_g_kwh!F168)/1000000000000</f>
        <v>6.4736761180000345E-3</v>
      </c>
      <c r="F168" s="10">
        <f>(co2e_g_kwh!G168)/1000000000000</f>
        <v>0</v>
      </c>
      <c r="G168" s="10">
        <f>(co2e_g_kwh!K168)/1000000000000</f>
        <v>1.8604666079999985E-2</v>
      </c>
      <c r="H168" s="19">
        <f t="shared" si="8"/>
        <v>4.8331854194000004E-2</v>
      </c>
      <c r="I168" s="10">
        <f>(co2e_g_kwh!E168)/1000000000000</f>
        <v>1.4118947662820052</v>
      </c>
      <c r="J168" s="10">
        <f>(co2e_g_kwh!H168)/1000000000000</f>
        <v>1.8028679157900058</v>
      </c>
      <c r="K168" s="20">
        <f t="shared" si="9"/>
        <v>3.2147626820720108</v>
      </c>
      <c r="L168" s="21">
        <f>(co2e_g_kwh!I168)/1000000000000</f>
        <v>0.7270897364219604</v>
      </c>
      <c r="M168" s="10">
        <f>(co2e_g_kwh!J168)/1000000000000</f>
        <v>0</v>
      </c>
      <c r="N168" s="10">
        <f>(co2e_g_kwh!L168)/1000000000000</f>
        <v>0.6798651854399983</v>
      </c>
      <c r="O168" s="10">
        <f>(co2e_g_kwh!M168)/1000000000000</f>
        <v>0.24472212155999951</v>
      </c>
      <c r="P168" s="22">
        <f t="shared" si="10"/>
        <v>0.9245873069999978</v>
      </c>
      <c r="Q168" s="10">
        <f>(co2e_g_kwh!N168)/1000000000000</f>
        <v>0</v>
      </c>
      <c r="R168" s="10">
        <f>(co2e_g_kwh!O168)/1000000000000</f>
        <v>0</v>
      </c>
      <c r="S168" s="14">
        <f t="shared" si="11"/>
        <v>4.9147715796879687</v>
      </c>
    </row>
    <row r="169" spans="1:19" x14ac:dyDescent="0.3">
      <c r="A169" s="6">
        <v>168</v>
      </c>
      <c r="B169" s="6">
        <v>2013</v>
      </c>
      <c r="C169" s="6">
        <v>12</v>
      </c>
      <c r="D169" s="10">
        <f>(co2e_g_kwh!D169)/1000000000000</f>
        <v>1.680541085600001E-2</v>
      </c>
      <c r="E169" s="10">
        <f>(co2e_g_kwh!F169)/1000000000000</f>
        <v>5.2783884529999962E-3</v>
      </c>
      <c r="F169" s="10">
        <f>(co2e_g_kwh!G169)/1000000000000</f>
        <v>0</v>
      </c>
      <c r="G169" s="10">
        <f>(co2e_g_kwh!K169)/1000000000000</f>
        <v>1.7806644439999991E-2</v>
      </c>
      <c r="H169" s="19">
        <f t="shared" si="8"/>
        <v>3.9890443748999999E-2</v>
      </c>
      <c r="I169" s="10">
        <f>(co2e_g_kwh!E169)/1000000000000</f>
        <v>1.2213452641389988</v>
      </c>
      <c r="J169" s="10">
        <f>(co2e_g_kwh!H169)/1000000000000</f>
        <v>1.757466334958397</v>
      </c>
      <c r="K169" s="20">
        <f t="shared" si="9"/>
        <v>2.978811599097396</v>
      </c>
      <c r="L169" s="21">
        <f>(co2e_g_kwh!I169)/1000000000000</f>
        <v>0.74833589115600041</v>
      </c>
      <c r="M169" s="10">
        <f>(co2e_g_kwh!J169)/1000000000000</f>
        <v>0</v>
      </c>
      <c r="N169" s="10">
        <f>(co2e_g_kwh!L169)/1000000000000</f>
        <v>0.47147146032000065</v>
      </c>
      <c r="O169" s="10">
        <f>(co2e_g_kwh!M169)/1000000000000</f>
        <v>0.27102085499999889</v>
      </c>
      <c r="P169" s="22">
        <f t="shared" si="10"/>
        <v>0.7424923153199996</v>
      </c>
      <c r="Q169" s="10">
        <f>(co2e_g_kwh!N169)/1000000000000</f>
        <v>0</v>
      </c>
      <c r="R169" s="10">
        <f>(co2e_g_kwh!O169)/1000000000000</f>
        <v>0</v>
      </c>
      <c r="S169" s="14">
        <f t="shared" si="11"/>
        <v>4.5095302493223963</v>
      </c>
    </row>
    <row r="170" spans="1:19" x14ac:dyDescent="0.3">
      <c r="A170" s="6">
        <v>169</v>
      </c>
      <c r="B170" s="6">
        <v>2014</v>
      </c>
      <c r="C170" s="6">
        <v>1</v>
      </c>
      <c r="D170" s="10">
        <f>(co2e_g_kwh!D170)/1000000000000</f>
        <v>7.5635490424000003E-3</v>
      </c>
      <c r="E170" s="10">
        <f>(co2e_g_kwh!F170)/1000000000000</f>
        <v>6.0854823921060106E-3</v>
      </c>
      <c r="F170" s="10">
        <f>(co2e_g_kwh!G170)/1000000000000</f>
        <v>0</v>
      </c>
      <c r="G170" s="10">
        <f>(co2e_g_kwh!K170)/1000000000000</f>
        <v>1.9163429194000006E-2</v>
      </c>
      <c r="H170" s="19">
        <f t="shared" si="8"/>
        <v>3.2812460628506013E-2</v>
      </c>
      <c r="I170" s="10">
        <f>(co2e_g_kwh!E170)/1000000000000</f>
        <v>1.3897897563550055</v>
      </c>
      <c r="J170" s="10">
        <f>(co2e_g_kwh!H170)/1000000000000</f>
        <v>1.9131422065794184</v>
      </c>
      <c r="K170" s="20">
        <f t="shared" si="9"/>
        <v>3.3029319629344238</v>
      </c>
      <c r="L170" s="21">
        <f>(co2e_g_kwh!I170)/1000000000000</f>
        <v>0.828535545348002</v>
      </c>
      <c r="M170" s="10">
        <f>(co2e_g_kwh!J170)/1000000000000</f>
        <v>0</v>
      </c>
      <c r="N170" s="10">
        <f>(co2e_g_kwh!L170)/1000000000000</f>
        <v>0.84686951831999779</v>
      </c>
      <c r="O170" s="10">
        <f>(co2e_g_kwh!M170)/1000000000000</f>
        <v>0.34758478171199914</v>
      </c>
      <c r="P170" s="22">
        <f t="shared" si="10"/>
        <v>1.1944543000319969</v>
      </c>
      <c r="Q170" s="10">
        <f>(co2e_g_kwh!N170)/1000000000000</f>
        <v>0</v>
      </c>
      <c r="R170" s="10">
        <f>(co2e_g_kwh!O170)/1000000000000</f>
        <v>0</v>
      </c>
      <c r="S170" s="14">
        <f t="shared" si="11"/>
        <v>5.3587342689429285</v>
      </c>
    </row>
    <row r="171" spans="1:19" x14ac:dyDescent="0.3">
      <c r="A171" s="6">
        <v>170</v>
      </c>
      <c r="B171" s="6">
        <v>2014</v>
      </c>
      <c r="C171" s="6">
        <v>2</v>
      </c>
      <c r="D171" s="10">
        <f>(co2e_g_kwh!D171)/1000000000000</f>
        <v>7.0976967724000056E-3</v>
      </c>
      <c r="E171" s="10">
        <f>(co2e_g_kwh!F171)/1000000000000</f>
        <v>5.55657033984004E-3</v>
      </c>
      <c r="F171" s="10">
        <f>(co2e_g_kwh!G171)/1000000000000</f>
        <v>0</v>
      </c>
      <c r="G171" s="10">
        <f>(co2e_g_kwh!K171)/1000000000000</f>
        <v>1.671266906400002E-2</v>
      </c>
      <c r="H171" s="19">
        <f t="shared" si="8"/>
        <v>2.9366936176240067E-2</v>
      </c>
      <c r="I171" s="10">
        <f>(co2e_g_kwh!E171)/1000000000000</f>
        <v>1.364715872419902</v>
      </c>
      <c r="J171" s="10">
        <f>(co2e_g_kwh!H171)/1000000000000</f>
        <v>2.1300424413678094</v>
      </c>
      <c r="K171" s="20">
        <f t="shared" si="9"/>
        <v>3.4947583137877114</v>
      </c>
      <c r="L171" s="21">
        <f>(co2e_g_kwh!I171)/1000000000000</f>
        <v>0.71110864475699631</v>
      </c>
      <c r="M171" s="10">
        <f>(co2e_g_kwh!J171)/1000000000000</f>
        <v>0</v>
      </c>
      <c r="N171" s="10">
        <f>(co2e_g_kwh!L171)/1000000000000</f>
        <v>1.0099039246800003</v>
      </c>
      <c r="O171" s="10">
        <f>(co2e_g_kwh!M171)/1000000000000</f>
        <v>0.52385822361599843</v>
      </c>
      <c r="P171" s="22">
        <f t="shared" si="10"/>
        <v>1.5337621482959989</v>
      </c>
      <c r="Q171" s="10">
        <f>(co2e_g_kwh!N171)/1000000000000</f>
        <v>0</v>
      </c>
      <c r="R171" s="10">
        <f>(co2e_g_kwh!O171)/1000000000000</f>
        <v>0</v>
      </c>
      <c r="S171" s="14">
        <f t="shared" si="11"/>
        <v>5.7689960430169469</v>
      </c>
    </row>
    <row r="172" spans="1:19" x14ac:dyDescent="0.3">
      <c r="A172" s="6">
        <v>171</v>
      </c>
      <c r="B172" s="6">
        <v>2014</v>
      </c>
      <c r="C172" s="6">
        <v>3</v>
      </c>
      <c r="D172" s="10">
        <f>(co2e_g_kwh!D172)/1000000000000</f>
        <v>1.0019307511200039E-2</v>
      </c>
      <c r="E172" s="10">
        <f>(co2e_g_kwh!F172)/1000000000000</f>
        <v>5.8106194477935743E-3</v>
      </c>
      <c r="F172" s="10">
        <f>(co2e_g_kwh!G172)/1000000000000</f>
        <v>0</v>
      </c>
      <c r="G172" s="10">
        <f>(co2e_g_kwh!K172)/1000000000000</f>
        <v>1.8477401436000018E-2</v>
      </c>
      <c r="H172" s="19">
        <f t="shared" si="8"/>
        <v>3.4307328394993633E-2</v>
      </c>
      <c r="I172" s="10">
        <f>(co2e_g_kwh!E172)/1000000000000</f>
        <v>1.6946942054041965</v>
      </c>
      <c r="J172" s="10">
        <f>(co2e_g_kwh!H172)/1000000000000</f>
        <v>2.6087737440113843</v>
      </c>
      <c r="K172" s="20">
        <f t="shared" si="9"/>
        <v>4.3034679494155803</v>
      </c>
      <c r="L172" s="21">
        <f>(co2e_g_kwh!I172)/1000000000000</f>
        <v>0.74828257881298543</v>
      </c>
      <c r="M172" s="10">
        <f>(co2e_g_kwh!J172)/1000000000000</f>
        <v>0</v>
      </c>
      <c r="N172" s="10">
        <f>(co2e_g_kwh!L172)/1000000000000</f>
        <v>1.0499111112000052</v>
      </c>
      <c r="O172" s="10">
        <f>(co2e_g_kwh!M172)/1000000000000</f>
        <v>0.49360299239999872</v>
      </c>
      <c r="P172" s="22">
        <f t="shared" si="10"/>
        <v>1.543514103600004</v>
      </c>
      <c r="Q172" s="10">
        <f>(co2e_g_kwh!N172)/1000000000000</f>
        <v>0</v>
      </c>
      <c r="R172" s="10">
        <f>(co2e_g_kwh!O172)/1000000000000</f>
        <v>0</v>
      </c>
      <c r="S172" s="14">
        <f t="shared" si="11"/>
        <v>6.6295719602235641</v>
      </c>
    </row>
    <row r="173" spans="1:19" x14ac:dyDescent="0.3">
      <c r="A173" s="6">
        <v>172</v>
      </c>
      <c r="B173" s="6">
        <v>2014</v>
      </c>
      <c r="C173" s="6">
        <v>4</v>
      </c>
      <c r="D173" s="10">
        <f>(co2e_g_kwh!D173)/1000000000000</f>
        <v>1.5565670993600006E-2</v>
      </c>
      <c r="E173" s="10">
        <f>(co2e_g_kwh!F173)/1000000000000</f>
        <v>5.3674102343236659E-3</v>
      </c>
      <c r="F173" s="10">
        <f>(co2e_g_kwh!G173)/1000000000000</f>
        <v>0</v>
      </c>
      <c r="G173" s="10">
        <f>(co2e_g_kwh!K173)/1000000000000</f>
        <v>1.2768433860000003E-2</v>
      </c>
      <c r="H173" s="19">
        <f t="shared" si="8"/>
        <v>3.3701515087923677E-2</v>
      </c>
      <c r="I173" s="10">
        <f>(co2e_g_kwh!E173)/1000000000000</f>
        <v>1.4867849956960009</v>
      </c>
      <c r="J173" s="10">
        <f>(co2e_g_kwh!H173)/1000000000000</f>
        <v>2.3565764044979942</v>
      </c>
      <c r="K173" s="20">
        <f t="shared" si="9"/>
        <v>3.8433614001939951</v>
      </c>
      <c r="L173" s="21">
        <f>(co2e_g_kwh!I173)/1000000000000</f>
        <v>0.7022051229059979</v>
      </c>
      <c r="M173" s="10">
        <f>(co2e_g_kwh!J173)/1000000000000</f>
        <v>0</v>
      </c>
      <c r="N173" s="10">
        <f>(co2e_g_kwh!L173)/1000000000000</f>
        <v>1.0127739115200052</v>
      </c>
      <c r="O173" s="10">
        <f>(co2e_g_kwh!M173)/1000000000000</f>
        <v>0.53290028820000035</v>
      </c>
      <c r="P173" s="22">
        <f t="shared" si="10"/>
        <v>1.5456741997200054</v>
      </c>
      <c r="Q173" s="10">
        <f>(co2e_g_kwh!N173)/1000000000000</f>
        <v>0</v>
      </c>
      <c r="R173" s="10">
        <f>(co2e_g_kwh!O173)/1000000000000</f>
        <v>0</v>
      </c>
      <c r="S173" s="14">
        <f t="shared" si="11"/>
        <v>6.1249422379079226</v>
      </c>
    </row>
    <row r="174" spans="1:19" x14ac:dyDescent="0.3">
      <c r="A174" s="6">
        <v>173</v>
      </c>
      <c r="B174" s="6">
        <v>2014</v>
      </c>
      <c r="C174" s="6">
        <v>5</v>
      </c>
      <c r="D174" s="10">
        <f>(co2e_g_kwh!D174)/1000000000000</f>
        <v>2.5058134308596981E-2</v>
      </c>
      <c r="E174" s="10">
        <f>(co2e_g_kwh!F174)/1000000000000</f>
        <v>5.5125848200976088E-3</v>
      </c>
      <c r="F174" s="10">
        <f>(co2e_g_kwh!G174)/1000000000000</f>
        <v>0</v>
      </c>
      <c r="G174" s="10">
        <f>(co2e_g_kwh!K174)/1000000000000</f>
        <v>1.8169617222900017E-2</v>
      </c>
      <c r="H174" s="19">
        <f t="shared" si="8"/>
        <v>4.874033635159461E-2</v>
      </c>
      <c r="I174" s="10">
        <f>(co2e_g_kwh!E174)/1000000000000</f>
        <v>1.5046205239065022</v>
      </c>
      <c r="J174" s="10">
        <f>(co2e_g_kwh!H174)/1000000000000</f>
        <v>3.1640073677873928</v>
      </c>
      <c r="K174" s="20">
        <f t="shared" si="9"/>
        <v>4.6686278916938946</v>
      </c>
      <c r="L174" s="21">
        <f>(co2e_g_kwh!I174)/1000000000000</f>
        <v>0.67228964878635034</v>
      </c>
      <c r="M174" s="10">
        <f>(co2e_g_kwh!J174)/1000000000000</f>
        <v>0</v>
      </c>
      <c r="N174" s="10">
        <f>(co2e_g_kwh!L174)/1000000000000</f>
        <v>0.94372129899599833</v>
      </c>
      <c r="O174" s="10">
        <f>(co2e_g_kwh!M174)/1000000000000</f>
        <v>0.58124609120666393</v>
      </c>
      <c r="P174" s="22">
        <f t="shared" si="10"/>
        <v>1.5249673902026624</v>
      </c>
      <c r="Q174" s="10">
        <f>(co2e_g_kwh!N174)/1000000000000</f>
        <v>0</v>
      </c>
      <c r="R174" s="10">
        <f>(co2e_g_kwh!O174)/1000000000000</f>
        <v>0</v>
      </c>
      <c r="S174" s="14">
        <f t="shared" si="11"/>
        <v>6.9146252670345021</v>
      </c>
    </row>
    <row r="175" spans="1:19" x14ac:dyDescent="0.3">
      <c r="A175" s="6">
        <v>174</v>
      </c>
      <c r="B175" s="6">
        <v>2014</v>
      </c>
      <c r="C175" s="6">
        <v>6</v>
      </c>
      <c r="D175" s="10">
        <f>(co2e_g_kwh!D175)/1000000000000</f>
        <v>2.7388302492998749E-2</v>
      </c>
      <c r="E175" s="10">
        <f>(co2e_g_kwh!F175)/1000000000000</f>
        <v>9.4484002967107072E-3</v>
      </c>
      <c r="F175" s="10">
        <f>(co2e_g_kwh!G175)/1000000000000</f>
        <v>0</v>
      </c>
      <c r="G175" s="10">
        <f>(co2e_g_kwh!K175)/1000000000000</f>
        <v>1.808761684210012E-2</v>
      </c>
      <c r="H175" s="19">
        <f t="shared" si="8"/>
        <v>5.4924319631809576E-2</v>
      </c>
      <c r="I175" s="10">
        <f>(co2e_g_kwh!E175)/1000000000000</f>
        <v>1.4283260944953027</v>
      </c>
      <c r="J175" s="10">
        <f>(co2e_g_kwh!H175)/1000000000000</f>
        <v>2.8186901316810142</v>
      </c>
      <c r="K175" s="20">
        <f t="shared" si="9"/>
        <v>4.2470162261763171</v>
      </c>
      <c r="L175" s="21">
        <f>(co2e_g_kwh!I175)/1000000000000</f>
        <v>0.62920701981317839</v>
      </c>
      <c r="M175" s="10">
        <f>(co2e_g_kwh!J175)/1000000000000</f>
        <v>0</v>
      </c>
      <c r="N175" s="10">
        <f>(co2e_g_kwh!L175)/1000000000000</f>
        <v>0.78639459183600025</v>
      </c>
      <c r="O175" s="10">
        <f>(co2e_g_kwh!M175)/1000000000000</f>
        <v>0.47795858352666615</v>
      </c>
      <c r="P175" s="22">
        <f t="shared" si="10"/>
        <v>1.2643531753626664</v>
      </c>
      <c r="Q175" s="10">
        <f>(co2e_g_kwh!N175)/1000000000000</f>
        <v>0</v>
      </c>
      <c r="R175" s="10">
        <f>(co2e_g_kwh!O175)/1000000000000</f>
        <v>0</v>
      </c>
      <c r="S175" s="14">
        <f t="shared" si="11"/>
        <v>6.195500740983972</v>
      </c>
    </row>
    <row r="176" spans="1:19" x14ac:dyDescent="0.3">
      <c r="A176" s="6">
        <v>175</v>
      </c>
      <c r="B176" s="6">
        <v>2014</v>
      </c>
      <c r="C176" s="6">
        <v>7</v>
      </c>
      <c r="D176" s="10">
        <f>(co2e_g_kwh!D176)/1000000000000</f>
        <v>2.368159940120006E-2</v>
      </c>
      <c r="E176" s="10">
        <f>(co2e_g_kwh!F176)/1000000000000</f>
        <v>1.2932708575320173E-2</v>
      </c>
      <c r="F176" s="10">
        <f>(co2e_g_kwh!G176)/1000000000000</f>
        <v>0</v>
      </c>
      <c r="G176" s="10">
        <f>(co2e_g_kwh!K176)/1000000000000</f>
        <v>1.2049214397999997E-2</v>
      </c>
      <c r="H176" s="19">
        <f t="shared" si="8"/>
        <v>4.8663522374520228E-2</v>
      </c>
      <c r="I176" s="10">
        <f>(co2e_g_kwh!E176)/1000000000000</f>
        <v>1.3549167903271016</v>
      </c>
      <c r="J176" s="10">
        <f>(co2e_g_kwh!H176)/1000000000000</f>
        <v>3.0756015159659769</v>
      </c>
      <c r="K176" s="20">
        <f t="shared" si="9"/>
        <v>4.4305183062930782</v>
      </c>
      <c r="L176" s="21">
        <f>(co2e_g_kwh!I176)/1000000000000</f>
        <v>0.65235867910498746</v>
      </c>
      <c r="M176" s="10">
        <f>(co2e_g_kwh!J176)/1000000000000</f>
        <v>0</v>
      </c>
      <c r="N176" s="10">
        <f>(co2e_g_kwh!L176)/1000000000000</f>
        <v>0.96084678227999976</v>
      </c>
      <c r="O176" s="10">
        <f>(co2e_g_kwh!M176)/1000000000000</f>
        <v>0.54036953040000169</v>
      </c>
      <c r="P176" s="22">
        <f t="shared" si="10"/>
        <v>1.5012163126800013</v>
      </c>
      <c r="Q176" s="10">
        <f>(co2e_g_kwh!N176)/1000000000000</f>
        <v>0</v>
      </c>
      <c r="R176" s="10">
        <f>(co2e_g_kwh!O176)/1000000000000</f>
        <v>0</v>
      </c>
      <c r="S176" s="14">
        <f t="shared" si="11"/>
        <v>6.6327568204525882</v>
      </c>
    </row>
    <row r="177" spans="1:19" x14ac:dyDescent="0.3">
      <c r="A177" s="6">
        <v>176</v>
      </c>
      <c r="B177" s="6">
        <v>2014</v>
      </c>
      <c r="C177" s="6">
        <v>8</v>
      </c>
      <c r="D177" s="10">
        <f>(co2e_g_kwh!D177)/1000000000000</f>
        <v>3.2870035536000063E-2</v>
      </c>
      <c r="E177" s="10">
        <f>(co2e_g_kwh!F177)/1000000000000</f>
        <v>1.5291703387134457E-2</v>
      </c>
      <c r="F177" s="10">
        <f>(co2e_g_kwh!G177)/1000000000000</f>
        <v>0</v>
      </c>
      <c r="G177" s="10">
        <f>(co2e_g_kwh!K177)/1000000000000</f>
        <v>8.1992287390000099E-3</v>
      </c>
      <c r="H177" s="19">
        <f t="shared" si="8"/>
        <v>5.6360967662134533E-2</v>
      </c>
      <c r="I177" s="10">
        <f>(co2e_g_kwh!E177)/1000000000000</f>
        <v>1.4127346825591964</v>
      </c>
      <c r="J177" s="10">
        <f>(co2e_g_kwh!H177)/1000000000000</f>
        <v>3.2212911492539855</v>
      </c>
      <c r="K177" s="20">
        <f t="shared" si="9"/>
        <v>4.6340258318131822</v>
      </c>
      <c r="L177" s="21">
        <f>(co2e_g_kwh!I177)/1000000000000</f>
        <v>0.63411318822599305</v>
      </c>
      <c r="M177" s="10">
        <f>(co2e_g_kwh!J177)/1000000000000</f>
        <v>0</v>
      </c>
      <c r="N177" s="10">
        <f>(co2e_g_kwh!L177)/1000000000000</f>
        <v>1.4384455134000071</v>
      </c>
      <c r="O177" s="10">
        <f>(co2e_g_kwh!M177)/1000000000000</f>
        <v>0.6392717679599963</v>
      </c>
      <c r="P177" s="22">
        <f t="shared" si="10"/>
        <v>2.0777172813600036</v>
      </c>
      <c r="Q177" s="10">
        <f>(co2e_g_kwh!N177)/1000000000000</f>
        <v>0</v>
      </c>
      <c r="R177" s="10">
        <f>(co2e_g_kwh!O177)/1000000000000</f>
        <v>0</v>
      </c>
      <c r="S177" s="14">
        <f t="shared" si="11"/>
        <v>7.4022172690613131</v>
      </c>
    </row>
    <row r="178" spans="1:19" x14ac:dyDescent="0.3">
      <c r="A178" s="6">
        <v>177</v>
      </c>
      <c r="B178" s="6">
        <v>2014</v>
      </c>
      <c r="C178" s="6">
        <v>9</v>
      </c>
      <c r="D178" s="10">
        <f>(co2e_g_kwh!D178)/1000000000000</f>
        <v>2.7973557872000086E-2</v>
      </c>
      <c r="E178" s="10">
        <f>(co2e_g_kwh!F178)/1000000000000</f>
        <v>1.4799856015060838E-2</v>
      </c>
      <c r="F178" s="10">
        <f>(co2e_g_kwh!G178)/1000000000000</f>
        <v>0</v>
      </c>
      <c r="G178" s="10">
        <f>(co2e_g_kwh!K178)/1000000000000</f>
        <v>1.8892358433000005E-2</v>
      </c>
      <c r="H178" s="19">
        <f t="shared" si="8"/>
        <v>6.166577232006093E-2</v>
      </c>
      <c r="I178" s="10">
        <f>(co2e_g_kwh!E178)/1000000000000</f>
        <v>1.2539608435353997</v>
      </c>
      <c r="J178" s="10">
        <f>(co2e_g_kwh!H178)/1000000000000</f>
        <v>2.7202720079159954</v>
      </c>
      <c r="K178" s="20">
        <f t="shared" si="9"/>
        <v>3.9742328514513954</v>
      </c>
      <c r="L178" s="21">
        <f>(co2e_g_kwh!I178)/1000000000000</f>
        <v>0.64965555555598253</v>
      </c>
      <c r="M178" s="10">
        <f>(co2e_g_kwh!J178)/1000000000000</f>
        <v>0</v>
      </c>
      <c r="N178" s="10">
        <f>(co2e_g_kwh!L178)/1000000000000</f>
        <v>1.3762071387959975</v>
      </c>
      <c r="O178" s="10">
        <f>(co2e_g_kwh!M178)/1000000000000</f>
        <v>0.65577184343998929</v>
      </c>
      <c r="P178" s="22">
        <f t="shared" si="10"/>
        <v>2.0319789822359868</v>
      </c>
      <c r="Q178" s="10">
        <f>(co2e_g_kwh!N178)/1000000000000</f>
        <v>0</v>
      </c>
      <c r="R178" s="10">
        <f>(co2e_g_kwh!O178)/1000000000000</f>
        <v>0</v>
      </c>
      <c r="S178" s="14">
        <f t="shared" si="11"/>
        <v>6.7175331615634262</v>
      </c>
    </row>
    <row r="179" spans="1:19" x14ac:dyDescent="0.3">
      <c r="A179" s="6">
        <v>178</v>
      </c>
      <c r="B179" s="6">
        <v>2014</v>
      </c>
      <c r="C179" s="6">
        <v>10</v>
      </c>
      <c r="D179" s="10">
        <f>(co2e_g_kwh!D179)/1000000000000</f>
        <v>2.8575425912800177E-2</v>
      </c>
      <c r="E179" s="10">
        <f>(co2e_g_kwh!F179)/1000000000000</f>
        <v>1.7584024864462002E-2</v>
      </c>
      <c r="F179" s="10">
        <f>(co2e_g_kwh!G179)/1000000000000</f>
        <v>0</v>
      </c>
      <c r="G179" s="10">
        <f>(co2e_g_kwh!K179)/1000000000000</f>
        <v>1.9459539710000019E-2</v>
      </c>
      <c r="H179" s="19">
        <f t="shared" si="8"/>
        <v>6.5618990487262191E-2</v>
      </c>
      <c r="I179" s="10">
        <f>(co2e_g_kwh!E179)/1000000000000</f>
        <v>1.3691232635079984</v>
      </c>
      <c r="J179" s="10">
        <f>(co2e_g_kwh!H179)/1000000000000</f>
        <v>3.027633816546039</v>
      </c>
      <c r="K179" s="20">
        <f t="shared" si="9"/>
        <v>4.3967570800540372</v>
      </c>
      <c r="L179" s="21">
        <f>(co2e_g_kwh!I179)/1000000000000</f>
        <v>0.6784741099080015</v>
      </c>
      <c r="M179" s="10">
        <f>(co2e_g_kwh!J179)/1000000000000</f>
        <v>0</v>
      </c>
      <c r="N179" s="10">
        <f>(co2e_g_kwh!L179)/1000000000000</f>
        <v>1.3869777742800016</v>
      </c>
      <c r="O179" s="10">
        <f>(co2e_g_kwh!M179)/1000000000000</f>
        <v>0.69184007507999745</v>
      </c>
      <c r="P179" s="22">
        <f t="shared" si="10"/>
        <v>2.0788178493599991</v>
      </c>
      <c r="Q179" s="10">
        <f>(co2e_g_kwh!N179)/1000000000000</f>
        <v>0</v>
      </c>
      <c r="R179" s="10">
        <f>(co2e_g_kwh!O179)/1000000000000</f>
        <v>0</v>
      </c>
      <c r="S179" s="14">
        <f t="shared" si="11"/>
        <v>7.2196680298093003</v>
      </c>
    </row>
    <row r="180" spans="1:19" x14ac:dyDescent="0.3">
      <c r="A180" s="6">
        <v>179</v>
      </c>
      <c r="B180" s="6">
        <v>2014</v>
      </c>
      <c r="C180" s="6">
        <v>11</v>
      </c>
      <c r="D180" s="10">
        <f>(co2e_g_kwh!D180)/1000000000000</f>
        <v>2.4224880055999959E-2</v>
      </c>
      <c r="E180" s="10">
        <f>(co2e_g_kwh!F180)/1000000000000</f>
        <v>1.4554657067610595E-2</v>
      </c>
      <c r="F180" s="10">
        <f>(co2e_g_kwh!G180)/1000000000000</f>
        <v>0</v>
      </c>
      <c r="G180" s="10">
        <f>(co2e_g_kwh!K180)/1000000000000</f>
        <v>1.8201868632999996E-2</v>
      </c>
      <c r="H180" s="19">
        <f t="shared" si="8"/>
        <v>5.6981405756610551E-2</v>
      </c>
      <c r="I180" s="10">
        <f>(co2e_g_kwh!E180)/1000000000000</f>
        <v>1.482169688999996</v>
      </c>
      <c r="J180" s="10">
        <f>(co2e_g_kwh!H180)/1000000000000</f>
        <v>3.0104588770883938</v>
      </c>
      <c r="K180" s="20">
        <f t="shared" si="9"/>
        <v>4.4926285660883902</v>
      </c>
      <c r="L180" s="21">
        <f>(co2e_g_kwh!I180)/1000000000000</f>
        <v>0.65178333481800554</v>
      </c>
      <c r="M180" s="10">
        <f>(co2e_g_kwh!J180)/1000000000000</f>
        <v>0</v>
      </c>
      <c r="N180" s="10">
        <f>(co2e_g_kwh!L180)/1000000000000</f>
        <v>1.3993569735600022</v>
      </c>
      <c r="O180" s="10">
        <f>(co2e_g_kwh!M180)/1000000000000</f>
        <v>0.63997491516000005</v>
      </c>
      <c r="P180" s="22">
        <f t="shared" si="10"/>
        <v>2.0393318887200023</v>
      </c>
      <c r="Q180" s="10">
        <f>(co2e_g_kwh!N180)/1000000000000</f>
        <v>0</v>
      </c>
      <c r="R180" s="10">
        <f>(co2e_g_kwh!O180)/1000000000000</f>
        <v>0</v>
      </c>
      <c r="S180" s="14">
        <f t="shared" si="11"/>
        <v>7.2407251953830079</v>
      </c>
    </row>
    <row r="181" spans="1:19" x14ac:dyDescent="0.3">
      <c r="A181" s="6">
        <v>180</v>
      </c>
      <c r="B181" s="6">
        <v>2014</v>
      </c>
      <c r="C181" s="6">
        <v>12</v>
      </c>
      <c r="D181" s="10">
        <f>(co2e_g_kwh!D181)/1000000000000</f>
        <v>2.1667344025600055E-2</v>
      </c>
      <c r="E181" s="10">
        <f>(co2e_g_kwh!F181)/1000000000000</f>
        <v>1.5518661167024741E-2</v>
      </c>
      <c r="F181" s="10">
        <f>(co2e_g_kwh!G181)/1000000000000</f>
        <v>0</v>
      </c>
      <c r="G181" s="10">
        <f>(co2e_g_kwh!K181)/1000000000000</f>
        <v>1.9401433220000035E-2</v>
      </c>
      <c r="H181" s="19">
        <f t="shared" si="8"/>
        <v>5.6587438412624834E-2</v>
      </c>
      <c r="I181" s="10">
        <f>(co2e_g_kwh!E181)/1000000000000</f>
        <v>1.615723664254703</v>
      </c>
      <c r="J181" s="10">
        <f>(co2e_g_kwh!H181)/1000000000000</f>
        <v>3.2068158094997901</v>
      </c>
      <c r="K181" s="20">
        <f t="shared" si="9"/>
        <v>4.8225394737544933</v>
      </c>
      <c r="L181" s="21">
        <f>(co2e_g_kwh!I181)/1000000000000</f>
        <v>0.66407075664301085</v>
      </c>
      <c r="M181" s="10">
        <f>(co2e_g_kwh!J181)/1000000000000</f>
        <v>0</v>
      </c>
      <c r="N181" s="10">
        <f>(co2e_g_kwh!L181)/1000000000000</f>
        <v>1.3236686853600101</v>
      </c>
      <c r="O181" s="10">
        <f>(co2e_g_kwh!M181)/1000000000000</f>
        <v>0.5909295243599948</v>
      </c>
      <c r="P181" s="22">
        <f t="shared" si="10"/>
        <v>1.9145982097200049</v>
      </c>
      <c r="Q181" s="10">
        <f>(co2e_g_kwh!N181)/1000000000000</f>
        <v>0</v>
      </c>
      <c r="R181" s="10">
        <f>(co2e_g_kwh!O181)/1000000000000</f>
        <v>0</v>
      </c>
      <c r="S181" s="14">
        <f t="shared" si="11"/>
        <v>7.4577958785301339</v>
      </c>
    </row>
    <row r="182" spans="1:19" x14ac:dyDescent="0.3">
      <c r="A182" s="6">
        <v>181</v>
      </c>
      <c r="B182" s="6">
        <v>2015</v>
      </c>
      <c r="C182" s="6">
        <v>1</v>
      </c>
      <c r="D182" s="10">
        <f>(co2e_g_kwh!D182)/1000000000000</f>
        <v>8.4183727159999975E-3</v>
      </c>
      <c r="E182" s="10">
        <f>(co2e_g_kwh!F182)/1000000000000</f>
        <v>1.7312831148900934E-2</v>
      </c>
      <c r="F182" s="10">
        <f>(co2e_g_kwh!G182)/1000000000000</f>
        <v>0</v>
      </c>
      <c r="G182" s="10">
        <f>(co2e_g_kwh!K182)/1000000000000</f>
        <v>1.8859586147999999E-2</v>
      </c>
      <c r="H182" s="19">
        <f t="shared" si="8"/>
        <v>4.4590790012900929E-2</v>
      </c>
      <c r="I182" s="10">
        <f>(co2e_g_kwh!E182)/1000000000000</f>
        <v>1.7440899593117027</v>
      </c>
      <c r="J182" s="10">
        <f>(co2e_g_kwh!H182)/1000000000000</f>
        <v>3.1054822233480097</v>
      </c>
      <c r="K182" s="20">
        <f t="shared" si="9"/>
        <v>4.8495721826597125</v>
      </c>
      <c r="L182" s="21">
        <f>(co2e_g_kwh!I182)/1000000000000</f>
        <v>0.75970063747200423</v>
      </c>
      <c r="M182" s="10">
        <f>(co2e_g_kwh!J182)/1000000000000</f>
        <v>0</v>
      </c>
      <c r="N182" s="10">
        <f>(co2e_g_kwh!L182)/1000000000000</f>
        <v>1.1882980435200035</v>
      </c>
      <c r="O182" s="10">
        <f>(co2e_g_kwh!M182)/1000000000000</f>
        <v>0.59001330023999288</v>
      </c>
      <c r="P182" s="22">
        <f t="shared" si="10"/>
        <v>1.7783113437599964</v>
      </c>
      <c r="Q182" s="10">
        <f>(co2e_g_kwh!N182)/1000000000000</f>
        <v>0</v>
      </c>
      <c r="R182" s="10">
        <f>(co2e_g_kwh!O182)/1000000000000</f>
        <v>0</v>
      </c>
      <c r="S182" s="14">
        <f t="shared" si="11"/>
        <v>7.4321749539046138</v>
      </c>
    </row>
    <row r="183" spans="1:19" x14ac:dyDescent="0.3">
      <c r="A183" s="6">
        <v>182</v>
      </c>
      <c r="B183" s="6">
        <v>2015</v>
      </c>
      <c r="C183" s="6">
        <v>2</v>
      </c>
      <c r="D183" s="10">
        <f>(co2e_g_kwh!D183)/1000000000000</f>
        <v>7.8455979108000128E-3</v>
      </c>
      <c r="E183" s="10">
        <f>(co2e_g_kwh!F183)/1000000000000</f>
        <v>1.3924980029701174E-2</v>
      </c>
      <c r="F183" s="10">
        <f>(co2e_g_kwh!G183)/1000000000000</f>
        <v>0</v>
      </c>
      <c r="G183" s="10">
        <f>(co2e_g_kwh!K183)/1000000000000</f>
        <v>1.4891238777999995E-2</v>
      </c>
      <c r="H183" s="19">
        <f t="shared" si="8"/>
        <v>3.6661816718501182E-2</v>
      </c>
      <c r="I183" s="10">
        <f>(co2e_g_kwh!E183)/1000000000000</f>
        <v>1.425087880816595</v>
      </c>
      <c r="J183" s="10">
        <f>(co2e_g_kwh!H183)/1000000000000</f>
        <v>2.9123963722566129</v>
      </c>
      <c r="K183" s="20">
        <f t="shared" si="9"/>
        <v>4.3374842530732076</v>
      </c>
      <c r="L183" s="21">
        <f>(co2e_g_kwh!I183)/1000000000000</f>
        <v>0.66818521166323797</v>
      </c>
      <c r="M183" s="10">
        <f>(co2e_g_kwh!J183)/1000000000000</f>
        <v>0</v>
      </c>
      <c r="N183" s="10">
        <f>(co2e_g_kwh!L183)/1000000000000</f>
        <v>1.1505673586400038</v>
      </c>
      <c r="O183" s="10">
        <f>(co2e_g_kwh!M183)/1000000000000</f>
        <v>0.60759726442796369</v>
      </c>
      <c r="P183" s="22">
        <f t="shared" si="10"/>
        <v>1.7581646230679675</v>
      </c>
      <c r="Q183" s="10">
        <f>(co2e_g_kwh!N183)/1000000000000</f>
        <v>0</v>
      </c>
      <c r="R183" s="10">
        <f>(co2e_g_kwh!O183)/1000000000000</f>
        <v>0</v>
      </c>
      <c r="S183" s="14">
        <f t="shared" si="11"/>
        <v>6.800495904522915</v>
      </c>
    </row>
    <row r="184" spans="1:19" x14ac:dyDescent="0.3">
      <c r="A184" s="6">
        <v>183</v>
      </c>
      <c r="B184" s="6">
        <v>2015</v>
      </c>
      <c r="C184" s="6">
        <v>3</v>
      </c>
      <c r="D184" s="10">
        <f>(co2e_g_kwh!D184)/1000000000000</f>
        <v>1.0467921148493176E-2</v>
      </c>
      <c r="E184" s="10">
        <f>(co2e_g_kwh!F184)/1000000000000</f>
        <v>1.3034222215985474E-2</v>
      </c>
      <c r="F184" s="10">
        <f>(co2e_g_kwh!G184)/1000000000000</f>
        <v>0</v>
      </c>
      <c r="G184" s="10">
        <f>(co2e_g_kwh!K184)/1000000000000</f>
        <v>1.7078280777999978E-2</v>
      </c>
      <c r="H184" s="19">
        <f t="shared" si="8"/>
        <v>4.058042414247863E-2</v>
      </c>
      <c r="I184" s="10">
        <f>(co2e_g_kwh!E184)/1000000000000</f>
        <v>1.6381779281868045</v>
      </c>
      <c r="J184" s="10">
        <f>(co2e_g_kwh!H184)/1000000000000</f>
        <v>3.2890446707219936</v>
      </c>
      <c r="K184" s="20">
        <f t="shared" si="9"/>
        <v>4.9272225989087985</v>
      </c>
      <c r="L184" s="21">
        <f>(co2e_g_kwh!I184)/1000000000000</f>
        <v>0.72744427260572508</v>
      </c>
      <c r="M184" s="10">
        <f>(co2e_g_kwh!J184)/1000000000000</f>
        <v>0</v>
      </c>
      <c r="N184" s="10">
        <f>(co2e_g_kwh!L184)/1000000000000</f>
        <v>1.2104453642400039</v>
      </c>
      <c r="O184" s="10">
        <f>(co2e_g_kwh!M184)/1000000000000</f>
        <v>0.71693163141596228</v>
      </c>
      <c r="P184" s="22">
        <f t="shared" si="10"/>
        <v>1.9273769956559663</v>
      </c>
      <c r="Q184" s="10">
        <f>(co2e_g_kwh!N184)/1000000000000</f>
        <v>0</v>
      </c>
      <c r="R184" s="10">
        <f>(co2e_g_kwh!O184)/1000000000000</f>
        <v>0</v>
      </c>
      <c r="S184" s="14">
        <f t="shared" si="11"/>
        <v>7.6226242913129667</v>
      </c>
    </row>
    <row r="185" spans="1:19" x14ac:dyDescent="0.3">
      <c r="A185" s="6">
        <v>184</v>
      </c>
      <c r="B185" s="6">
        <v>2015</v>
      </c>
      <c r="C185" s="6">
        <v>4</v>
      </c>
      <c r="D185" s="10">
        <f>(co2e_g_kwh!D185)/1000000000000</f>
        <v>2.2934037462697943E-2</v>
      </c>
      <c r="E185" s="10">
        <f>(co2e_g_kwh!F185)/1000000000000</f>
        <v>1.1120654734018158E-2</v>
      </c>
      <c r="F185" s="10">
        <f>(co2e_g_kwh!G185)/1000000000000</f>
        <v>0</v>
      </c>
      <c r="G185" s="10">
        <f>(co2e_g_kwh!K185)/1000000000000</f>
        <v>1.8133913966999992E-2</v>
      </c>
      <c r="H185" s="19">
        <f t="shared" si="8"/>
        <v>5.2188606163716095E-2</v>
      </c>
      <c r="I185" s="10">
        <f>(co2e_g_kwh!E185)/1000000000000</f>
        <v>1.3991636859199987</v>
      </c>
      <c r="J185" s="10">
        <f>(co2e_g_kwh!H185)/1000000000000</f>
        <v>2.9574116682839939</v>
      </c>
      <c r="K185" s="20">
        <f t="shared" si="9"/>
        <v>4.3565753542039927</v>
      </c>
      <c r="L185" s="21">
        <f>(co2e_g_kwh!I185)/1000000000000</f>
        <v>0.63990329539524571</v>
      </c>
      <c r="M185" s="10">
        <f>(co2e_g_kwh!J185)/1000000000000</f>
        <v>0</v>
      </c>
      <c r="N185" s="10">
        <f>(co2e_g_kwh!L185)/1000000000000</f>
        <v>0.81097156560000316</v>
      </c>
      <c r="O185" s="10">
        <f>(co2e_g_kwh!M185)/1000000000000</f>
        <v>0.50100670284000126</v>
      </c>
      <c r="P185" s="22">
        <f t="shared" si="10"/>
        <v>1.3119782684400043</v>
      </c>
      <c r="Q185" s="10">
        <f>(co2e_g_kwh!N185)/1000000000000</f>
        <v>0</v>
      </c>
      <c r="R185" s="10">
        <f>(co2e_g_kwh!O185)/1000000000000</f>
        <v>0</v>
      </c>
      <c r="S185" s="14">
        <f t="shared" si="11"/>
        <v>6.3606455242029583</v>
      </c>
    </row>
    <row r="186" spans="1:19" x14ac:dyDescent="0.3">
      <c r="A186" s="6">
        <v>185</v>
      </c>
      <c r="B186" s="6">
        <v>2015</v>
      </c>
      <c r="C186" s="6">
        <v>5</v>
      </c>
      <c r="D186" s="10">
        <f>(co2e_g_kwh!D186)/1000000000000</f>
        <v>3.1679451684400277E-2</v>
      </c>
      <c r="E186" s="10">
        <f>(co2e_g_kwh!F186)/1000000000000</f>
        <v>1.8279534576795108E-2</v>
      </c>
      <c r="F186" s="10">
        <f>(co2e_g_kwh!G186)/1000000000000</f>
        <v>0</v>
      </c>
      <c r="G186" s="10">
        <f>(co2e_g_kwh!K186)/1000000000000</f>
        <v>1.4555813895999982E-2</v>
      </c>
      <c r="H186" s="19">
        <f t="shared" si="8"/>
        <v>6.4514800157195365E-2</v>
      </c>
      <c r="I186" s="10">
        <f>(co2e_g_kwh!E186)/1000000000000</f>
        <v>1.3141216298209992</v>
      </c>
      <c r="J186" s="10">
        <f>(co2e_g_kwh!H186)/1000000000000</f>
        <v>2.9195648663760227</v>
      </c>
      <c r="K186" s="20">
        <f t="shared" si="9"/>
        <v>4.2336864961970218</v>
      </c>
      <c r="L186" s="21">
        <f>(co2e_g_kwh!I186)/1000000000000</f>
        <v>0.64379402081400894</v>
      </c>
      <c r="M186" s="10">
        <f>(co2e_g_kwh!J186)/1000000000000</f>
        <v>0</v>
      </c>
      <c r="N186" s="10">
        <f>(co2e_g_kwh!L186)/1000000000000</f>
        <v>0.75979712004000233</v>
      </c>
      <c r="O186" s="10">
        <f>(co2e_g_kwh!M186)/1000000000000</f>
        <v>0.40296667571999895</v>
      </c>
      <c r="P186" s="22">
        <f t="shared" si="10"/>
        <v>1.1627637957600012</v>
      </c>
      <c r="Q186" s="10">
        <f>(co2e_g_kwh!N186)/1000000000000</f>
        <v>0</v>
      </c>
      <c r="R186" s="10">
        <f>(co2e_g_kwh!O186)/1000000000000</f>
        <v>0</v>
      </c>
      <c r="S186" s="14">
        <f t="shared" si="11"/>
        <v>6.1047591129282281</v>
      </c>
    </row>
    <row r="187" spans="1:19" x14ac:dyDescent="0.3">
      <c r="A187" s="6">
        <v>186</v>
      </c>
      <c r="B187" s="6">
        <v>2015</v>
      </c>
      <c r="C187" s="6">
        <v>6</v>
      </c>
      <c r="D187" s="10">
        <f>(co2e_g_kwh!D187)/1000000000000</f>
        <v>3.3771912839599773E-2</v>
      </c>
      <c r="E187" s="10">
        <f>(co2e_g_kwh!F187)/1000000000000</f>
        <v>1.9228730774888257E-2</v>
      </c>
      <c r="F187" s="10">
        <f>(co2e_g_kwh!G187)/1000000000000</f>
        <v>0</v>
      </c>
      <c r="G187" s="10">
        <f>(co2e_g_kwh!K187)/1000000000000</f>
        <v>1.2790689119000017E-2</v>
      </c>
      <c r="H187" s="19">
        <f t="shared" si="8"/>
        <v>6.5791332733488042E-2</v>
      </c>
      <c r="I187" s="10">
        <f>(co2e_g_kwh!E187)/1000000000000</f>
        <v>1.4328671286930015</v>
      </c>
      <c r="J187" s="10">
        <f>(co2e_g_kwh!H187)/1000000000000</f>
        <v>2.8845252173807769</v>
      </c>
      <c r="K187" s="20">
        <f t="shared" si="9"/>
        <v>4.3173923460737784</v>
      </c>
      <c r="L187" s="21">
        <f>(co2e_g_kwh!I187)/1000000000000</f>
        <v>0.58837709624399781</v>
      </c>
      <c r="M187" s="10">
        <f>(co2e_g_kwh!J187)/1000000000000</f>
        <v>0</v>
      </c>
      <c r="N187" s="10">
        <f>(co2e_g_kwh!L187)/1000000000000</f>
        <v>0.88096611287999771</v>
      </c>
      <c r="O187" s="10">
        <f>(co2e_g_kwh!M187)/1000000000000</f>
        <v>0.61255830955199619</v>
      </c>
      <c r="P187" s="22">
        <f t="shared" si="10"/>
        <v>1.4935244224319939</v>
      </c>
      <c r="Q187" s="10">
        <f>(co2e_g_kwh!N187)/1000000000000</f>
        <v>0</v>
      </c>
      <c r="R187" s="10">
        <f>(co2e_g_kwh!O187)/1000000000000</f>
        <v>0</v>
      </c>
      <c r="S187" s="14">
        <f t="shared" si="11"/>
        <v>6.4650851974832584</v>
      </c>
    </row>
    <row r="188" spans="1:19" x14ac:dyDescent="0.3">
      <c r="A188" s="6">
        <v>187</v>
      </c>
      <c r="B188" s="6">
        <v>2015</v>
      </c>
      <c r="C188" s="6">
        <v>7</v>
      </c>
      <c r="D188" s="10">
        <f>(co2e_g_kwh!D188)/1000000000000</f>
        <v>3.5033774557600018E-2</v>
      </c>
      <c r="E188" s="10">
        <f>(co2e_g_kwh!F188)/1000000000000</f>
        <v>2.2798647438145688E-2</v>
      </c>
      <c r="F188" s="10">
        <f>(co2e_g_kwh!G188)/1000000000000</f>
        <v>9.7029499999999949E-7</v>
      </c>
      <c r="G188" s="10">
        <f>(co2e_g_kwh!K188)/1000000000000</f>
        <v>1.7651531352000007E-2</v>
      </c>
      <c r="H188" s="19">
        <f t="shared" si="8"/>
        <v>7.5484923642745713E-2</v>
      </c>
      <c r="I188" s="10">
        <f>(co2e_g_kwh!E188)/1000000000000</f>
        <v>1.5721915529320005</v>
      </c>
      <c r="J188" s="10">
        <f>(co2e_g_kwh!H188)/1000000000000</f>
        <v>2.5344239380199989</v>
      </c>
      <c r="K188" s="20">
        <f t="shared" si="9"/>
        <v>4.1066154909519996</v>
      </c>
      <c r="L188" s="21">
        <f>(co2e_g_kwh!I188)/1000000000000</f>
        <v>0.63096436296599467</v>
      </c>
      <c r="M188" s="10">
        <f>(co2e_g_kwh!J188)/1000000000000</f>
        <v>0</v>
      </c>
      <c r="N188" s="10">
        <f>(co2e_g_kwh!L188)/1000000000000</f>
        <v>0.66840828600000068</v>
      </c>
      <c r="O188" s="10">
        <f>(co2e_g_kwh!M188)/1000000000000</f>
        <v>0.41225569391999956</v>
      </c>
      <c r="P188" s="22">
        <f t="shared" si="10"/>
        <v>1.0806639799200002</v>
      </c>
      <c r="Q188" s="10">
        <f>(co2e_g_kwh!N188)/1000000000000</f>
        <v>0</v>
      </c>
      <c r="R188" s="10">
        <f>(co2e_g_kwh!O188)/1000000000000</f>
        <v>0</v>
      </c>
      <c r="S188" s="14">
        <f t="shared" si="11"/>
        <v>5.8937287574807407</v>
      </c>
    </row>
    <row r="189" spans="1:19" x14ac:dyDescent="0.3">
      <c r="A189" s="6">
        <v>188</v>
      </c>
      <c r="B189" s="6">
        <v>2015</v>
      </c>
      <c r="C189" s="6">
        <v>8</v>
      </c>
      <c r="D189" s="10">
        <f>(co2e_g_kwh!D189)/1000000000000</f>
        <v>4.2907831049199874E-2</v>
      </c>
      <c r="E189" s="10">
        <f>(co2e_g_kwh!F189)/1000000000000</f>
        <v>3.0397460467397164E-2</v>
      </c>
      <c r="F189" s="10">
        <f>(co2e_g_kwh!G189)/1000000000000</f>
        <v>4.7455875000000033E-5</v>
      </c>
      <c r="G189" s="10">
        <f>(co2e_g_kwh!K189)/1000000000000</f>
        <v>1.7651496511999973E-2</v>
      </c>
      <c r="H189" s="19">
        <f t="shared" si="8"/>
        <v>9.1004243903597015E-2</v>
      </c>
      <c r="I189" s="10">
        <f>(co2e_g_kwh!E189)/1000000000000</f>
        <v>1.4596686894790047</v>
      </c>
      <c r="J189" s="10">
        <f>(co2e_g_kwh!H189)/1000000000000</f>
        <v>2.6603640049086064</v>
      </c>
      <c r="K189" s="20">
        <f t="shared" si="9"/>
        <v>4.1200326943876107</v>
      </c>
      <c r="L189" s="21">
        <f>(co2e_g_kwh!I189)/1000000000000</f>
        <v>0.63192500042699207</v>
      </c>
      <c r="M189" s="10">
        <f>(co2e_g_kwh!J189)/1000000000000</f>
        <v>0</v>
      </c>
      <c r="N189" s="10">
        <f>(co2e_g_kwh!L189)/1000000000000</f>
        <v>0.73378683554400059</v>
      </c>
      <c r="O189" s="10">
        <f>(co2e_g_kwh!M189)/1000000000000</f>
        <v>0.26856997860000009</v>
      </c>
      <c r="P189" s="22">
        <f t="shared" si="10"/>
        <v>1.0023568141440007</v>
      </c>
      <c r="Q189" s="10">
        <f>(co2e_g_kwh!N189)/1000000000000</f>
        <v>0</v>
      </c>
      <c r="R189" s="10">
        <f>(co2e_g_kwh!O189)/1000000000000</f>
        <v>0</v>
      </c>
      <c r="S189" s="14">
        <f t="shared" si="11"/>
        <v>5.8453187528622017</v>
      </c>
    </row>
    <row r="190" spans="1:19" x14ac:dyDescent="0.3">
      <c r="A190" s="6">
        <v>189</v>
      </c>
      <c r="B190" s="6">
        <v>2015</v>
      </c>
      <c r="C190" s="6">
        <v>9</v>
      </c>
      <c r="D190" s="10">
        <f>(co2e_g_kwh!D190)/1000000000000</f>
        <v>3.9716179983999608E-2</v>
      </c>
      <c r="E190" s="10">
        <f>(co2e_g_kwh!F190)/1000000000000</f>
        <v>2.5972694561623013E-2</v>
      </c>
      <c r="F190" s="10">
        <f>(co2e_g_kwh!G190)/1000000000000</f>
        <v>6.2979863999999971E-5</v>
      </c>
      <c r="G190" s="10">
        <f>(co2e_g_kwh!K190)/1000000000000</f>
        <v>1.4755967005E-2</v>
      </c>
      <c r="H190" s="19">
        <f t="shared" si="8"/>
        <v>8.0507821414622621E-2</v>
      </c>
      <c r="I190" s="10">
        <f>(co2e_g_kwh!E190)/1000000000000</f>
        <v>1.4788927823670004</v>
      </c>
      <c r="J190" s="10">
        <f>(co2e_g_kwh!H190)/1000000000000</f>
        <v>2.9473693355879851</v>
      </c>
      <c r="K190" s="20">
        <f t="shared" si="9"/>
        <v>4.4262621179549857</v>
      </c>
      <c r="L190" s="21">
        <f>(co2e_g_kwh!I190)/1000000000000</f>
        <v>0.63706865088299303</v>
      </c>
      <c r="M190" s="10">
        <f>(co2e_g_kwh!J190)/1000000000000</f>
        <v>0</v>
      </c>
      <c r="N190" s="10">
        <f>(co2e_g_kwh!L190)/1000000000000</f>
        <v>0.84034679988000394</v>
      </c>
      <c r="O190" s="10">
        <f>(co2e_g_kwh!M190)/1000000000000</f>
        <v>0.15262753211999963</v>
      </c>
      <c r="P190" s="22">
        <f t="shared" si="10"/>
        <v>0.99297433200000351</v>
      </c>
      <c r="Q190" s="10">
        <f>(co2e_g_kwh!N190)/1000000000000</f>
        <v>0</v>
      </c>
      <c r="R190" s="10">
        <f>(co2e_g_kwh!O190)/1000000000000</f>
        <v>0</v>
      </c>
      <c r="S190" s="14">
        <f t="shared" si="11"/>
        <v>6.1368129222526049</v>
      </c>
    </row>
    <row r="191" spans="1:19" x14ac:dyDescent="0.3">
      <c r="A191" s="6">
        <v>190</v>
      </c>
      <c r="B191" s="6">
        <v>2015</v>
      </c>
      <c r="C191" s="6">
        <v>10</v>
      </c>
      <c r="D191" s="10">
        <f>(co2e_g_kwh!D191)/1000000000000</f>
        <v>3.990724018840007E-2</v>
      </c>
      <c r="E191" s="10">
        <f>(co2e_g_kwh!F191)/1000000000000</f>
        <v>2.9524036959711449E-2</v>
      </c>
      <c r="F191" s="10">
        <f>(co2e_g_kwh!G191)/1000000000000</f>
        <v>7.4538823000000015E-5</v>
      </c>
      <c r="G191" s="10">
        <f>(co2e_g_kwh!K191)/1000000000000</f>
        <v>6.6815983000000105E-3</v>
      </c>
      <c r="H191" s="19">
        <f t="shared" si="8"/>
        <v>7.6187414271111531E-2</v>
      </c>
      <c r="I191" s="10">
        <f>(co2e_g_kwh!E191)/1000000000000</f>
        <v>1.5309582858570017</v>
      </c>
      <c r="J191" s="10">
        <f>(co2e_g_kwh!H191)/1000000000000</f>
        <v>2.869830372761998</v>
      </c>
      <c r="K191" s="20">
        <f t="shared" si="9"/>
        <v>4.4007886586189997</v>
      </c>
      <c r="L191" s="21">
        <f>(co2e_g_kwh!I191)/1000000000000</f>
        <v>0.69853197806699807</v>
      </c>
      <c r="M191" s="10">
        <f>(co2e_g_kwh!J191)/1000000000000</f>
        <v>0</v>
      </c>
      <c r="N191" s="10">
        <f>(co2e_g_kwh!L191)/1000000000000</f>
        <v>0.94682933267999903</v>
      </c>
      <c r="O191" s="10">
        <f>(co2e_g_kwh!M191)/1000000000000</f>
        <v>0.19076717687999978</v>
      </c>
      <c r="P191" s="22">
        <f t="shared" si="10"/>
        <v>1.1375965095599989</v>
      </c>
      <c r="Q191" s="10">
        <f>(co2e_g_kwh!N191)/1000000000000</f>
        <v>0</v>
      </c>
      <c r="R191" s="10">
        <f>(co2e_g_kwh!O191)/1000000000000</f>
        <v>0</v>
      </c>
      <c r="S191" s="14">
        <f t="shared" si="11"/>
        <v>6.3131045605171083</v>
      </c>
    </row>
    <row r="192" spans="1:19" x14ac:dyDescent="0.3">
      <c r="A192" s="6">
        <v>191</v>
      </c>
      <c r="B192" s="6">
        <v>2015</v>
      </c>
      <c r="C192" s="6">
        <v>11</v>
      </c>
      <c r="D192" s="10">
        <f>(co2e_g_kwh!D192)/1000000000000</f>
        <v>3.357683163640026E-2</v>
      </c>
      <c r="E192" s="10">
        <f>(co2e_g_kwh!F192)/1000000000000</f>
        <v>2.4987436928237874E-2</v>
      </c>
      <c r="F192" s="10">
        <f>(co2e_g_kwh!G192)/1000000000000</f>
        <v>7.0244241E-5</v>
      </c>
      <c r="G192" s="10">
        <f>(co2e_g_kwh!K192)/1000000000000</f>
        <v>1.851948846799999E-2</v>
      </c>
      <c r="H192" s="19">
        <f t="shared" si="8"/>
        <v>7.7154001273638126E-2</v>
      </c>
      <c r="I192" s="10">
        <f>(co2e_g_kwh!E192)/1000000000000</f>
        <v>1.3897089005799954</v>
      </c>
      <c r="J192" s="10">
        <f>(co2e_g_kwh!H192)/1000000000000</f>
        <v>2.6945988776100047</v>
      </c>
      <c r="K192" s="20">
        <f t="shared" si="9"/>
        <v>4.0843077781900003</v>
      </c>
      <c r="L192" s="21">
        <f>(co2e_g_kwh!I192)/1000000000000</f>
        <v>0.66963961257899951</v>
      </c>
      <c r="M192" s="10">
        <f>(co2e_g_kwh!J192)/1000000000000</f>
        <v>0</v>
      </c>
      <c r="N192" s="10">
        <f>(co2e_g_kwh!L192)/1000000000000</f>
        <v>0.87183506760000007</v>
      </c>
      <c r="O192" s="10">
        <f>(co2e_g_kwh!M192)/1000000000000</f>
        <v>0.24268177751999936</v>
      </c>
      <c r="P192" s="22">
        <f t="shared" si="10"/>
        <v>1.1145168451199994</v>
      </c>
      <c r="Q192" s="10">
        <f>(co2e_g_kwh!N192)/1000000000000</f>
        <v>0</v>
      </c>
      <c r="R192" s="10">
        <f>(co2e_g_kwh!O192)/1000000000000</f>
        <v>0</v>
      </c>
      <c r="S192" s="14">
        <f t="shared" si="11"/>
        <v>5.9456182371626367</v>
      </c>
    </row>
    <row r="193" spans="1:19" x14ac:dyDescent="0.3">
      <c r="A193" s="6">
        <v>192</v>
      </c>
      <c r="B193" s="6">
        <v>2015</v>
      </c>
      <c r="C193" s="6">
        <v>12</v>
      </c>
      <c r="D193" s="10">
        <f>(co2e_g_kwh!D193)/1000000000000</f>
        <v>2.3986096315999877E-2</v>
      </c>
      <c r="E193" s="10">
        <f>(co2e_g_kwh!F193)/1000000000000</f>
        <v>2.6667218421518552E-2</v>
      </c>
      <c r="F193" s="10">
        <f>(co2e_g_kwh!G193)/1000000000000</f>
        <v>6.3855773999999893E-5</v>
      </c>
      <c r="G193" s="10">
        <f>(co2e_g_kwh!K193)/1000000000000</f>
        <v>1.9369706368999991E-2</v>
      </c>
      <c r="H193" s="19">
        <f t="shared" si="8"/>
        <v>7.0086876880518414E-2</v>
      </c>
      <c r="I193" s="10">
        <f>(co2e_g_kwh!E193)/1000000000000</f>
        <v>1.5036816104309947</v>
      </c>
      <c r="J193" s="10">
        <f>(co2e_g_kwh!H193)/1000000000000</f>
        <v>2.7101210760899734</v>
      </c>
      <c r="K193" s="20">
        <f t="shared" si="9"/>
        <v>4.2138026865209683</v>
      </c>
      <c r="L193" s="21">
        <f>(co2e_g_kwh!I193)/1000000000000</f>
        <v>0.70474628832299946</v>
      </c>
      <c r="M193" s="10">
        <f>(co2e_g_kwh!J193)/1000000000000</f>
        <v>0</v>
      </c>
      <c r="N193" s="10">
        <f>(co2e_g_kwh!L193)/1000000000000</f>
        <v>0.76062524580000268</v>
      </c>
      <c r="O193" s="10">
        <f>(co2e_g_kwh!M193)/1000000000000</f>
        <v>0.16925329848000015</v>
      </c>
      <c r="P193" s="22">
        <f t="shared" si="10"/>
        <v>0.92987854428000283</v>
      </c>
      <c r="Q193" s="10">
        <f>(co2e_g_kwh!N193)/1000000000000</f>
        <v>0</v>
      </c>
      <c r="R193" s="10">
        <f>(co2e_g_kwh!O193)/1000000000000</f>
        <v>0</v>
      </c>
      <c r="S193" s="14">
        <f t="shared" si="11"/>
        <v>5.9185143960044888</v>
      </c>
    </row>
    <row r="194" spans="1:19" x14ac:dyDescent="0.3">
      <c r="A194" s="6">
        <v>193</v>
      </c>
      <c r="B194" s="6">
        <v>2016</v>
      </c>
      <c r="C194" s="6">
        <v>1</v>
      </c>
      <c r="D194" s="10">
        <f>(co2e_g_kwh!D194)/1000000000000</f>
        <v>1.1245280259200213E-2</v>
      </c>
      <c r="E194" s="10">
        <f>(co2e_g_kwh!F194)/1000000000000</f>
        <v>1.6529490910763622E-2</v>
      </c>
      <c r="F194" s="10">
        <f>(co2e_g_kwh!G194)/1000000000000</f>
        <v>5.4557024000000066E-5</v>
      </c>
      <c r="G194" s="10">
        <f>(co2e_g_kwh!K194)/1000000000000</f>
        <v>1.9378291660000022E-2</v>
      </c>
      <c r="H194" s="19">
        <f t="shared" si="8"/>
        <v>4.7207619853963857E-2</v>
      </c>
      <c r="I194" s="10">
        <f>(co2e_g_kwh!E194)/1000000000000</f>
        <v>1.2753208508039948</v>
      </c>
      <c r="J194" s="10">
        <f>(co2e_g_kwh!H194)/1000000000000</f>
        <v>2.5458281958060054</v>
      </c>
      <c r="K194" s="20">
        <f t="shared" si="9"/>
        <v>3.8211490466100004</v>
      </c>
      <c r="L194" s="21">
        <f>(co2e_g_kwh!I194)/1000000000000</f>
        <v>0.74393750121180457</v>
      </c>
      <c r="M194" s="10">
        <f>(co2e_g_kwh!J194)/1000000000000</f>
        <v>0</v>
      </c>
      <c r="N194" s="10">
        <f>(co2e_g_kwh!L194)/1000000000000</f>
        <v>0.75420295019999783</v>
      </c>
      <c r="O194" s="10">
        <f>(co2e_g_kwh!M194)/1000000000000</f>
        <v>0.12782960987999972</v>
      </c>
      <c r="P194" s="22">
        <f t="shared" si="10"/>
        <v>0.88203256007999753</v>
      </c>
      <c r="Q194" s="10">
        <f>(co2e_g_kwh!N194)/1000000000000</f>
        <v>0</v>
      </c>
      <c r="R194" s="10">
        <f>(co2e_g_kwh!O194)/1000000000000</f>
        <v>0</v>
      </c>
      <c r="S194" s="14">
        <f t="shared" si="11"/>
        <v>5.4943267277557668</v>
      </c>
    </row>
    <row r="195" spans="1:19" x14ac:dyDescent="0.3">
      <c r="A195" s="6">
        <v>194</v>
      </c>
      <c r="B195" s="6">
        <v>2016</v>
      </c>
      <c r="C195" s="6">
        <v>2</v>
      </c>
      <c r="D195" s="10">
        <f>(co2e_g_kwh!D195)/1000000000000</f>
        <v>1.250133170000034E-2</v>
      </c>
      <c r="E195" s="10">
        <f>(co2e_g_kwh!F195)/1000000000000</f>
        <v>2.2903091938999986E-2</v>
      </c>
      <c r="F195" s="10">
        <f>(co2e_g_kwh!G195)/1000000000000</f>
        <v>6.5620450999999999E-5</v>
      </c>
      <c r="G195" s="10">
        <f>(co2e_g_kwh!K195)/1000000000000</f>
        <v>1.802637486000002E-2</v>
      </c>
      <c r="H195" s="19">
        <f t="shared" ref="H195:H258" si="12">SUM(D195:G195)</f>
        <v>5.3496418950000346E-2</v>
      </c>
      <c r="I195" s="10">
        <f>(co2e_g_kwh!E195)/1000000000000</f>
        <v>1.2794381239639971</v>
      </c>
      <c r="J195" s="10">
        <f>(co2e_g_kwh!H195)/1000000000000</f>
        <v>2.0192455798560074</v>
      </c>
      <c r="K195" s="20">
        <f t="shared" ref="K195:K258" si="13">SUM(I195:J195)</f>
        <v>3.2986837038200045</v>
      </c>
      <c r="L195" s="21">
        <f>(co2e_g_kwh!I195)/1000000000000</f>
        <v>0.76034416928190773</v>
      </c>
      <c r="M195" s="10">
        <f>(co2e_g_kwh!J195)/1000000000000</f>
        <v>0</v>
      </c>
      <c r="N195" s="10">
        <f>(co2e_g_kwh!L195)/1000000000000</f>
        <v>0.50656225065599958</v>
      </c>
      <c r="O195" s="10">
        <f>(co2e_g_kwh!M195)/1000000000000</f>
        <v>6.2188350840000087E-2</v>
      </c>
      <c r="P195" s="22">
        <f t="shared" ref="P195:P258" si="14">SUM(M195:O195)</f>
        <v>0.56875060149599965</v>
      </c>
      <c r="Q195" s="10">
        <f>(co2e_g_kwh!N195)/1000000000000</f>
        <v>0</v>
      </c>
      <c r="R195" s="10">
        <f>(co2e_g_kwh!O195)/1000000000000</f>
        <v>0</v>
      </c>
      <c r="S195" s="14">
        <f t="shared" ref="S195:S258" si="15">D195+E195+F195+G195+I195+J195+L195+M195+N195+O195</f>
        <v>4.6812748935479132</v>
      </c>
    </row>
    <row r="196" spans="1:19" x14ac:dyDescent="0.3">
      <c r="A196" s="6">
        <v>195</v>
      </c>
      <c r="B196" s="6">
        <v>2016</v>
      </c>
      <c r="C196" s="6">
        <v>3</v>
      </c>
      <c r="D196" s="10">
        <f>(co2e_g_kwh!D196)/1000000000000</f>
        <v>1.9239556283999995E-2</v>
      </c>
      <c r="E196" s="10">
        <f>(co2e_g_kwh!F196)/1000000000000</f>
        <v>2.4907636728000129E-2</v>
      </c>
      <c r="F196" s="10">
        <f>(co2e_g_kwh!G196)/1000000000000</f>
        <v>7.178325400000007E-5</v>
      </c>
      <c r="G196" s="10">
        <f>(co2e_g_kwh!K196)/1000000000000</f>
        <v>1.9312627255999991E-2</v>
      </c>
      <c r="H196" s="19">
        <f t="shared" si="12"/>
        <v>6.3531603522000116E-2</v>
      </c>
      <c r="I196" s="10">
        <f>(co2e_g_kwh!E196)/1000000000000</f>
        <v>1.4972064797689999</v>
      </c>
      <c r="J196" s="10">
        <f>(co2e_g_kwh!H196)/1000000000000</f>
        <v>1.659895395263981</v>
      </c>
      <c r="K196" s="20">
        <f t="shared" si="13"/>
        <v>3.1571018750329811</v>
      </c>
      <c r="L196" s="21">
        <f>(co2e_g_kwh!I196)/1000000000000</f>
        <v>0.81194383612018728</v>
      </c>
      <c r="M196" s="10">
        <f>(co2e_g_kwh!J196)/1000000000000</f>
        <v>0</v>
      </c>
      <c r="N196" s="10">
        <f>(co2e_g_kwh!L196)/1000000000000</f>
        <v>0.3150432003599995</v>
      </c>
      <c r="O196" s="10">
        <f>(co2e_g_kwh!M196)/1000000000000</f>
        <v>3.755742983999999E-2</v>
      </c>
      <c r="P196" s="22">
        <f t="shared" si="14"/>
        <v>0.35260063019999949</v>
      </c>
      <c r="Q196" s="10">
        <f>(co2e_g_kwh!N196)/1000000000000</f>
        <v>0</v>
      </c>
      <c r="R196" s="10">
        <f>(co2e_g_kwh!O196)/1000000000000</f>
        <v>0</v>
      </c>
      <c r="S196" s="14">
        <f t="shared" si="15"/>
        <v>4.385177944875168</v>
      </c>
    </row>
    <row r="197" spans="1:19" x14ac:dyDescent="0.3">
      <c r="A197" s="6">
        <v>196</v>
      </c>
      <c r="B197" s="6">
        <v>2016</v>
      </c>
      <c r="C197" s="6">
        <v>4</v>
      </c>
      <c r="D197" s="10">
        <f>(co2e_g_kwh!D197)/1000000000000</f>
        <v>3.2649216236000041E-2</v>
      </c>
      <c r="E197" s="10">
        <f>(co2e_g_kwh!F197)/1000000000000</f>
        <v>2.7843045229999724E-2</v>
      </c>
      <c r="F197" s="10">
        <f>(co2e_g_kwh!G197)/1000000000000</f>
        <v>3.9429451999999988E-5</v>
      </c>
      <c r="G197" s="10">
        <f>(co2e_g_kwh!K197)/1000000000000</f>
        <v>1.8559460842000001E-2</v>
      </c>
      <c r="H197" s="19">
        <f t="shared" si="12"/>
        <v>7.909115175999977E-2</v>
      </c>
      <c r="I197" s="10">
        <f>(co2e_g_kwh!E197)/1000000000000</f>
        <v>1.3996471428940003</v>
      </c>
      <c r="J197" s="10">
        <f>(co2e_g_kwh!H197)/1000000000000</f>
        <v>1.5973614586349985</v>
      </c>
      <c r="K197" s="20">
        <f t="shared" si="13"/>
        <v>2.9970086015289987</v>
      </c>
      <c r="L197" s="21">
        <f>(co2e_g_kwh!I197)/1000000000000</f>
        <v>0.75419292851279995</v>
      </c>
      <c r="M197" s="10">
        <f>(co2e_g_kwh!J197)/1000000000000</f>
        <v>0</v>
      </c>
      <c r="N197" s="10">
        <f>(co2e_g_kwh!L197)/1000000000000</f>
        <v>0.47989285343999732</v>
      </c>
      <c r="O197" s="10">
        <f>(co2e_g_kwh!M197)/1000000000000</f>
        <v>6.1711992719999942E-2</v>
      </c>
      <c r="P197" s="22">
        <f t="shared" si="14"/>
        <v>0.54160484615999727</v>
      </c>
      <c r="Q197" s="10">
        <f>(co2e_g_kwh!N197)/1000000000000</f>
        <v>0</v>
      </c>
      <c r="R197" s="10">
        <f>(co2e_g_kwh!O197)/1000000000000</f>
        <v>0</v>
      </c>
      <c r="S197" s="14">
        <f t="shared" si="15"/>
        <v>4.3718975279617958</v>
      </c>
    </row>
    <row r="198" spans="1:19" x14ac:dyDescent="0.3">
      <c r="A198" s="6">
        <v>197</v>
      </c>
      <c r="B198" s="6">
        <v>2016</v>
      </c>
      <c r="C198" s="6">
        <v>5</v>
      </c>
      <c r="D198" s="10">
        <f>(co2e_g_kwh!D198)/1000000000000</f>
        <v>3.9499427656000077E-2</v>
      </c>
      <c r="E198" s="10">
        <f>(co2e_g_kwh!F198)/1000000000000</f>
        <v>2.9189228146000407E-2</v>
      </c>
      <c r="F198" s="10">
        <f>(co2e_g_kwh!G198)/1000000000000</f>
        <v>4.963799599999995E-5</v>
      </c>
      <c r="G198" s="10">
        <f>(co2e_g_kwh!K198)/1000000000000</f>
        <v>1.9439218578000003E-2</v>
      </c>
      <c r="H198" s="19">
        <f t="shared" si="12"/>
        <v>8.817751237600048E-2</v>
      </c>
      <c r="I198" s="10">
        <f>(co2e_g_kwh!E198)/1000000000000</f>
        <v>1.3332197578700018</v>
      </c>
      <c r="J198" s="10">
        <f>(co2e_g_kwh!H198)/1000000000000</f>
        <v>1.382899328820002</v>
      </c>
      <c r="K198" s="20">
        <f t="shared" si="13"/>
        <v>2.7161190866900036</v>
      </c>
      <c r="L198" s="21">
        <f>(co2e_g_kwh!I198)/1000000000000</f>
        <v>0.72169788507599453</v>
      </c>
      <c r="M198" s="10">
        <f>(co2e_g_kwh!J198)/1000000000000</f>
        <v>0</v>
      </c>
      <c r="N198" s="10">
        <f>(co2e_g_kwh!L198)/1000000000000</f>
        <v>0.25217398919999956</v>
      </c>
      <c r="O198" s="10">
        <f>(co2e_g_kwh!M198)/1000000000000</f>
        <v>9.3490190976000184E-2</v>
      </c>
      <c r="P198" s="22">
        <f t="shared" si="14"/>
        <v>0.34566418017599976</v>
      </c>
      <c r="Q198" s="10">
        <f>(co2e_g_kwh!N198)/1000000000000</f>
        <v>0</v>
      </c>
      <c r="R198" s="10">
        <f>(co2e_g_kwh!O198)/1000000000000</f>
        <v>0</v>
      </c>
      <c r="S198" s="14">
        <f t="shared" si="15"/>
        <v>3.8716586643179984</v>
      </c>
    </row>
    <row r="199" spans="1:19" x14ac:dyDescent="0.3">
      <c r="A199" s="6">
        <v>198</v>
      </c>
      <c r="B199" s="6">
        <v>2016</v>
      </c>
      <c r="C199" s="6">
        <v>6</v>
      </c>
      <c r="D199" s="10">
        <f>(co2e_g_kwh!D199)/1000000000000</f>
        <v>4.1681875975999989E-2</v>
      </c>
      <c r="E199" s="10">
        <f>(co2e_g_kwh!F199)/1000000000000</f>
        <v>3.2898556106000149E-2</v>
      </c>
      <c r="F199" s="10">
        <f>(co2e_g_kwh!G199)/1000000000000</f>
        <v>4.7363553999999975E-5</v>
      </c>
      <c r="G199" s="10">
        <f>(co2e_g_kwh!K199)/1000000000000</f>
        <v>1.6240247074999999E-2</v>
      </c>
      <c r="H199" s="19">
        <f t="shared" si="12"/>
        <v>9.086804271100013E-2</v>
      </c>
      <c r="I199" s="10">
        <f>(co2e_g_kwh!E199)/1000000000000</f>
        <v>1.5881097312080015</v>
      </c>
      <c r="J199" s="10">
        <f>(co2e_g_kwh!H199)/1000000000000</f>
        <v>1.4655014279819998</v>
      </c>
      <c r="K199" s="20">
        <f t="shared" si="13"/>
        <v>3.0536111591900013</v>
      </c>
      <c r="L199" s="21">
        <f>(co2e_g_kwh!I199)/1000000000000</f>
        <v>0.67798510880100205</v>
      </c>
      <c r="M199" s="10">
        <f>(co2e_g_kwh!J199)/1000000000000</f>
        <v>0</v>
      </c>
      <c r="N199" s="10">
        <f>(co2e_g_kwh!L199)/1000000000000</f>
        <v>0.24448875443999951</v>
      </c>
      <c r="O199" s="10">
        <f>(co2e_g_kwh!M199)/1000000000000</f>
        <v>0.11268372779999983</v>
      </c>
      <c r="P199" s="22">
        <f t="shared" si="14"/>
        <v>0.35717248223999931</v>
      </c>
      <c r="Q199" s="10">
        <f>(co2e_g_kwh!N199)/1000000000000</f>
        <v>0</v>
      </c>
      <c r="R199" s="10">
        <f>(co2e_g_kwh!O199)/1000000000000</f>
        <v>0</v>
      </c>
      <c r="S199" s="14">
        <f t="shared" si="15"/>
        <v>4.1796367929420022</v>
      </c>
    </row>
    <row r="200" spans="1:19" x14ac:dyDescent="0.3">
      <c r="A200" s="6">
        <v>199</v>
      </c>
      <c r="B200" s="6">
        <v>2016</v>
      </c>
      <c r="C200" s="6">
        <v>7</v>
      </c>
      <c r="D200" s="10">
        <f>(co2e_g_kwh!D200)/1000000000000</f>
        <v>4.7935561180000183E-2</v>
      </c>
      <c r="E200" s="10">
        <f>(co2e_g_kwh!F200)/1000000000000</f>
        <v>4.0274091728000221E-2</v>
      </c>
      <c r="F200" s="10">
        <f>(co2e_g_kwh!G200)/1000000000000</f>
        <v>5.3813295999999964E-5</v>
      </c>
      <c r="G200" s="10">
        <f>(co2e_g_kwh!K200)/1000000000000</f>
        <v>1.4868698246999991E-2</v>
      </c>
      <c r="H200" s="19">
        <f t="shared" si="12"/>
        <v>0.10313216445100039</v>
      </c>
      <c r="I200" s="10">
        <f>(co2e_g_kwh!E200)/1000000000000</f>
        <v>1.3601518620690074</v>
      </c>
      <c r="J200" s="10">
        <f>(co2e_g_kwh!H200)/1000000000000</f>
        <v>1.4428133990999914</v>
      </c>
      <c r="K200" s="20">
        <f t="shared" si="13"/>
        <v>2.8029652611689988</v>
      </c>
      <c r="L200" s="21">
        <f>(co2e_g_kwh!I200)/1000000000000</f>
        <v>0.69122738481298573</v>
      </c>
      <c r="M200" s="10">
        <f>(co2e_g_kwh!J200)/1000000000000</f>
        <v>0</v>
      </c>
      <c r="N200" s="10">
        <f>(co2e_g_kwh!L200)/1000000000000</f>
        <v>0.13020903923999899</v>
      </c>
      <c r="O200" s="10">
        <f>(co2e_g_kwh!M200)/1000000000000</f>
        <v>0.12812661875999998</v>
      </c>
      <c r="P200" s="22">
        <f t="shared" si="14"/>
        <v>0.25833565799999897</v>
      </c>
      <c r="Q200" s="10">
        <f>(co2e_g_kwh!N200)/1000000000000</f>
        <v>0</v>
      </c>
      <c r="R200" s="10">
        <f>(co2e_g_kwh!O200)/1000000000000</f>
        <v>0</v>
      </c>
      <c r="S200" s="14">
        <f t="shared" si="15"/>
        <v>3.8556604684329843</v>
      </c>
    </row>
    <row r="201" spans="1:19" x14ac:dyDescent="0.3">
      <c r="A201" s="6">
        <v>200</v>
      </c>
      <c r="B201" s="6">
        <v>2016</v>
      </c>
      <c r="C201" s="6">
        <v>8</v>
      </c>
      <c r="D201" s="10">
        <f>(co2e_g_kwh!D201)/1000000000000</f>
        <v>4.5447491700000155E-2</v>
      </c>
      <c r="E201" s="10">
        <f>(co2e_g_kwh!F201)/1000000000000</f>
        <v>4.1135940637999829E-2</v>
      </c>
      <c r="F201" s="10">
        <f>(co2e_g_kwh!G201)/1000000000000</f>
        <v>6.3126020999999962E-5</v>
      </c>
      <c r="G201" s="10">
        <f>(co2e_g_kwh!K201)/1000000000000</f>
        <v>1.9249480458000026E-2</v>
      </c>
      <c r="H201" s="19">
        <f t="shared" si="12"/>
        <v>0.10589603881700001</v>
      </c>
      <c r="I201" s="10">
        <f>(co2e_g_kwh!E201)/1000000000000</f>
        <v>1.2810927919790009</v>
      </c>
      <c r="J201" s="10">
        <f>(co2e_g_kwh!H201)/1000000000000</f>
        <v>1.8592881301259974</v>
      </c>
      <c r="K201" s="20">
        <f t="shared" si="13"/>
        <v>3.1403809221049981</v>
      </c>
      <c r="L201" s="21">
        <f>(co2e_g_kwh!I201)/1000000000000</f>
        <v>0.6841795543379886</v>
      </c>
      <c r="M201" s="10">
        <f>(co2e_g_kwh!J201)/1000000000000</f>
        <v>0</v>
      </c>
      <c r="N201" s="10">
        <f>(co2e_g_kwh!L201)/1000000000000</f>
        <v>0.24037549031999994</v>
      </c>
      <c r="O201" s="10">
        <f>(co2e_g_kwh!M201)/1000000000000</f>
        <v>0.13434442812000039</v>
      </c>
      <c r="P201" s="22">
        <f t="shared" si="14"/>
        <v>0.3747199184400003</v>
      </c>
      <c r="Q201" s="10">
        <f>(co2e_g_kwh!N201)/1000000000000</f>
        <v>0</v>
      </c>
      <c r="R201" s="10">
        <f>(co2e_g_kwh!O201)/1000000000000</f>
        <v>0</v>
      </c>
      <c r="S201" s="14">
        <f t="shared" si="15"/>
        <v>4.3051764336999874</v>
      </c>
    </row>
    <row r="202" spans="1:19" x14ac:dyDescent="0.3">
      <c r="A202" s="6">
        <v>201</v>
      </c>
      <c r="B202" s="6">
        <v>2016</v>
      </c>
      <c r="C202" s="6">
        <v>9</v>
      </c>
      <c r="D202" s="10">
        <f>(co2e_g_kwh!D202)/1000000000000</f>
        <v>4.5946284228000026E-2</v>
      </c>
      <c r="E202" s="10">
        <f>(co2e_g_kwh!F202)/1000000000000</f>
        <v>4.3244826819999846E-2</v>
      </c>
      <c r="F202" s="10">
        <f>(co2e_g_kwh!G202)/1000000000000</f>
        <v>6.754353999999997E-5</v>
      </c>
      <c r="G202" s="10">
        <f>(co2e_g_kwh!K202)/1000000000000</f>
        <v>1.8894598463000005E-2</v>
      </c>
      <c r="H202" s="19">
        <f t="shared" si="12"/>
        <v>0.10815325305099988</v>
      </c>
      <c r="I202" s="10">
        <f>(co2e_g_kwh!E202)/1000000000000</f>
        <v>1.1938523566969983</v>
      </c>
      <c r="J202" s="10">
        <f>(co2e_g_kwh!H202)/1000000000000</f>
        <v>1.9939105757879927</v>
      </c>
      <c r="K202" s="20">
        <f t="shared" si="13"/>
        <v>3.1877629324849908</v>
      </c>
      <c r="L202" s="21">
        <f>(co2e_g_kwh!I202)/1000000000000</f>
        <v>0.64988067060000332</v>
      </c>
      <c r="M202" s="10">
        <f>(co2e_g_kwh!J202)/1000000000000</f>
        <v>0</v>
      </c>
      <c r="N202" s="10">
        <f>(co2e_g_kwh!L202)/1000000000000</f>
        <v>0.35682587976000024</v>
      </c>
      <c r="O202" s="10">
        <f>(co2e_g_kwh!M202)/1000000000000</f>
        <v>0.12396734111999985</v>
      </c>
      <c r="P202" s="22">
        <f t="shared" si="14"/>
        <v>0.48079322088000009</v>
      </c>
      <c r="Q202" s="10">
        <f>(co2e_g_kwh!N202)/1000000000000</f>
        <v>0</v>
      </c>
      <c r="R202" s="10">
        <f>(co2e_g_kwh!O202)/1000000000000</f>
        <v>0</v>
      </c>
      <c r="S202" s="14">
        <f t="shared" si="15"/>
        <v>4.4265900770159954</v>
      </c>
    </row>
    <row r="203" spans="1:19" x14ac:dyDescent="0.3">
      <c r="A203" s="6">
        <v>202</v>
      </c>
      <c r="B203" s="6">
        <v>2016</v>
      </c>
      <c r="C203" s="6">
        <v>10</v>
      </c>
      <c r="D203" s="10">
        <f>(co2e_g_kwh!D203)/1000000000000</f>
        <v>4.3666341217200165E-2</v>
      </c>
      <c r="E203" s="10">
        <f>(co2e_g_kwh!F203)/1000000000000</f>
        <v>4.4164473872999883E-2</v>
      </c>
      <c r="F203" s="10">
        <f>(co2e_g_kwh!G203)/1000000000000</f>
        <v>7.0686409999999914E-5</v>
      </c>
      <c r="G203" s="10">
        <f>(co2e_g_kwh!K203)/1000000000000</f>
        <v>1.9438082105000028E-2</v>
      </c>
      <c r="H203" s="19">
        <f t="shared" si="12"/>
        <v>0.10733958360520009</v>
      </c>
      <c r="I203" s="10">
        <f>(co2e_g_kwh!E203)/1000000000000</f>
        <v>1.0274381657540019</v>
      </c>
      <c r="J203" s="10">
        <f>(co2e_g_kwh!H203)/1000000000000</f>
        <v>2.2733313872111625</v>
      </c>
      <c r="K203" s="20">
        <f t="shared" si="13"/>
        <v>3.3007695529651642</v>
      </c>
      <c r="L203" s="21">
        <f>(co2e_g_kwh!I203)/1000000000000</f>
        <v>0.67634353308898976</v>
      </c>
      <c r="M203" s="10">
        <f>(co2e_g_kwh!J203)/1000000000000</f>
        <v>0</v>
      </c>
      <c r="N203" s="10">
        <f>(co2e_g_kwh!L203)/1000000000000</f>
        <v>0.48405281400000033</v>
      </c>
      <c r="O203" s="10">
        <f>(co2e_g_kwh!M203)/1000000000000</f>
        <v>9.1703305679999833E-2</v>
      </c>
      <c r="P203" s="22">
        <f t="shared" si="14"/>
        <v>0.57575611968000018</v>
      </c>
      <c r="Q203" s="10">
        <f>(co2e_g_kwh!N203)/1000000000000</f>
        <v>0</v>
      </c>
      <c r="R203" s="10">
        <f>(co2e_g_kwh!O203)/1000000000000</f>
        <v>0</v>
      </c>
      <c r="S203" s="14">
        <f t="shared" si="15"/>
        <v>4.6602087893393538</v>
      </c>
    </row>
    <row r="204" spans="1:19" x14ac:dyDescent="0.3">
      <c r="A204" s="6">
        <v>203</v>
      </c>
      <c r="B204" s="6">
        <v>2016</v>
      </c>
      <c r="C204" s="6">
        <v>11</v>
      </c>
      <c r="D204" s="10">
        <f>(co2e_g_kwh!D204)/1000000000000</f>
        <v>3.5969001619200074E-2</v>
      </c>
      <c r="E204" s="10">
        <f>(co2e_g_kwh!F204)/1000000000000</f>
        <v>3.991222169999939E-2</v>
      </c>
      <c r="F204" s="10">
        <f>(co2e_g_kwh!G204)/1000000000000</f>
        <v>6.6776075999999993E-5</v>
      </c>
      <c r="G204" s="10">
        <f>(co2e_g_kwh!K204)/1000000000000</f>
        <v>1.1238703866000021E-2</v>
      </c>
      <c r="H204" s="19">
        <f t="shared" si="12"/>
        <v>8.7186703261199497E-2</v>
      </c>
      <c r="I204" s="10">
        <f>(co2e_g_kwh!E204)/1000000000000</f>
        <v>1.3218800164570048</v>
      </c>
      <c r="J204" s="10">
        <f>(co2e_g_kwh!H204)/1000000000000</f>
        <v>2.286972793296008</v>
      </c>
      <c r="K204" s="20">
        <f t="shared" si="13"/>
        <v>3.6088528097530128</v>
      </c>
      <c r="L204" s="21">
        <f>(co2e_g_kwh!I204)/1000000000000</f>
        <v>0.67375111645799801</v>
      </c>
      <c r="M204" s="10">
        <f>(co2e_g_kwh!J204)/1000000000000</f>
        <v>0</v>
      </c>
      <c r="N204" s="10">
        <f>(co2e_g_kwh!L204)/1000000000000</f>
        <v>0.38590941227999959</v>
      </c>
      <c r="O204" s="10">
        <f>(co2e_g_kwh!M204)/1000000000000</f>
        <v>8.0515133916000015E-2</v>
      </c>
      <c r="P204" s="22">
        <f t="shared" si="14"/>
        <v>0.4664245461959996</v>
      </c>
      <c r="Q204" s="10">
        <f>(co2e_g_kwh!N204)/1000000000000</f>
        <v>0</v>
      </c>
      <c r="R204" s="10">
        <f>(co2e_g_kwh!O204)/1000000000000</f>
        <v>0</v>
      </c>
      <c r="S204" s="14">
        <f t="shared" si="15"/>
        <v>4.8362151756682099</v>
      </c>
    </row>
    <row r="205" spans="1:19" x14ac:dyDescent="0.3">
      <c r="A205" s="6">
        <v>204</v>
      </c>
      <c r="B205" s="6">
        <v>2016</v>
      </c>
      <c r="C205" s="6">
        <v>12</v>
      </c>
      <c r="D205" s="10">
        <f>(co2e_g_kwh!D205)/1000000000000</f>
        <v>2.3017860200400024E-2</v>
      </c>
      <c r="E205" s="10">
        <f>(co2e_g_kwh!F205)/1000000000000</f>
        <v>3.6505948622000045E-2</v>
      </c>
      <c r="F205" s="10">
        <f>(co2e_g_kwh!G205)/1000000000000</f>
        <v>5.9903772999999946E-5</v>
      </c>
      <c r="G205" s="10">
        <f>(co2e_g_kwh!K205)/1000000000000</f>
        <v>1.1464052378999988E-2</v>
      </c>
      <c r="H205" s="19">
        <f t="shared" si="12"/>
        <v>7.104776497440006E-2</v>
      </c>
      <c r="I205" s="10">
        <f>(co2e_g_kwh!E205)/1000000000000</f>
        <v>1.0856684228389974</v>
      </c>
      <c r="J205" s="10">
        <f>(co2e_g_kwh!H205)/1000000000000</f>
        <v>1.7070629224139935</v>
      </c>
      <c r="K205" s="20">
        <f t="shared" si="13"/>
        <v>2.7927313452529909</v>
      </c>
      <c r="L205" s="21">
        <f>(co2e_g_kwh!I205)/1000000000000</f>
        <v>0.76457408269198734</v>
      </c>
      <c r="M205" s="10">
        <f>(co2e_g_kwh!J205)/1000000000000</f>
        <v>0</v>
      </c>
      <c r="N205" s="10">
        <f>(co2e_g_kwh!L205)/1000000000000</f>
        <v>0.29228393039999839</v>
      </c>
      <c r="O205" s="10">
        <f>(co2e_g_kwh!M205)/1000000000000</f>
        <v>5.7612091319999975E-2</v>
      </c>
      <c r="P205" s="22">
        <f t="shared" si="14"/>
        <v>0.34989602171999834</v>
      </c>
      <c r="Q205" s="10">
        <f>(co2e_g_kwh!N205)/1000000000000</f>
        <v>0</v>
      </c>
      <c r="R205" s="10">
        <f>(co2e_g_kwh!O205)/1000000000000</f>
        <v>0</v>
      </c>
      <c r="S205" s="14">
        <f t="shared" si="15"/>
        <v>3.978249214639376</v>
      </c>
    </row>
    <row r="206" spans="1:19" x14ac:dyDescent="0.3">
      <c r="A206" s="6">
        <v>205</v>
      </c>
      <c r="B206" s="6">
        <v>2017</v>
      </c>
      <c r="C206" s="6">
        <v>1</v>
      </c>
      <c r="D206" s="10">
        <f>(co2e_g_kwh!D206)/1000000000000</f>
        <v>1.613463498920005E-2</v>
      </c>
      <c r="E206" s="10">
        <f>(co2e_g_kwh!F206)/1000000000000</f>
        <v>3.449732336700017E-2</v>
      </c>
      <c r="F206" s="10">
        <f>(co2e_g_kwh!G206)/1000000000000</f>
        <v>6.7516836999999931E-5</v>
      </c>
      <c r="G206" s="10">
        <f>(co2e_g_kwh!K206)/1000000000000</f>
        <v>1.8724333666999972E-2</v>
      </c>
      <c r="H206" s="19">
        <f t="shared" si="12"/>
        <v>6.9423808860200192E-2</v>
      </c>
      <c r="I206" s="10">
        <f>(co2e_g_kwh!E206)/1000000000000</f>
        <v>0.88651800036799955</v>
      </c>
      <c r="J206" s="10">
        <f>(co2e_g_kwh!H206)/1000000000000</f>
        <v>1.6032912454800006</v>
      </c>
      <c r="K206" s="20">
        <f t="shared" si="13"/>
        <v>2.4898092458479999</v>
      </c>
      <c r="L206" s="21">
        <f>(co2e_g_kwh!I206)/1000000000000</f>
        <v>0.83358826097398719</v>
      </c>
      <c r="M206" s="10">
        <f>(co2e_g_kwh!J206)/1000000000000</f>
        <v>0</v>
      </c>
      <c r="N206" s="10">
        <f>(co2e_g_kwh!L206)/1000000000000</f>
        <v>0.29751539999999982</v>
      </c>
      <c r="O206" s="10">
        <f>(co2e_g_kwh!M206)/1000000000000</f>
        <v>2.6005339919999985E-2</v>
      </c>
      <c r="P206" s="22">
        <f t="shared" si="14"/>
        <v>0.3235207399199998</v>
      </c>
      <c r="Q206" s="10">
        <f>(co2e_g_kwh!N206)/1000000000000</f>
        <v>0</v>
      </c>
      <c r="R206" s="10">
        <f>(co2e_g_kwh!O206)/1000000000000</f>
        <v>0</v>
      </c>
      <c r="S206" s="14">
        <f t="shared" si="15"/>
        <v>3.7163420556021878</v>
      </c>
    </row>
    <row r="207" spans="1:19" x14ac:dyDescent="0.3">
      <c r="A207" s="6">
        <v>206</v>
      </c>
      <c r="B207" s="6">
        <v>2017</v>
      </c>
      <c r="C207" s="6">
        <v>2</v>
      </c>
      <c r="D207" s="10">
        <f>(co2e_g_kwh!D207)/1000000000000</f>
        <v>1.3301604003999995E-2</v>
      </c>
      <c r="E207" s="10">
        <f>(co2e_g_kwh!F207)/1000000000000</f>
        <v>2.660521760000013E-2</v>
      </c>
      <c r="F207" s="10">
        <f>(co2e_g_kwh!G207)/1000000000000</f>
        <v>5.8301291999999948E-5</v>
      </c>
      <c r="G207" s="10">
        <f>(co2e_g_kwh!K207)/1000000000000</f>
        <v>1.5574258193000005E-2</v>
      </c>
      <c r="H207" s="19">
        <f t="shared" si="12"/>
        <v>5.5539381089000125E-2</v>
      </c>
      <c r="I207" s="10">
        <f>(co2e_g_kwh!E207)/1000000000000</f>
        <v>0.9063677262639972</v>
      </c>
      <c r="J207" s="10">
        <f>(co2e_g_kwh!H207)/1000000000000</f>
        <v>1.3524258705659937</v>
      </c>
      <c r="K207" s="20">
        <f t="shared" si="13"/>
        <v>2.258793596829991</v>
      </c>
      <c r="L207" s="21">
        <f>(co2e_g_kwh!I207)/1000000000000</f>
        <v>0.79102457794499403</v>
      </c>
      <c r="M207" s="10">
        <f>(co2e_g_kwh!J207)/1000000000000</f>
        <v>0</v>
      </c>
      <c r="N207" s="10">
        <f>(co2e_g_kwh!L207)/1000000000000</f>
        <v>0.22578308894399826</v>
      </c>
      <c r="O207" s="10">
        <f>(co2e_g_kwh!M207)/1000000000000</f>
        <v>2.4124490040000009E-2</v>
      </c>
      <c r="P207" s="22">
        <f t="shared" si="14"/>
        <v>0.24990757898399826</v>
      </c>
      <c r="Q207" s="10">
        <f>(co2e_g_kwh!N207)/1000000000000</f>
        <v>0</v>
      </c>
      <c r="R207" s="10">
        <f>(co2e_g_kwh!O207)/1000000000000</f>
        <v>0</v>
      </c>
      <c r="S207" s="14">
        <f t="shared" si="15"/>
        <v>3.3552651348479832</v>
      </c>
    </row>
    <row r="208" spans="1:19" x14ac:dyDescent="0.3">
      <c r="A208" s="6">
        <v>207</v>
      </c>
      <c r="B208" s="6">
        <v>2017</v>
      </c>
      <c r="C208" s="6">
        <v>3</v>
      </c>
      <c r="D208" s="10">
        <f>(co2e_g_kwh!D208)/1000000000000</f>
        <v>1.991007106400005E-2</v>
      </c>
      <c r="E208" s="10">
        <f>(co2e_g_kwh!F208)/1000000000000</f>
        <v>2.5297292488000077E-2</v>
      </c>
      <c r="F208" s="10">
        <f>(co2e_g_kwh!G208)/1000000000000</f>
        <v>5.101034099999996E-5</v>
      </c>
      <c r="G208" s="10">
        <f>(co2e_g_kwh!K208)/1000000000000</f>
        <v>1.7174971723000001E-2</v>
      </c>
      <c r="H208" s="19">
        <f t="shared" si="12"/>
        <v>6.2433345616000127E-2</v>
      </c>
      <c r="I208" s="10">
        <f>(co2e_g_kwh!E208)/1000000000000</f>
        <v>1.2568609453400026</v>
      </c>
      <c r="J208" s="10">
        <f>(co2e_g_kwh!H208)/1000000000000</f>
        <v>1.7715861277559928</v>
      </c>
      <c r="K208" s="20">
        <f t="shared" si="13"/>
        <v>3.0284470730959954</v>
      </c>
      <c r="L208" s="21">
        <f>(co2e_g_kwh!I208)/1000000000000</f>
        <v>0.83998298808898075</v>
      </c>
      <c r="M208" s="10">
        <f>(co2e_g_kwh!J208)/1000000000000</f>
        <v>0</v>
      </c>
      <c r="N208" s="10">
        <f>(co2e_g_kwh!L208)/1000000000000</f>
        <v>0.48048427559999957</v>
      </c>
      <c r="O208" s="10">
        <f>(co2e_g_kwh!M208)/1000000000000</f>
        <v>7.4298162960000011E-2</v>
      </c>
      <c r="P208" s="22">
        <f t="shared" si="14"/>
        <v>0.55478243855999954</v>
      </c>
      <c r="Q208" s="10">
        <f>(co2e_g_kwh!N208)/1000000000000</f>
        <v>0</v>
      </c>
      <c r="R208" s="10">
        <f>(co2e_g_kwh!O208)/1000000000000</f>
        <v>0</v>
      </c>
      <c r="S208" s="14">
        <f t="shared" si="15"/>
        <v>4.4856458453609758</v>
      </c>
    </row>
    <row r="209" spans="1:19" x14ac:dyDescent="0.3">
      <c r="A209" s="6">
        <v>208</v>
      </c>
      <c r="B209" s="6">
        <v>2017</v>
      </c>
      <c r="C209" s="6">
        <v>4</v>
      </c>
      <c r="D209" s="10">
        <f>(co2e_g_kwh!D209)/1000000000000</f>
        <v>3.2029604516000142E-2</v>
      </c>
      <c r="E209" s="10">
        <f>(co2e_g_kwh!F209)/1000000000000</f>
        <v>3.1756946598000067E-2</v>
      </c>
      <c r="F209" s="10">
        <f>(co2e_g_kwh!G209)/1000000000000</f>
        <v>5.0256851999999992E-5</v>
      </c>
      <c r="G209" s="10">
        <f>(co2e_g_kwh!K209)/1000000000000</f>
        <v>1.8703412156000018E-2</v>
      </c>
      <c r="H209" s="19">
        <f t="shared" si="12"/>
        <v>8.2540220122000227E-2</v>
      </c>
      <c r="I209" s="10">
        <f>(co2e_g_kwh!E209)/1000000000000</f>
        <v>1.1695848474309973</v>
      </c>
      <c r="J209" s="10">
        <f>(co2e_g_kwh!H209)/1000000000000</f>
        <v>2.0659242337739974</v>
      </c>
      <c r="K209" s="20">
        <f t="shared" si="13"/>
        <v>3.2355090812049947</v>
      </c>
      <c r="L209" s="21">
        <f>(co2e_g_kwh!I209)/1000000000000</f>
        <v>0.70011906463799389</v>
      </c>
      <c r="M209" s="10">
        <f>(co2e_g_kwh!J209)/1000000000000</f>
        <v>0</v>
      </c>
      <c r="N209" s="10">
        <f>(co2e_g_kwh!L209)/1000000000000</f>
        <v>0.19125689100000015</v>
      </c>
      <c r="O209" s="10">
        <f>(co2e_g_kwh!M209)/1000000000000</f>
        <v>0.12434541251999998</v>
      </c>
      <c r="P209" s="22">
        <f t="shared" si="14"/>
        <v>0.31560230352000013</v>
      </c>
      <c r="Q209" s="10">
        <f>(co2e_g_kwh!N209)/1000000000000</f>
        <v>0</v>
      </c>
      <c r="R209" s="10">
        <f>(co2e_g_kwh!O209)/1000000000000</f>
        <v>0</v>
      </c>
      <c r="S209" s="14">
        <f t="shared" si="15"/>
        <v>4.3337706694849887</v>
      </c>
    </row>
    <row r="210" spans="1:19" x14ac:dyDescent="0.3">
      <c r="A210" s="6">
        <v>209</v>
      </c>
      <c r="B210" s="6">
        <v>2017</v>
      </c>
      <c r="C210" s="6">
        <v>5</v>
      </c>
      <c r="D210" s="10">
        <f>(co2e_g_kwh!D210)/1000000000000</f>
        <v>4.1480530520000114E-2</v>
      </c>
      <c r="E210" s="10">
        <f>(co2e_g_kwh!F210)/1000000000000</f>
        <v>3.4032249172999719E-2</v>
      </c>
      <c r="F210" s="10">
        <f>(co2e_g_kwh!G210)/1000000000000</f>
        <v>2.4932281500000033E-4</v>
      </c>
      <c r="G210" s="10">
        <f>(co2e_g_kwh!K210)/1000000000000</f>
        <v>1.8425299932000001E-2</v>
      </c>
      <c r="H210" s="19">
        <f t="shared" si="12"/>
        <v>9.4187402439999818E-2</v>
      </c>
      <c r="I210" s="10">
        <f>(co2e_g_kwh!E210)/1000000000000</f>
        <v>1.2731214145649987</v>
      </c>
      <c r="J210" s="10">
        <f>(co2e_g_kwh!H210)/1000000000000</f>
        <v>2.0701245786353981</v>
      </c>
      <c r="K210" s="20">
        <f t="shared" si="13"/>
        <v>3.3432459932003971</v>
      </c>
      <c r="L210" s="21">
        <f>(co2e_g_kwh!I210)/1000000000000</f>
        <v>0.69938065411200678</v>
      </c>
      <c r="M210" s="10">
        <f>(co2e_g_kwh!J210)/1000000000000</f>
        <v>0</v>
      </c>
      <c r="N210" s="10">
        <f>(co2e_g_kwh!L210)/1000000000000</f>
        <v>0.20549588219999912</v>
      </c>
      <c r="O210" s="10">
        <f>(co2e_g_kwh!M210)/1000000000000</f>
        <v>0.14681043299999921</v>
      </c>
      <c r="P210" s="22">
        <f t="shared" si="14"/>
        <v>0.35230631519999833</v>
      </c>
      <c r="Q210" s="10">
        <f>(co2e_g_kwh!N210)/1000000000000</f>
        <v>0</v>
      </c>
      <c r="R210" s="10">
        <f>(co2e_g_kwh!O210)/1000000000000</f>
        <v>0</v>
      </c>
      <c r="S210" s="14">
        <f t="shared" si="15"/>
        <v>4.4891203649524014</v>
      </c>
    </row>
    <row r="211" spans="1:19" x14ac:dyDescent="0.3">
      <c r="A211" s="6">
        <v>210</v>
      </c>
      <c r="B211" s="6">
        <v>2017</v>
      </c>
      <c r="C211" s="6">
        <v>6</v>
      </c>
      <c r="D211" s="10">
        <f>(co2e_g_kwh!D211)/1000000000000</f>
        <v>4.7948895851999893E-2</v>
      </c>
      <c r="E211" s="10">
        <f>(co2e_g_kwh!F211)/1000000000000</f>
        <v>4.1678384734999942E-2</v>
      </c>
      <c r="F211" s="10">
        <f>(co2e_g_kwh!G211)/1000000000000</f>
        <v>1.0908647209999991E-3</v>
      </c>
      <c r="G211" s="10">
        <f>(co2e_g_kwh!K211)/1000000000000</f>
        <v>1.6364170381E-2</v>
      </c>
      <c r="H211" s="19">
        <f t="shared" si="12"/>
        <v>0.10708231568899984</v>
      </c>
      <c r="I211" s="10">
        <f>(co2e_g_kwh!E211)/1000000000000</f>
        <v>1.0433934571059993</v>
      </c>
      <c r="J211" s="10">
        <f>(co2e_g_kwh!H211)/1000000000000</f>
        <v>1.5269014126439977</v>
      </c>
      <c r="K211" s="20">
        <f t="shared" si="13"/>
        <v>2.570294869749997</v>
      </c>
      <c r="L211" s="21">
        <f>(co2e_g_kwh!I211)/1000000000000</f>
        <v>0.67360493638200825</v>
      </c>
      <c r="M211" s="10">
        <f>(co2e_g_kwh!J211)/1000000000000</f>
        <v>0</v>
      </c>
      <c r="N211" s="10">
        <f>(co2e_g_kwh!L211)/1000000000000</f>
        <v>0.17594963483999998</v>
      </c>
      <c r="O211" s="10">
        <f>(co2e_g_kwh!M211)/1000000000000</f>
        <v>0.13631245740000006</v>
      </c>
      <c r="P211" s="22">
        <f t="shared" si="14"/>
        <v>0.31226209224000001</v>
      </c>
      <c r="Q211" s="10">
        <f>(co2e_g_kwh!N211)/1000000000000</f>
        <v>0</v>
      </c>
      <c r="R211" s="10">
        <f>(co2e_g_kwh!O211)/1000000000000</f>
        <v>0</v>
      </c>
      <c r="S211" s="14">
        <f t="shared" si="15"/>
        <v>3.6632442140610046</v>
      </c>
    </row>
    <row r="212" spans="1:19" x14ac:dyDescent="0.3">
      <c r="A212" s="6">
        <v>211</v>
      </c>
      <c r="B212" s="6">
        <v>2017</v>
      </c>
      <c r="C212" s="6">
        <v>7</v>
      </c>
      <c r="D212" s="10">
        <f>(co2e_g_kwh!D212)/1000000000000</f>
        <v>5.7181743892000245E-2</v>
      </c>
      <c r="E212" s="10">
        <f>(co2e_g_kwh!F212)/1000000000000</f>
        <v>5.1113982322000436E-2</v>
      </c>
      <c r="F212" s="10">
        <f>(co2e_g_kwh!G212)/1000000000000</f>
        <v>1.6742628779999969E-3</v>
      </c>
      <c r="G212" s="10">
        <f>(co2e_g_kwh!K212)/1000000000000</f>
        <v>1.8503722847999986E-2</v>
      </c>
      <c r="H212" s="19">
        <f t="shared" si="12"/>
        <v>0.12847371194000068</v>
      </c>
      <c r="I212" s="10">
        <f>(co2e_g_kwh!E212)/1000000000000</f>
        <v>1.1875306042600022</v>
      </c>
      <c r="J212" s="10">
        <f>(co2e_g_kwh!H212)/1000000000000</f>
        <v>2.3852730632760011</v>
      </c>
      <c r="K212" s="20">
        <f t="shared" si="13"/>
        <v>3.5728036675360033</v>
      </c>
      <c r="L212" s="21">
        <f>(co2e_g_kwh!I212)/1000000000000</f>
        <v>0.61070508315598115</v>
      </c>
      <c r="M212" s="10">
        <f>(co2e_g_kwh!J212)/1000000000000</f>
        <v>0</v>
      </c>
      <c r="N212" s="10">
        <f>(co2e_g_kwh!L212)/1000000000000</f>
        <v>0.15491459003999994</v>
      </c>
      <c r="O212" s="10">
        <f>(co2e_g_kwh!M212)/1000000000000</f>
        <v>0.16560821675999937</v>
      </c>
      <c r="P212" s="22">
        <f t="shared" si="14"/>
        <v>0.32052280679999934</v>
      </c>
      <c r="Q212" s="10">
        <f>(co2e_g_kwh!N212)/1000000000000</f>
        <v>0</v>
      </c>
      <c r="R212" s="10">
        <f>(co2e_g_kwh!O212)/1000000000000</f>
        <v>0</v>
      </c>
      <c r="S212" s="14">
        <f t="shared" si="15"/>
        <v>4.6325052694319844</v>
      </c>
    </row>
    <row r="213" spans="1:19" x14ac:dyDescent="0.3">
      <c r="A213" s="6">
        <v>212</v>
      </c>
      <c r="B213" s="6">
        <v>2017</v>
      </c>
      <c r="C213" s="6">
        <v>8</v>
      </c>
      <c r="D213" s="10">
        <f>(co2e_g_kwh!D213)/1000000000000</f>
        <v>5.1942318011999659E-2</v>
      </c>
      <c r="E213" s="10">
        <f>(co2e_g_kwh!F213)/1000000000000</f>
        <v>5.4230270198000315E-2</v>
      </c>
      <c r="F213" s="10">
        <f>(co2e_g_kwh!G213)/1000000000000</f>
        <v>2.2250742590000025E-3</v>
      </c>
      <c r="G213" s="10">
        <f>(co2e_g_kwh!K213)/1000000000000</f>
        <v>1.6620282340999978E-2</v>
      </c>
      <c r="H213" s="19">
        <f t="shared" si="12"/>
        <v>0.12501794480999995</v>
      </c>
      <c r="I213" s="10">
        <f>(co2e_g_kwh!E213)/1000000000000</f>
        <v>1.367219627774003</v>
      </c>
      <c r="J213" s="10">
        <f>(co2e_g_kwh!H213)/1000000000000</f>
        <v>2.9264463153360043</v>
      </c>
      <c r="K213" s="20">
        <f t="shared" si="13"/>
        <v>4.2936659431100068</v>
      </c>
      <c r="L213" s="21">
        <f>(co2e_g_kwh!I213)/1000000000000</f>
        <v>0.58940535234000591</v>
      </c>
      <c r="M213" s="10">
        <f>(co2e_g_kwh!J213)/1000000000000</f>
        <v>0</v>
      </c>
      <c r="N213" s="10">
        <f>(co2e_g_kwh!L213)/1000000000000</f>
        <v>0.94191839195999283</v>
      </c>
      <c r="O213" s="10">
        <f>(co2e_g_kwh!M213)/1000000000000</f>
        <v>0.27932466147599988</v>
      </c>
      <c r="P213" s="22">
        <f t="shared" si="14"/>
        <v>1.2212430534359928</v>
      </c>
      <c r="Q213" s="10">
        <f>(co2e_g_kwh!N213)/1000000000000</f>
        <v>0</v>
      </c>
      <c r="R213" s="10">
        <f>(co2e_g_kwh!O213)/1000000000000</f>
        <v>0</v>
      </c>
      <c r="S213" s="14">
        <f t="shared" si="15"/>
        <v>6.2293322936960065</v>
      </c>
    </row>
    <row r="214" spans="1:19" x14ac:dyDescent="0.3">
      <c r="A214" s="6">
        <v>213</v>
      </c>
      <c r="B214" s="6">
        <v>2017</v>
      </c>
      <c r="C214" s="6">
        <v>9</v>
      </c>
      <c r="D214" s="10">
        <f>(co2e_g_kwh!D214)/1000000000000</f>
        <v>5.5922473099999974E-2</v>
      </c>
      <c r="E214" s="10">
        <f>(co2e_g_kwh!F214)/1000000000000</f>
        <v>6.2687450761000088E-2</v>
      </c>
      <c r="F214" s="10">
        <f>(co2e_g_kwh!G214)/1000000000000</f>
        <v>2.8634600419999981E-3</v>
      </c>
      <c r="G214" s="10">
        <f>(co2e_g_kwh!K214)/1000000000000</f>
        <v>1.2735712587000004E-2</v>
      </c>
      <c r="H214" s="19">
        <f t="shared" si="12"/>
        <v>0.13420909649000007</v>
      </c>
      <c r="I214" s="10">
        <f>(co2e_g_kwh!E214)/1000000000000</f>
        <v>1.2828926930820024</v>
      </c>
      <c r="J214" s="10">
        <f>(co2e_g_kwh!H214)/1000000000000</f>
        <v>2.7645055088400032</v>
      </c>
      <c r="K214" s="20">
        <f t="shared" si="13"/>
        <v>4.0473982019220056</v>
      </c>
      <c r="L214" s="21">
        <f>(co2e_g_kwh!I214)/1000000000000</f>
        <v>0.58531308916500036</v>
      </c>
      <c r="M214" s="10">
        <f>(co2e_g_kwh!J214)/1000000000000</f>
        <v>0</v>
      </c>
      <c r="N214" s="10">
        <f>(co2e_g_kwh!L214)/1000000000000</f>
        <v>0.94551408067199916</v>
      </c>
      <c r="O214" s="10">
        <f>(co2e_g_kwh!M214)/1000000000000</f>
        <v>0.28945796543999969</v>
      </c>
      <c r="P214" s="22">
        <f t="shared" si="14"/>
        <v>1.2349720461119988</v>
      </c>
      <c r="Q214" s="10">
        <f>(co2e_g_kwh!N214)/1000000000000</f>
        <v>0</v>
      </c>
      <c r="R214" s="10">
        <f>(co2e_g_kwh!O214)/1000000000000</f>
        <v>0</v>
      </c>
      <c r="S214" s="14">
        <f t="shared" si="15"/>
        <v>6.0018924336890045</v>
      </c>
    </row>
    <row r="215" spans="1:19" x14ac:dyDescent="0.3">
      <c r="A215" s="6">
        <v>214</v>
      </c>
      <c r="B215" s="6">
        <v>2017</v>
      </c>
      <c r="C215" s="6">
        <v>10</v>
      </c>
      <c r="D215" s="10">
        <f>(co2e_g_kwh!D215)/1000000000000</f>
        <v>5.008476548400019E-2</v>
      </c>
      <c r="E215" s="10">
        <f>(co2e_g_kwh!F215)/1000000000000</f>
        <v>6.0656519664000076E-2</v>
      </c>
      <c r="F215" s="10">
        <f>(co2e_g_kwh!G215)/1000000000000</f>
        <v>5.850409376000008E-3</v>
      </c>
      <c r="G215" s="10">
        <f>(co2e_g_kwh!K215)/1000000000000</f>
        <v>1.5418663390000005E-2</v>
      </c>
      <c r="H215" s="19">
        <f t="shared" si="12"/>
        <v>0.13201035791400029</v>
      </c>
      <c r="I215" s="10">
        <f>(co2e_g_kwh!E215)/1000000000000</f>
        <v>1.6028069607550026</v>
      </c>
      <c r="J215" s="10">
        <f>(co2e_g_kwh!H215)/1000000000000</f>
        <v>2.9665621326599996</v>
      </c>
      <c r="K215" s="20">
        <f t="shared" si="13"/>
        <v>4.569369093415002</v>
      </c>
      <c r="L215" s="21">
        <f>(co2e_g_kwh!I215)/1000000000000</f>
        <v>0.61397975956798678</v>
      </c>
      <c r="M215" s="10">
        <f>(co2e_g_kwh!J215)/1000000000000</f>
        <v>0</v>
      </c>
      <c r="N215" s="10">
        <f>(co2e_g_kwh!L215)/1000000000000</f>
        <v>1.0604951582400031</v>
      </c>
      <c r="O215" s="10">
        <f>(co2e_g_kwh!M215)/1000000000000</f>
        <v>0.3396348563999998</v>
      </c>
      <c r="P215" s="22">
        <f t="shared" si="14"/>
        <v>1.4001300146400029</v>
      </c>
      <c r="Q215" s="10">
        <f>(co2e_g_kwh!N215)/1000000000000</f>
        <v>0</v>
      </c>
      <c r="R215" s="10">
        <f>(co2e_g_kwh!O215)/1000000000000</f>
        <v>0</v>
      </c>
      <c r="S215" s="14">
        <f t="shared" si="15"/>
        <v>6.7154892255369916</v>
      </c>
    </row>
    <row r="216" spans="1:19" x14ac:dyDescent="0.3">
      <c r="A216" s="6">
        <v>215</v>
      </c>
      <c r="B216" s="6">
        <v>2017</v>
      </c>
      <c r="C216" s="6">
        <v>11</v>
      </c>
      <c r="D216" s="10">
        <f>(co2e_g_kwh!D216)/1000000000000</f>
        <v>4.3326384711999628E-2</v>
      </c>
      <c r="E216" s="10">
        <f>(co2e_g_kwh!F216)/1000000000000</f>
        <v>4.8943160460999814E-2</v>
      </c>
      <c r="F216" s="10">
        <f>(co2e_g_kwh!G216)/1000000000000</f>
        <v>5.237965320999999E-3</v>
      </c>
      <c r="G216" s="10">
        <f>(co2e_g_kwh!K216)/1000000000000</f>
        <v>1.876015042199998E-2</v>
      </c>
      <c r="H216" s="19">
        <f t="shared" si="12"/>
        <v>0.11626766091599942</v>
      </c>
      <c r="I216" s="10">
        <f>(co2e_g_kwh!E216)/1000000000000</f>
        <v>1.5465858888479986</v>
      </c>
      <c r="J216" s="10">
        <f>(co2e_g_kwh!H216)/1000000000000</f>
        <v>2.6993809543139933</v>
      </c>
      <c r="K216" s="20">
        <f t="shared" si="13"/>
        <v>4.2459668431619919</v>
      </c>
      <c r="L216" s="21">
        <f>(co2e_g_kwh!I216)/1000000000000</f>
        <v>0.62202688098599168</v>
      </c>
      <c r="M216" s="10">
        <f>(co2e_g_kwh!J216)/1000000000000</f>
        <v>0</v>
      </c>
      <c r="N216" s="10">
        <f>(co2e_g_kwh!L216)/1000000000000</f>
        <v>0.66422138915999795</v>
      </c>
      <c r="O216" s="10">
        <f>(co2e_g_kwh!M216)/1000000000000</f>
        <v>0.21919462403999951</v>
      </c>
      <c r="P216" s="22">
        <f t="shared" si="14"/>
        <v>0.88341601319999752</v>
      </c>
      <c r="Q216" s="10">
        <f>(co2e_g_kwh!N216)/1000000000000</f>
        <v>0</v>
      </c>
      <c r="R216" s="10">
        <f>(co2e_g_kwh!O216)/1000000000000</f>
        <v>0</v>
      </c>
      <c r="S216" s="14">
        <f t="shared" si="15"/>
        <v>5.8676773982639796</v>
      </c>
    </row>
    <row r="217" spans="1:19" x14ac:dyDescent="0.3">
      <c r="A217" s="6">
        <v>216</v>
      </c>
      <c r="B217" s="6">
        <v>2017</v>
      </c>
      <c r="C217" s="6">
        <v>12</v>
      </c>
      <c r="D217" s="10">
        <f>(co2e_g_kwh!D217)/1000000000000</f>
        <v>2.8439990332000051E-2</v>
      </c>
      <c r="E217" s="10">
        <f>(co2e_g_kwh!F217)/1000000000000</f>
        <v>4.5907309734000062E-2</v>
      </c>
      <c r="F217" s="10">
        <f>(co2e_g_kwh!G217)/1000000000000</f>
        <v>6.1455094320000039E-3</v>
      </c>
      <c r="G217" s="10">
        <f>(co2e_g_kwh!K217)/1000000000000</f>
        <v>1.7498890421999994E-2</v>
      </c>
      <c r="H217" s="19">
        <f t="shared" si="12"/>
        <v>9.7991699920000105E-2</v>
      </c>
      <c r="I217" s="10">
        <f>(co2e_g_kwh!E217)/1000000000000</f>
        <v>1.4454919088609994</v>
      </c>
      <c r="J217" s="10">
        <f>(co2e_g_kwh!H217)/1000000000000</f>
        <v>2.4879161199060138</v>
      </c>
      <c r="K217" s="20">
        <f t="shared" si="13"/>
        <v>3.9334080287670132</v>
      </c>
      <c r="L217" s="21">
        <f>(co2e_g_kwh!I217)/1000000000000</f>
        <v>0.71896837429200289</v>
      </c>
      <c r="M217" s="10">
        <f>(co2e_g_kwh!J217)/1000000000000</f>
        <v>0</v>
      </c>
      <c r="N217" s="10">
        <f>(co2e_g_kwh!L217)/1000000000000</f>
        <v>0.13224899419200031</v>
      </c>
      <c r="O217" s="10">
        <f>(co2e_g_kwh!M217)/1000000000000</f>
        <v>9.0356206079999835E-2</v>
      </c>
      <c r="P217" s="22">
        <f t="shared" si="14"/>
        <v>0.22260520027200015</v>
      </c>
      <c r="Q217" s="10">
        <f>(co2e_g_kwh!N217)/1000000000000</f>
        <v>0</v>
      </c>
      <c r="R217" s="10">
        <f>(co2e_g_kwh!O217)/1000000000000</f>
        <v>0</v>
      </c>
      <c r="S217" s="14">
        <f t="shared" si="15"/>
        <v>4.9729733032510168</v>
      </c>
    </row>
    <row r="218" spans="1:19" x14ac:dyDescent="0.3">
      <c r="A218" s="6">
        <v>217</v>
      </c>
      <c r="B218" s="6">
        <v>2018</v>
      </c>
      <c r="C218" s="6">
        <v>1</v>
      </c>
      <c r="D218" s="10">
        <f>(co2e_g_kwh!D218)/1000000000000</f>
        <v>1.4236333227999956E-2</v>
      </c>
      <c r="E218" s="10">
        <f>(co2e_g_kwh!F218)/1000000000000</f>
        <v>4.2484396279000351E-2</v>
      </c>
      <c r="F218" s="10">
        <f>(co2e_g_kwh!G218)/1000000000000</f>
        <v>7.0696350309999998E-3</v>
      </c>
      <c r="G218" s="10">
        <f>(co2e_g_kwh!K218)/1000000000000</f>
        <v>1.8195394802000015E-2</v>
      </c>
      <c r="H218" s="19">
        <f t="shared" si="12"/>
        <v>8.1985759340000325E-2</v>
      </c>
      <c r="I218" s="10">
        <f>(co2e_g_kwh!E218)/1000000000000</f>
        <v>1.0394154340570003</v>
      </c>
      <c r="J218" s="10">
        <f>(co2e_g_kwh!H218)/1000000000000</f>
        <v>1.8460487613203962</v>
      </c>
      <c r="K218" s="20">
        <f t="shared" si="13"/>
        <v>2.8854641953773967</v>
      </c>
      <c r="L218" s="21">
        <f>(co2e_g_kwh!I218)/1000000000000</f>
        <v>0.8050251902280039</v>
      </c>
      <c r="M218" s="10">
        <f>(co2e_g_kwh!J218)/1000000000000</f>
        <v>0</v>
      </c>
      <c r="N218" s="10">
        <f>(co2e_g_kwh!L218)/1000000000000</f>
        <v>0.15199085243999871</v>
      </c>
      <c r="O218" s="10">
        <f>(co2e_g_kwh!M218)/1000000000000</f>
        <v>8.475400163999991E-2</v>
      </c>
      <c r="P218" s="22">
        <f t="shared" si="14"/>
        <v>0.23674485407999862</v>
      </c>
      <c r="Q218" s="10">
        <f>(co2e_g_kwh!N218)/1000000000000</f>
        <v>0</v>
      </c>
      <c r="R218" s="10">
        <f>(co2e_g_kwh!O218)/1000000000000</f>
        <v>0</v>
      </c>
      <c r="S218" s="14">
        <f t="shared" si="15"/>
        <v>4.0092199990253992</v>
      </c>
    </row>
    <row r="219" spans="1:19" x14ac:dyDescent="0.3">
      <c r="A219" s="6">
        <v>218</v>
      </c>
      <c r="B219" s="6">
        <v>2018</v>
      </c>
      <c r="C219" s="6">
        <v>2</v>
      </c>
      <c r="D219" s="10">
        <f>(co2e_g_kwh!D219)/1000000000000</f>
        <v>1.3841060531999979E-2</v>
      </c>
      <c r="E219" s="10">
        <f>(co2e_g_kwh!F219)/1000000000000</f>
        <v>2.6539854224000122E-2</v>
      </c>
      <c r="F219" s="10">
        <f>(co2e_g_kwh!G219)/1000000000000</f>
        <v>6.3272669490000068E-3</v>
      </c>
      <c r="G219" s="10">
        <f>(co2e_g_kwh!K219)/1000000000000</f>
        <v>1.0724509743999985E-2</v>
      </c>
      <c r="H219" s="19">
        <f t="shared" si="12"/>
        <v>5.7432691449000095E-2</v>
      </c>
      <c r="I219" s="10">
        <f>(co2e_g_kwh!E219)/1000000000000</f>
        <v>1.0145749303690024</v>
      </c>
      <c r="J219" s="10">
        <f>(co2e_g_kwh!H219)/1000000000000</f>
        <v>1.4652606572640061</v>
      </c>
      <c r="K219" s="20">
        <f t="shared" si="13"/>
        <v>2.4798355876330085</v>
      </c>
      <c r="L219" s="21">
        <f>(co2e_g_kwh!I219)/1000000000000</f>
        <v>0.75863747175301133</v>
      </c>
      <c r="M219" s="10">
        <f>(co2e_g_kwh!J219)/1000000000000</f>
        <v>0</v>
      </c>
      <c r="N219" s="10">
        <f>(co2e_g_kwh!L219)/1000000000000</f>
        <v>0.20615658755999994</v>
      </c>
      <c r="O219" s="10">
        <f>(co2e_g_kwh!M219)/1000000000000</f>
        <v>6.6226390440000019E-2</v>
      </c>
      <c r="P219" s="22">
        <f t="shared" si="14"/>
        <v>0.27238297799999994</v>
      </c>
      <c r="Q219" s="10">
        <f>(co2e_g_kwh!N219)/1000000000000</f>
        <v>0</v>
      </c>
      <c r="R219" s="10">
        <f>(co2e_g_kwh!O219)/1000000000000</f>
        <v>0</v>
      </c>
      <c r="S219" s="14">
        <f t="shared" si="15"/>
        <v>3.5682887288350202</v>
      </c>
    </row>
    <row r="220" spans="1:19" x14ac:dyDescent="0.3">
      <c r="A220" s="6">
        <v>219</v>
      </c>
      <c r="B220" s="6">
        <v>2018</v>
      </c>
      <c r="C220" s="6">
        <v>3</v>
      </c>
      <c r="D220" s="10">
        <f>(co2e_g_kwh!D220)/1000000000000</f>
        <v>2.2432008664000185E-2</v>
      </c>
      <c r="E220" s="10">
        <f>(co2e_g_kwh!F220)/1000000000000</f>
        <v>2.8186860987999919E-2</v>
      </c>
      <c r="F220" s="10">
        <f>(co2e_g_kwh!G220)/1000000000000</f>
        <v>7.9337172360000145E-3</v>
      </c>
      <c r="G220" s="10">
        <f>(co2e_g_kwh!K220)/1000000000000</f>
        <v>1.1127321751000003E-2</v>
      </c>
      <c r="H220" s="19">
        <f t="shared" si="12"/>
        <v>6.9679908639000129E-2</v>
      </c>
      <c r="I220" s="10">
        <f>(co2e_g_kwh!E220)/1000000000000</f>
        <v>1.2778722376419986</v>
      </c>
      <c r="J220" s="10">
        <f>(co2e_g_kwh!H220)/1000000000000</f>
        <v>1.5744165610139953</v>
      </c>
      <c r="K220" s="20">
        <f t="shared" si="13"/>
        <v>2.8522887986559939</v>
      </c>
      <c r="L220" s="21">
        <f>(co2e_g_kwh!I220)/1000000000000</f>
        <v>0.86299419719098558</v>
      </c>
      <c r="M220" s="10">
        <f>(co2e_g_kwh!J220)/1000000000000</f>
        <v>0</v>
      </c>
      <c r="N220" s="10">
        <f>(co2e_g_kwh!L220)/1000000000000</f>
        <v>0.38471784539999943</v>
      </c>
      <c r="O220" s="10">
        <f>(co2e_g_kwh!M220)/1000000000000</f>
        <v>9.9823323600000166E-2</v>
      </c>
      <c r="P220" s="22">
        <f t="shared" si="14"/>
        <v>0.48454116899999961</v>
      </c>
      <c r="Q220" s="10">
        <f>(co2e_g_kwh!N220)/1000000000000</f>
        <v>0</v>
      </c>
      <c r="R220" s="10">
        <f>(co2e_g_kwh!O220)/1000000000000</f>
        <v>0</v>
      </c>
      <c r="S220" s="14">
        <f t="shared" si="15"/>
        <v>4.2695040734859786</v>
      </c>
    </row>
    <row r="221" spans="1:19" x14ac:dyDescent="0.3">
      <c r="A221" s="6">
        <v>220</v>
      </c>
      <c r="B221" s="6">
        <v>2018</v>
      </c>
      <c r="C221" s="6">
        <v>4</v>
      </c>
      <c r="D221" s="10">
        <f>(co2e_g_kwh!D221)/1000000000000</f>
        <v>3.9906951083999775E-2</v>
      </c>
      <c r="E221" s="10">
        <f>(co2e_g_kwh!F221)/1000000000000</f>
        <v>3.3681148917000872E-2</v>
      </c>
      <c r="F221" s="10">
        <f>(co2e_g_kwh!G221)/1000000000000</f>
        <v>7.8794292630000318E-3</v>
      </c>
      <c r="G221" s="10">
        <f>(co2e_g_kwh!K221)/1000000000000</f>
        <v>1.850956437200002E-2</v>
      </c>
      <c r="H221" s="19">
        <f t="shared" si="12"/>
        <v>9.99770936360007E-2</v>
      </c>
      <c r="I221" s="10">
        <f>(co2e_g_kwh!E221)/1000000000000</f>
        <v>0.888675479692</v>
      </c>
      <c r="J221" s="10">
        <f>(co2e_g_kwh!H221)/1000000000000</f>
        <v>1.2303272254859978</v>
      </c>
      <c r="K221" s="20">
        <f t="shared" si="13"/>
        <v>2.1190027051779978</v>
      </c>
      <c r="L221" s="21">
        <f>(co2e_g_kwh!I221)/1000000000000</f>
        <v>0.76626890253900548</v>
      </c>
      <c r="M221" s="10">
        <f>(co2e_g_kwh!J221)/1000000000000</f>
        <v>0</v>
      </c>
      <c r="N221" s="10">
        <f>(co2e_g_kwh!L221)/1000000000000</f>
        <v>0.17576225855999972</v>
      </c>
      <c r="O221" s="10">
        <f>(co2e_g_kwh!M221)/1000000000000</f>
        <v>0.10043281164000017</v>
      </c>
      <c r="P221" s="22">
        <f t="shared" si="14"/>
        <v>0.27619507019999989</v>
      </c>
      <c r="Q221" s="10">
        <f>(co2e_g_kwh!N221)/1000000000000</f>
        <v>0</v>
      </c>
      <c r="R221" s="10">
        <f>(co2e_g_kwh!O221)/1000000000000</f>
        <v>0</v>
      </c>
      <c r="S221" s="14">
        <f t="shared" si="15"/>
        <v>3.261443771553004</v>
      </c>
    </row>
    <row r="222" spans="1:19" x14ac:dyDescent="0.3">
      <c r="A222" s="6">
        <v>221</v>
      </c>
      <c r="B222" s="6">
        <v>2018</v>
      </c>
      <c r="C222" s="6">
        <v>5</v>
      </c>
      <c r="D222" s="10">
        <f>(co2e_g_kwh!D222)/1000000000000</f>
        <v>4.4789389267999219E-2</v>
      </c>
      <c r="E222" s="10">
        <f>(co2e_g_kwh!F222)/1000000000000</f>
        <v>4.6444384219999926E-2</v>
      </c>
      <c r="F222" s="10">
        <f>(co2e_g_kwh!G222)/1000000000000</f>
        <v>9.2067865450000171E-3</v>
      </c>
      <c r="G222" s="10">
        <f>(co2e_g_kwh!K222)/1000000000000</f>
        <v>1.9434465192999965E-2</v>
      </c>
      <c r="H222" s="19">
        <f t="shared" si="12"/>
        <v>0.11987502522599912</v>
      </c>
      <c r="I222" s="10">
        <f>(co2e_g_kwh!E222)/1000000000000</f>
        <v>0.98336955216500144</v>
      </c>
      <c r="J222" s="10">
        <f>(co2e_g_kwh!H222)/1000000000000</f>
        <v>1.465277772240001</v>
      </c>
      <c r="K222" s="20">
        <f t="shared" si="13"/>
        <v>2.4486473244050027</v>
      </c>
      <c r="L222" s="21">
        <f>(co2e_g_kwh!I222)/1000000000000</f>
        <v>0.70279067067298373</v>
      </c>
      <c r="M222" s="10">
        <f>(co2e_g_kwh!J222)/1000000000000</f>
        <v>0</v>
      </c>
      <c r="N222" s="10">
        <f>(co2e_g_kwh!L222)/1000000000000</f>
        <v>3.3771292800000019E-2</v>
      </c>
      <c r="O222" s="10">
        <f>(co2e_g_kwh!M222)/1000000000000</f>
        <v>0.10841824727999989</v>
      </c>
      <c r="P222" s="22">
        <f t="shared" si="14"/>
        <v>0.1421895400799999</v>
      </c>
      <c r="Q222" s="10">
        <f>(co2e_g_kwh!N222)/1000000000000</f>
        <v>0</v>
      </c>
      <c r="R222" s="10">
        <f>(co2e_g_kwh!O222)/1000000000000</f>
        <v>0</v>
      </c>
      <c r="S222" s="14">
        <f t="shared" si="15"/>
        <v>3.4135025603839848</v>
      </c>
    </row>
    <row r="223" spans="1:19" x14ac:dyDescent="0.3">
      <c r="A223" s="6">
        <v>222</v>
      </c>
      <c r="B223" s="6">
        <v>2018</v>
      </c>
      <c r="C223" s="6">
        <v>6</v>
      </c>
      <c r="D223" s="10">
        <f>(co2e_g_kwh!D223)/1000000000000</f>
        <v>5.2511067075999771E-2</v>
      </c>
      <c r="E223" s="10">
        <f>(co2e_g_kwh!F223)/1000000000000</f>
        <v>5.4070884126999834E-2</v>
      </c>
      <c r="F223" s="10">
        <f>(co2e_g_kwh!G223)/1000000000000</f>
        <v>9.2245287749999905E-3</v>
      </c>
      <c r="G223" s="10">
        <f>(co2e_g_kwh!K223)/1000000000000</f>
        <v>1.8803584422999998E-2</v>
      </c>
      <c r="H223" s="19">
        <f t="shared" si="12"/>
        <v>0.1346100644009996</v>
      </c>
      <c r="I223" s="10">
        <f>(co2e_g_kwh!E223)/1000000000000</f>
        <v>1.2133521149749997</v>
      </c>
      <c r="J223" s="10">
        <f>(co2e_g_kwh!H223)/1000000000000</f>
        <v>2.1938753953440022</v>
      </c>
      <c r="K223" s="20">
        <f t="shared" si="13"/>
        <v>3.407227510319002</v>
      </c>
      <c r="L223" s="21">
        <f>(co2e_g_kwh!I223)/1000000000000</f>
        <v>0.61277370420000143</v>
      </c>
      <c r="M223" s="10">
        <f>(co2e_g_kwh!J223)/1000000000000</f>
        <v>0</v>
      </c>
      <c r="N223" s="10">
        <f>(co2e_g_kwh!L223)/1000000000000</f>
        <v>7.2426311999999977E-3</v>
      </c>
      <c r="O223" s="10">
        <f>(co2e_g_kwh!M223)/1000000000000</f>
        <v>0.17016685140000007</v>
      </c>
      <c r="P223" s="22">
        <f t="shared" si="14"/>
        <v>0.17740948260000006</v>
      </c>
      <c r="Q223" s="10">
        <f>(co2e_g_kwh!N223)/1000000000000</f>
        <v>0</v>
      </c>
      <c r="R223" s="10">
        <f>(co2e_g_kwh!O223)/1000000000000</f>
        <v>0</v>
      </c>
      <c r="S223" s="14">
        <f t="shared" si="15"/>
        <v>4.3320207615200026</v>
      </c>
    </row>
    <row r="224" spans="1:19" x14ac:dyDescent="0.3">
      <c r="A224" s="6">
        <v>223</v>
      </c>
      <c r="B224" s="6">
        <v>2018</v>
      </c>
      <c r="C224" s="6">
        <v>7</v>
      </c>
      <c r="D224" s="10">
        <f>(co2e_g_kwh!D224)/1000000000000</f>
        <v>5.7256187871999251E-2</v>
      </c>
      <c r="E224" s="10">
        <f>(co2e_g_kwh!F224)/1000000000000</f>
        <v>6.2925403644999822E-2</v>
      </c>
      <c r="F224" s="10">
        <f>(co2e_g_kwh!G224)/1000000000000</f>
        <v>1.0552598609999995E-2</v>
      </c>
      <c r="G224" s="10">
        <f>(co2e_g_kwh!K224)/1000000000000</f>
        <v>1.9413456413000019E-2</v>
      </c>
      <c r="H224" s="19">
        <f t="shared" si="12"/>
        <v>0.1501476465399991</v>
      </c>
      <c r="I224" s="10">
        <f>(co2e_g_kwh!E224)/1000000000000</f>
        <v>1.5340730645240011</v>
      </c>
      <c r="J224" s="10">
        <f>(co2e_g_kwh!H224)/1000000000000</f>
        <v>2.3799955367879679</v>
      </c>
      <c r="K224" s="20">
        <f t="shared" si="13"/>
        <v>3.914068601311969</v>
      </c>
      <c r="L224" s="21">
        <f>(co2e_g_kwh!I224)/1000000000000</f>
        <v>0.60392451667799885</v>
      </c>
      <c r="M224" s="10">
        <f>(co2e_g_kwh!J224)/1000000000000</f>
        <v>0</v>
      </c>
      <c r="N224" s="10">
        <f>(co2e_g_kwh!L224)/1000000000000</f>
        <v>0.14854415520000003</v>
      </c>
      <c r="O224" s="10">
        <f>(co2e_g_kwh!M224)/1000000000000</f>
        <v>0.26225787503999998</v>
      </c>
      <c r="P224" s="22">
        <f t="shared" si="14"/>
        <v>0.41080203024</v>
      </c>
      <c r="Q224" s="10">
        <f>(co2e_g_kwh!N224)/1000000000000</f>
        <v>0</v>
      </c>
      <c r="R224" s="10">
        <f>(co2e_g_kwh!O224)/1000000000000</f>
        <v>0</v>
      </c>
      <c r="S224" s="14">
        <f t="shared" si="15"/>
        <v>5.0789427947699668</v>
      </c>
    </row>
    <row r="225" spans="1:19" x14ac:dyDescent="0.3">
      <c r="A225" s="6">
        <v>224</v>
      </c>
      <c r="B225" s="6">
        <v>2018</v>
      </c>
      <c r="C225" s="6">
        <v>8</v>
      </c>
      <c r="D225" s="10">
        <f>(co2e_g_kwh!D225)/1000000000000</f>
        <v>5.1878343451999598E-2</v>
      </c>
      <c r="E225" s="10">
        <f>(co2e_g_kwh!F225)/1000000000000</f>
        <v>6.4565857551000055E-2</v>
      </c>
      <c r="F225" s="10">
        <f>(co2e_g_kwh!G225)/1000000000000</f>
        <v>1.0333633966999989E-2</v>
      </c>
      <c r="G225" s="10">
        <f>(co2e_g_kwh!K225)/1000000000000</f>
        <v>1.9556260204000003E-2</v>
      </c>
      <c r="H225" s="19">
        <f t="shared" si="12"/>
        <v>0.14633409517399965</v>
      </c>
      <c r="I225" s="10">
        <f>(co2e_g_kwh!E225)/1000000000000</f>
        <v>1.5290357612530054</v>
      </c>
      <c r="J225" s="10">
        <f>(co2e_g_kwh!H225)/1000000000000</f>
        <v>2.1154841012699661</v>
      </c>
      <c r="K225" s="20">
        <f t="shared" si="13"/>
        <v>3.6445198625229716</v>
      </c>
      <c r="L225" s="21">
        <f>(co2e_g_kwh!I225)/1000000000000</f>
        <v>0.60809143216500217</v>
      </c>
      <c r="M225" s="10">
        <f>(co2e_g_kwh!J225)/1000000000000</f>
        <v>0</v>
      </c>
      <c r="N225" s="10">
        <f>(co2e_g_kwh!L225)/1000000000000</f>
        <v>0.89334202187999978</v>
      </c>
      <c r="O225" s="10">
        <f>(co2e_g_kwh!M225)/1000000000000</f>
        <v>0.28578518472000047</v>
      </c>
      <c r="P225" s="22">
        <f t="shared" si="14"/>
        <v>1.1791272066000003</v>
      </c>
      <c r="Q225" s="10">
        <f>(co2e_g_kwh!N225)/1000000000000</f>
        <v>0</v>
      </c>
      <c r="R225" s="10">
        <f>(co2e_g_kwh!O225)/1000000000000</f>
        <v>0</v>
      </c>
      <c r="S225" s="14">
        <f t="shared" si="15"/>
        <v>5.5780725964619737</v>
      </c>
    </row>
    <row r="226" spans="1:19" x14ac:dyDescent="0.3">
      <c r="A226" s="6">
        <v>225</v>
      </c>
      <c r="B226" s="6">
        <v>2018</v>
      </c>
      <c r="C226" s="6">
        <v>9</v>
      </c>
      <c r="D226" s="10">
        <f>(co2e_g_kwh!D226)/1000000000000</f>
        <v>4.6551736088000305E-2</v>
      </c>
      <c r="E226" s="10">
        <f>(co2e_g_kwh!F226)/1000000000000</f>
        <v>6.8290610505000043E-2</v>
      </c>
      <c r="F226" s="10">
        <f>(co2e_g_kwh!G226)/1000000000000</f>
        <v>1.1642275842999992E-2</v>
      </c>
      <c r="G226" s="10">
        <f>(co2e_g_kwh!K226)/1000000000000</f>
        <v>1.8834877867000031E-2</v>
      </c>
      <c r="H226" s="19">
        <f t="shared" si="12"/>
        <v>0.14531950030300037</v>
      </c>
      <c r="I226" s="10">
        <f>(co2e_g_kwh!E226)/1000000000000</f>
        <v>1.2036924799899997</v>
      </c>
      <c r="J226" s="10">
        <f>(co2e_g_kwh!H226)/1000000000000</f>
        <v>2.5740282563820207</v>
      </c>
      <c r="K226" s="20">
        <f t="shared" si="13"/>
        <v>3.7777207363720207</v>
      </c>
      <c r="L226" s="21">
        <f>(co2e_g_kwh!I226)/1000000000000</f>
        <v>0.58047368889299622</v>
      </c>
      <c r="M226" s="10">
        <f>(co2e_g_kwh!J226)/1000000000000</f>
        <v>0</v>
      </c>
      <c r="N226" s="10">
        <f>(co2e_g_kwh!L226)/1000000000000</f>
        <v>0.62760773879999854</v>
      </c>
      <c r="O226" s="10">
        <f>(co2e_g_kwh!M226)/1000000000000</f>
        <v>0.24296936412000009</v>
      </c>
      <c r="P226" s="22">
        <f t="shared" si="14"/>
        <v>0.87057710291999868</v>
      </c>
      <c r="Q226" s="10">
        <f>(co2e_g_kwh!N226)/1000000000000</f>
        <v>0</v>
      </c>
      <c r="R226" s="10">
        <f>(co2e_g_kwh!O226)/1000000000000</f>
        <v>0</v>
      </c>
      <c r="S226" s="14">
        <f t="shared" si="15"/>
        <v>5.3740910284880155</v>
      </c>
    </row>
    <row r="227" spans="1:19" x14ac:dyDescent="0.3">
      <c r="A227" s="6">
        <v>226</v>
      </c>
      <c r="B227" s="6">
        <v>2018</v>
      </c>
      <c r="C227" s="6">
        <v>10</v>
      </c>
      <c r="D227" s="10">
        <f>(co2e_g_kwh!D227)/1000000000000</f>
        <v>4.1948918491999922E-2</v>
      </c>
      <c r="E227" s="10">
        <f>(co2e_g_kwh!F227)/1000000000000</f>
        <v>5.8753572695999616E-2</v>
      </c>
      <c r="F227" s="10">
        <f>(co2e_g_kwh!G227)/1000000000000</f>
        <v>1.1216676032999985E-2</v>
      </c>
      <c r="G227" s="10">
        <f>(co2e_g_kwh!K227)/1000000000000</f>
        <v>1.8296004765999994E-2</v>
      </c>
      <c r="H227" s="19">
        <f t="shared" si="12"/>
        <v>0.13021517198699953</v>
      </c>
      <c r="I227" s="10">
        <f>(co2e_g_kwh!E227)/1000000000000</f>
        <v>1.1093855722950017</v>
      </c>
      <c r="J227" s="10">
        <f>(co2e_g_kwh!H227)/1000000000000</f>
        <v>2.1089549950200213</v>
      </c>
      <c r="K227" s="20">
        <f t="shared" si="13"/>
        <v>3.2183405673150229</v>
      </c>
      <c r="L227" s="21">
        <f>(co2e_g_kwh!I227)/1000000000000</f>
        <v>0.70491180986098312</v>
      </c>
      <c r="M227" s="10">
        <f>(co2e_g_kwh!J227)/1000000000000</f>
        <v>0</v>
      </c>
      <c r="N227" s="10">
        <f>(co2e_g_kwh!L227)/1000000000000</f>
        <v>0.14672452619999984</v>
      </c>
      <c r="O227" s="10">
        <f>(co2e_g_kwh!M227)/1000000000000</f>
        <v>0.1247067931200002</v>
      </c>
      <c r="P227" s="22">
        <f t="shared" si="14"/>
        <v>0.27143131932000003</v>
      </c>
      <c r="Q227" s="10">
        <f>(co2e_g_kwh!N227)/1000000000000</f>
        <v>0</v>
      </c>
      <c r="R227" s="10">
        <f>(co2e_g_kwh!O227)/1000000000000</f>
        <v>0</v>
      </c>
      <c r="S227" s="14">
        <f t="shared" si="15"/>
        <v>4.3248988684830056</v>
      </c>
    </row>
    <row r="228" spans="1:19" x14ac:dyDescent="0.3">
      <c r="A228" s="6">
        <v>227</v>
      </c>
      <c r="B228" s="6">
        <v>2018</v>
      </c>
      <c r="C228" s="6">
        <v>11</v>
      </c>
      <c r="D228" s="10">
        <f>(co2e_g_kwh!D228)/1000000000000</f>
        <v>3.6947203123999996E-2</v>
      </c>
      <c r="E228" s="10">
        <f>(co2e_g_kwh!F228)/1000000000000</f>
        <v>6.3460441395000594E-2</v>
      </c>
      <c r="F228" s="10">
        <f>(co2e_g_kwh!G228)/1000000000000</f>
        <v>1.0548291901999988E-2</v>
      </c>
      <c r="G228" s="10">
        <f>(co2e_g_kwh!K228)/1000000000000</f>
        <v>1.2772074288999994E-2</v>
      </c>
      <c r="H228" s="19">
        <f t="shared" si="12"/>
        <v>0.12372801071000057</v>
      </c>
      <c r="I228" s="10">
        <f>(co2e_g_kwh!E228)/1000000000000</f>
        <v>0.41730152564099937</v>
      </c>
      <c r="J228" s="10">
        <f>(co2e_g_kwh!H228)/1000000000000</f>
        <v>1.0107938492100081</v>
      </c>
      <c r="K228" s="20">
        <f t="shared" si="13"/>
        <v>1.4280953748510075</v>
      </c>
      <c r="L228" s="21">
        <f>(co2e_g_kwh!I228)/1000000000000</f>
        <v>0.74553280510799491</v>
      </c>
      <c r="M228" s="10">
        <f>(co2e_g_kwh!J228)/1000000000000</f>
        <v>0</v>
      </c>
      <c r="N228" s="10">
        <f>(co2e_g_kwh!L228)/1000000000000</f>
        <v>9.9328106639999678E-2</v>
      </c>
      <c r="O228" s="10">
        <f>(co2e_g_kwh!M228)/1000000000000</f>
        <v>0.11344018476000001</v>
      </c>
      <c r="P228" s="22">
        <f t="shared" si="14"/>
        <v>0.2127682913999997</v>
      </c>
      <c r="Q228" s="10">
        <f>(co2e_g_kwh!N228)/1000000000000</f>
        <v>0</v>
      </c>
      <c r="R228" s="10">
        <f>(co2e_g_kwh!O228)/1000000000000</f>
        <v>0</v>
      </c>
      <c r="S228" s="14">
        <f t="shared" si="15"/>
        <v>2.5101244820690027</v>
      </c>
    </row>
    <row r="229" spans="1:19" x14ac:dyDescent="0.3">
      <c r="A229" s="6">
        <v>228</v>
      </c>
      <c r="B229" s="6">
        <v>2018</v>
      </c>
      <c r="C229" s="6">
        <v>12</v>
      </c>
      <c r="D229" s="10">
        <f>(co2e_g_kwh!D229)/1000000000000</f>
        <v>2.6162055919999962E-2</v>
      </c>
      <c r="E229" s="10">
        <f>(co2e_g_kwh!F229)/1000000000000</f>
        <v>4.6338851039000047E-2</v>
      </c>
      <c r="F229" s="10">
        <f>(co2e_g_kwh!G229)/1000000000000</f>
        <v>1.2878256834999977E-2</v>
      </c>
      <c r="G229" s="10">
        <f>(co2e_g_kwh!K229)/1000000000000</f>
        <v>1.8095539488000009E-2</v>
      </c>
      <c r="H229" s="19">
        <f t="shared" si="12"/>
        <v>0.10347470328199999</v>
      </c>
      <c r="I229" s="10">
        <f>(co2e_g_kwh!E229)/1000000000000</f>
        <v>0.52564419908000071</v>
      </c>
      <c r="J229" s="10">
        <f>(co2e_g_kwh!H229)/1000000000000</f>
        <v>0.82824975262800005</v>
      </c>
      <c r="K229" s="20">
        <f t="shared" si="13"/>
        <v>1.3538939517080006</v>
      </c>
      <c r="L229" s="21">
        <f>(co2e_g_kwh!I229)/1000000000000</f>
        <v>0.82508795441098237</v>
      </c>
      <c r="M229" s="10">
        <f>(co2e_g_kwh!J229)/1000000000000</f>
        <v>0</v>
      </c>
      <c r="N229" s="10">
        <f>(co2e_g_kwh!L229)/1000000000000</f>
        <v>0.19736553144000002</v>
      </c>
      <c r="O229" s="10">
        <f>(co2e_g_kwh!M229)/1000000000000</f>
        <v>0.13622647248000017</v>
      </c>
      <c r="P229" s="22">
        <f t="shared" si="14"/>
        <v>0.33359200392000021</v>
      </c>
      <c r="Q229" s="10">
        <f>(co2e_g_kwh!N229)/1000000000000</f>
        <v>0</v>
      </c>
      <c r="R229" s="10">
        <f>(co2e_g_kwh!O229)/1000000000000</f>
        <v>0</v>
      </c>
      <c r="S229" s="14">
        <f t="shared" si="15"/>
        <v>2.616048613320983</v>
      </c>
    </row>
    <row r="230" spans="1:19" x14ac:dyDescent="0.3">
      <c r="A230" s="6">
        <v>229</v>
      </c>
      <c r="B230" s="6">
        <v>2019</v>
      </c>
      <c r="C230" s="6">
        <v>1</v>
      </c>
      <c r="D230" s="10">
        <f>(co2e_g_kwh!D230)/1000000000000</f>
        <v>1.3473833308000024E-2</v>
      </c>
      <c r="E230" s="10">
        <f>(co2e_g_kwh!F230)/1000000000000</f>
        <v>5.3891646549000381E-2</v>
      </c>
      <c r="F230" s="10">
        <f>(co2e_g_kwh!G230)/1000000000000</f>
        <v>1.5410173461000038E-2</v>
      </c>
      <c r="G230" s="10">
        <f>(co2e_g_kwh!K230)/1000000000000</f>
        <v>1.8433508261999978E-2</v>
      </c>
      <c r="H230" s="19">
        <f t="shared" si="12"/>
        <v>0.10120916158000043</v>
      </c>
      <c r="I230" s="10">
        <f>(co2e_g_kwh!E230)/1000000000000</f>
        <v>0.44838078985700097</v>
      </c>
      <c r="J230" s="10">
        <f>(co2e_g_kwh!H230)/1000000000000</f>
        <v>1.2562896749939927</v>
      </c>
      <c r="K230" s="20">
        <f t="shared" si="13"/>
        <v>1.7046704648509936</v>
      </c>
      <c r="L230" s="21">
        <f>(co2e_g_kwh!I230)/1000000000000</f>
        <v>0.89543080191599178</v>
      </c>
      <c r="M230" s="10">
        <f>(co2e_g_kwh!J230)/1000000000000</f>
        <v>0</v>
      </c>
      <c r="N230" s="10">
        <f>(co2e_g_kwh!L230)/1000000000000</f>
        <v>0.10473764532000017</v>
      </c>
      <c r="O230" s="10">
        <f>(co2e_g_kwh!M230)/1000000000000</f>
        <v>8.1003450360000173E-2</v>
      </c>
      <c r="P230" s="22">
        <f t="shared" si="14"/>
        <v>0.18574109568000036</v>
      </c>
      <c r="Q230" s="10">
        <f>(co2e_g_kwh!N230)/1000000000000</f>
        <v>0</v>
      </c>
      <c r="R230" s="10">
        <f>(co2e_g_kwh!O230)/1000000000000</f>
        <v>0</v>
      </c>
      <c r="S230" s="14">
        <f t="shared" si="15"/>
        <v>2.8870515240269863</v>
      </c>
    </row>
    <row r="231" spans="1:19" x14ac:dyDescent="0.3">
      <c r="A231" s="6">
        <v>230</v>
      </c>
      <c r="B231" s="6">
        <v>2019</v>
      </c>
      <c r="C231" s="6">
        <v>2</v>
      </c>
      <c r="D231" s="10">
        <f>(co2e_g_kwh!D231)/1000000000000</f>
        <v>1.400499172800003E-2</v>
      </c>
      <c r="E231" s="10">
        <f>(co2e_g_kwh!F231)/1000000000000</f>
        <v>2.8282081542000105E-2</v>
      </c>
      <c r="F231" s="10">
        <f>(co2e_g_kwh!G231)/1000000000000</f>
        <v>1.2554018860999985E-2</v>
      </c>
      <c r="G231" s="10">
        <f>(co2e_g_kwh!K231)/1000000000000</f>
        <v>1.7386917144999996E-2</v>
      </c>
      <c r="H231" s="19">
        <f t="shared" si="12"/>
        <v>7.2228009276000121E-2</v>
      </c>
      <c r="I231" s="10">
        <f>(co2e_g_kwh!E231)/1000000000000</f>
        <v>0.90728057920500071</v>
      </c>
      <c r="J231" s="10">
        <f>(co2e_g_kwh!H231)/1000000000000</f>
        <v>1.8802943987760006</v>
      </c>
      <c r="K231" s="20">
        <f t="shared" si="13"/>
        <v>2.7875749779810013</v>
      </c>
      <c r="L231" s="21">
        <f>(co2e_g_kwh!I231)/1000000000000</f>
        <v>0.77292624828299095</v>
      </c>
      <c r="M231" s="10">
        <f>(co2e_g_kwh!J231)/1000000000000</f>
        <v>0</v>
      </c>
      <c r="N231" s="10">
        <f>(co2e_g_kwh!L231)/1000000000000</f>
        <v>0.24389171436000034</v>
      </c>
      <c r="O231" s="10">
        <f>(co2e_g_kwh!M231)/1000000000000</f>
        <v>0.15077558663999993</v>
      </c>
      <c r="P231" s="22">
        <f t="shared" si="14"/>
        <v>0.39466730100000025</v>
      </c>
      <c r="Q231" s="10">
        <f>(co2e_g_kwh!N231)/1000000000000</f>
        <v>0</v>
      </c>
      <c r="R231" s="10">
        <f>(co2e_g_kwh!O231)/1000000000000</f>
        <v>0</v>
      </c>
      <c r="S231" s="14">
        <f t="shared" si="15"/>
        <v>4.0273965365399933</v>
      </c>
    </row>
    <row r="232" spans="1:19" x14ac:dyDescent="0.3">
      <c r="A232" s="6">
        <v>231</v>
      </c>
      <c r="B232" s="6">
        <v>2019</v>
      </c>
      <c r="C232" s="6">
        <v>3</v>
      </c>
      <c r="D232" s="10">
        <f>(co2e_g_kwh!D232)/1000000000000</f>
        <v>2.5840140663999998E-2</v>
      </c>
      <c r="E232" s="10">
        <f>(co2e_g_kwh!F232)/1000000000000</f>
        <v>3.2919451151989985E-2</v>
      </c>
      <c r="F232" s="10">
        <f>(co2e_g_kwh!G232)/1000000000000</f>
        <v>1.4077466290999987E-2</v>
      </c>
      <c r="G232" s="10">
        <f>(co2e_g_kwh!K232)/1000000000000</f>
        <v>1.6692021866000006E-2</v>
      </c>
      <c r="H232" s="19">
        <f t="shared" si="12"/>
        <v>8.9529079972989978E-2</v>
      </c>
      <c r="I232" s="10">
        <f>(co2e_g_kwh!E232)/1000000000000</f>
        <v>0.93690751053899934</v>
      </c>
      <c r="J232" s="10">
        <f>(co2e_g_kwh!H232)/1000000000000</f>
        <v>1.4770022670899938</v>
      </c>
      <c r="K232" s="20">
        <f t="shared" si="13"/>
        <v>2.4139097776289931</v>
      </c>
      <c r="L232" s="21">
        <f>(co2e_g_kwh!I232)/1000000000000</f>
        <v>0.83427290003398269</v>
      </c>
      <c r="M232" s="10">
        <f>(co2e_g_kwh!J232)/1000000000000</f>
        <v>0</v>
      </c>
      <c r="N232" s="10">
        <f>(co2e_g_kwh!L232)/1000000000000</f>
        <v>0.22742893907999984</v>
      </c>
      <c r="O232" s="10">
        <f>(co2e_g_kwh!M232)/1000000000000</f>
        <v>4.6478167680000008E-2</v>
      </c>
      <c r="P232" s="22">
        <f t="shared" si="14"/>
        <v>0.27390710675999985</v>
      </c>
      <c r="Q232" s="10">
        <f>(co2e_g_kwh!N232)/1000000000000</f>
        <v>0</v>
      </c>
      <c r="R232" s="10">
        <f>(co2e_g_kwh!O232)/1000000000000</f>
        <v>0</v>
      </c>
      <c r="S232" s="14">
        <f t="shared" si="15"/>
        <v>3.6116188643959659</v>
      </c>
    </row>
    <row r="233" spans="1:19" x14ac:dyDescent="0.3">
      <c r="A233" s="6">
        <v>232</v>
      </c>
      <c r="B233" s="6">
        <v>2019</v>
      </c>
      <c r="C233" s="6">
        <v>4</v>
      </c>
      <c r="D233" s="10">
        <f>(co2e_g_kwh!D233)/1000000000000</f>
        <v>3.9327611283999975E-2</v>
      </c>
      <c r="E233" s="10">
        <f>(co2e_g_kwh!F233)/1000000000000</f>
        <v>3.3447267399000447E-2</v>
      </c>
      <c r="F233" s="10">
        <f>(co2e_g_kwh!G233)/1000000000000</f>
        <v>1.3454968749999897E-2</v>
      </c>
      <c r="G233" s="10">
        <f>(co2e_g_kwh!K233)/1000000000000</f>
        <v>1.3905219107000009E-2</v>
      </c>
      <c r="H233" s="19">
        <f t="shared" si="12"/>
        <v>0.10013506654000032</v>
      </c>
      <c r="I233" s="10">
        <f>(co2e_g_kwh!E233)/1000000000000</f>
        <v>0.95313480362099556</v>
      </c>
      <c r="J233" s="10">
        <f>(co2e_g_kwh!H233)/1000000000000</f>
        <v>1.0992030146279985</v>
      </c>
      <c r="K233" s="20">
        <f t="shared" si="13"/>
        <v>2.052337818248994</v>
      </c>
      <c r="L233" s="21">
        <f>(co2e_g_kwh!I233)/1000000000000</f>
        <v>0.79780628661299369</v>
      </c>
      <c r="M233" s="10">
        <f>(co2e_g_kwh!J233)/1000000000000</f>
        <v>0</v>
      </c>
      <c r="N233" s="10">
        <f>(co2e_g_kwh!L233)/1000000000000</f>
        <v>0.25040700888</v>
      </c>
      <c r="O233" s="10">
        <f>(co2e_g_kwh!M233)/1000000000000</f>
        <v>4.6884158159999918E-2</v>
      </c>
      <c r="P233" s="22">
        <f t="shared" si="14"/>
        <v>0.29729116703999992</v>
      </c>
      <c r="Q233" s="10">
        <f>(co2e_g_kwh!N233)/1000000000000</f>
        <v>0</v>
      </c>
      <c r="R233" s="10">
        <f>(co2e_g_kwh!O233)/1000000000000</f>
        <v>0</v>
      </c>
      <c r="S233" s="14">
        <f t="shared" si="15"/>
        <v>3.2475703384419883</v>
      </c>
    </row>
    <row r="234" spans="1:19" x14ac:dyDescent="0.3">
      <c r="A234" s="6">
        <v>233</v>
      </c>
      <c r="B234" s="6">
        <v>2019</v>
      </c>
      <c r="C234" s="6">
        <v>5</v>
      </c>
      <c r="D234" s="10">
        <f>(co2e_g_kwh!D234)/1000000000000</f>
        <v>5.2399632583999801E-2</v>
      </c>
      <c r="E234" s="10">
        <f>(co2e_g_kwh!F234)/1000000000000</f>
        <v>4.9558103179000113E-2</v>
      </c>
      <c r="F234" s="10">
        <f>(co2e_g_kwh!G234)/1000000000000</f>
        <v>1.3906750873000083E-2</v>
      </c>
      <c r="G234" s="10">
        <f>(co2e_g_kwh!K234)/1000000000000</f>
        <v>1.0037991508999996E-2</v>
      </c>
      <c r="H234" s="19">
        <f t="shared" si="12"/>
        <v>0.125902478145</v>
      </c>
      <c r="I234" s="10">
        <f>(co2e_g_kwh!E234)/1000000000000</f>
        <v>0.83038009254200085</v>
      </c>
      <c r="J234" s="10">
        <f>(co2e_g_kwh!H234)/1000000000000</f>
        <v>1.0562034900600059</v>
      </c>
      <c r="K234" s="20">
        <f t="shared" si="13"/>
        <v>1.8865835826020068</v>
      </c>
      <c r="L234" s="21">
        <f>(co2e_g_kwh!I234)/1000000000000</f>
        <v>0.77173670691599239</v>
      </c>
      <c r="M234" s="10">
        <f>(co2e_g_kwh!J234)/1000000000000</f>
        <v>0</v>
      </c>
      <c r="N234" s="10">
        <f>(co2e_g_kwh!L234)/1000000000000</f>
        <v>0.14391275135999995</v>
      </c>
      <c r="O234" s="10">
        <f>(co2e_g_kwh!M234)/1000000000000</f>
        <v>5.3899367759999962E-2</v>
      </c>
      <c r="P234" s="22">
        <f t="shared" si="14"/>
        <v>0.19781211911999991</v>
      </c>
      <c r="Q234" s="10">
        <f>(co2e_g_kwh!N234)/1000000000000</f>
        <v>0</v>
      </c>
      <c r="R234" s="10">
        <f>(co2e_g_kwh!O234)/1000000000000</f>
        <v>0</v>
      </c>
      <c r="S234" s="14">
        <f t="shared" si="15"/>
        <v>2.9820348867829987</v>
      </c>
    </row>
    <row r="235" spans="1:19" x14ac:dyDescent="0.3">
      <c r="A235" s="6">
        <v>234</v>
      </c>
      <c r="B235" s="6">
        <v>2019</v>
      </c>
      <c r="C235" s="6">
        <v>6</v>
      </c>
      <c r="D235" s="10">
        <f>(co2e_g_kwh!D235)/1000000000000</f>
        <v>5.3882417108000166E-2</v>
      </c>
      <c r="E235" s="10">
        <f>(co2e_g_kwh!F235)/1000000000000</f>
        <v>6.5989919956999876E-2</v>
      </c>
      <c r="F235" s="10">
        <f>(co2e_g_kwh!G235)/1000000000000</f>
        <v>1.3783583177999994E-2</v>
      </c>
      <c r="G235" s="10">
        <f>(co2e_g_kwh!K235)/1000000000000</f>
        <v>1.8549183276000004E-2</v>
      </c>
      <c r="H235" s="19">
        <f t="shared" si="12"/>
        <v>0.15220510351900005</v>
      </c>
      <c r="I235" s="10">
        <f>(co2e_g_kwh!E235)/1000000000000</f>
        <v>0.53522992623099919</v>
      </c>
      <c r="J235" s="10">
        <f>(co2e_g_kwh!H235)/1000000000000</f>
        <v>1.1373380339759969</v>
      </c>
      <c r="K235" s="20">
        <f t="shared" si="13"/>
        <v>1.6725679602069961</v>
      </c>
      <c r="L235" s="21">
        <f>(co2e_g_kwh!I235)/1000000000000</f>
        <v>0.66938917012799082</v>
      </c>
      <c r="M235" s="10">
        <f>(co2e_g_kwh!J235)/1000000000000</f>
        <v>0</v>
      </c>
      <c r="N235" s="10">
        <f>(co2e_g_kwh!L235)/1000000000000</f>
        <v>1.8263934360000005E-2</v>
      </c>
      <c r="O235" s="10">
        <f>(co2e_g_kwh!M235)/1000000000000</f>
        <v>5.3900009520000014E-2</v>
      </c>
      <c r="P235" s="22">
        <f t="shared" si="14"/>
        <v>7.2163943880000025E-2</v>
      </c>
      <c r="Q235" s="10">
        <f>(co2e_g_kwh!N235)/1000000000000</f>
        <v>0</v>
      </c>
      <c r="R235" s="10">
        <f>(co2e_g_kwh!O235)/1000000000000</f>
        <v>0</v>
      </c>
      <c r="S235" s="14">
        <f t="shared" si="15"/>
        <v>2.5663261777339872</v>
      </c>
    </row>
    <row r="236" spans="1:19" x14ac:dyDescent="0.3">
      <c r="A236" s="6">
        <v>235</v>
      </c>
      <c r="B236" s="6">
        <v>2019</v>
      </c>
      <c r="C236" s="6">
        <v>7</v>
      </c>
      <c r="D236" s="10">
        <f>(co2e_g_kwh!D236)/1000000000000</f>
        <v>5.5783851395999826E-2</v>
      </c>
      <c r="E236" s="10">
        <f>(co2e_g_kwh!F236)/1000000000000</f>
        <v>6.561908671500058E-2</v>
      </c>
      <c r="F236" s="10">
        <f>(co2e_g_kwh!G236)/1000000000000</f>
        <v>1.5008068550000017E-2</v>
      </c>
      <c r="G236" s="10">
        <f>(co2e_g_kwh!K236)/1000000000000</f>
        <v>1.9364878987999982E-2</v>
      </c>
      <c r="H236" s="19">
        <f t="shared" si="12"/>
        <v>0.15577588564900041</v>
      </c>
      <c r="I236" s="10">
        <f>(co2e_g_kwh!E236)/1000000000000</f>
        <v>1.5432821504100063</v>
      </c>
      <c r="J236" s="10">
        <f>(co2e_g_kwh!H236)/1000000000000</f>
        <v>1.9349733135060037</v>
      </c>
      <c r="K236" s="20">
        <f t="shared" si="13"/>
        <v>3.4782554639160099</v>
      </c>
      <c r="L236" s="21">
        <f>(co2e_g_kwh!I236)/1000000000000</f>
        <v>0.6315716691479738</v>
      </c>
      <c r="M236" s="10">
        <f>(co2e_g_kwh!J236)/1000000000000</f>
        <v>0</v>
      </c>
      <c r="N236" s="10">
        <f>(co2e_g_kwh!L236)/1000000000000</f>
        <v>2.4453231599999868E-2</v>
      </c>
      <c r="O236" s="10">
        <f>(co2e_g_kwh!M236)/1000000000000</f>
        <v>4.4690733360000012E-2</v>
      </c>
      <c r="P236" s="22">
        <f t="shared" si="14"/>
        <v>6.9143964959999887E-2</v>
      </c>
      <c r="Q236" s="10">
        <f>(co2e_g_kwh!N236)/1000000000000</f>
        <v>0</v>
      </c>
      <c r="R236" s="10">
        <f>(co2e_g_kwh!O236)/1000000000000</f>
        <v>0</v>
      </c>
      <c r="S236" s="14">
        <f t="shared" si="15"/>
        <v>4.3347469836729839</v>
      </c>
    </row>
    <row r="237" spans="1:19" x14ac:dyDescent="0.3">
      <c r="A237" s="6">
        <v>236</v>
      </c>
      <c r="B237" s="6">
        <v>2019</v>
      </c>
      <c r="C237" s="6">
        <v>8</v>
      </c>
      <c r="D237" s="10">
        <f>(co2e_g_kwh!D237)/1000000000000</f>
        <v>5.6869997080000671E-2</v>
      </c>
      <c r="E237" s="10">
        <f>(co2e_g_kwh!F237)/1000000000000</f>
        <v>8.1733286622000037E-2</v>
      </c>
      <c r="F237" s="10">
        <f>(co2e_g_kwh!G237)/1000000000000</f>
        <v>1.7000286242000031E-2</v>
      </c>
      <c r="G237" s="10">
        <f>(co2e_g_kwh!K237)/1000000000000</f>
        <v>1.9505294107000005E-2</v>
      </c>
      <c r="H237" s="19">
        <f t="shared" si="12"/>
        <v>0.17510886405100073</v>
      </c>
      <c r="I237" s="10">
        <f>(co2e_g_kwh!E237)/1000000000000</f>
        <v>1.4895051971799915</v>
      </c>
      <c r="J237" s="10">
        <f>(co2e_g_kwh!H237)/1000000000000</f>
        <v>2.5352906169600224</v>
      </c>
      <c r="K237" s="20">
        <f t="shared" si="13"/>
        <v>4.0247958141400142</v>
      </c>
      <c r="L237" s="21">
        <f>(co2e_g_kwh!I237)/1000000000000</f>
        <v>0.58783437339896305</v>
      </c>
      <c r="M237" s="10">
        <f>(co2e_g_kwh!J237)/1000000000000</f>
        <v>0</v>
      </c>
      <c r="N237" s="10">
        <f>(co2e_g_kwh!L237)/1000000000000</f>
        <v>2.3336183639999883E-2</v>
      </c>
      <c r="O237" s="10">
        <f>(co2e_g_kwh!M237)/1000000000000</f>
        <v>5.4184868639999967E-2</v>
      </c>
      <c r="P237" s="22">
        <f t="shared" si="14"/>
        <v>7.752105227999985E-2</v>
      </c>
      <c r="Q237" s="10">
        <f>(co2e_g_kwh!N237)/1000000000000</f>
        <v>0</v>
      </c>
      <c r="R237" s="10">
        <f>(co2e_g_kwh!O237)/1000000000000</f>
        <v>0</v>
      </c>
      <c r="S237" s="14">
        <f t="shared" si="15"/>
        <v>4.8652601038699776</v>
      </c>
    </row>
    <row r="238" spans="1:19" x14ac:dyDescent="0.3">
      <c r="A238" s="6">
        <v>237</v>
      </c>
      <c r="B238" s="6">
        <v>2019</v>
      </c>
      <c r="C238" s="6">
        <v>9</v>
      </c>
      <c r="D238" s="10">
        <f>(co2e_g_kwh!D238)/1000000000000</f>
        <v>5.1417104596000303E-2</v>
      </c>
      <c r="E238" s="10">
        <f>(co2e_g_kwh!F238)/1000000000000</f>
        <v>7.5511952827999634E-2</v>
      </c>
      <c r="F238" s="10">
        <f>(co2e_g_kwh!G238)/1000000000000</f>
        <v>1.8186319637999999E-2</v>
      </c>
      <c r="G238" s="10">
        <f>(co2e_g_kwh!K238)/1000000000000</f>
        <v>1.8852039882000005E-2</v>
      </c>
      <c r="H238" s="19">
        <f t="shared" si="12"/>
        <v>0.16396741694399994</v>
      </c>
      <c r="I238" s="10">
        <f>(co2e_g_kwh!E238)/1000000000000</f>
        <v>1.4738145161740002</v>
      </c>
      <c r="J238" s="10">
        <f>(co2e_g_kwh!H238)/1000000000000</f>
        <v>2.4836210759520068</v>
      </c>
      <c r="K238" s="20">
        <f t="shared" si="13"/>
        <v>3.9574355921260072</v>
      </c>
      <c r="L238" s="21">
        <f>(co2e_g_kwh!I238)/1000000000000</f>
        <v>0.61415702464199007</v>
      </c>
      <c r="M238" s="10">
        <f>(co2e_g_kwh!J238)/1000000000000</f>
        <v>0</v>
      </c>
      <c r="N238" s="10">
        <f>(co2e_g_kwh!L238)/1000000000000</f>
        <v>2.7789089159999985E-2</v>
      </c>
      <c r="O238" s="10">
        <f>(co2e_g_kwh!M238)/1000000000000</f>
        <v>4.1281143119999981E-2</v>
      </c>
      <c r="P238" s="22">
        <f t="shared" si="14"/>
        <v>6.9070232279999963E-2</v>
      </c>
      <c r="Q238" s="10">
        <f>(co2e_g_kwh!N238)/1000000000000</f>
        <v>0</v>
      </c>
      <c r="R238" s="10">
        <f>(co2e_g_kwh!O238)/1000000000000</f>
        <v>0</v>
      </c>
      <c r="S238" s="14">
        <f t="shared" si="15"/>
        <v>4.8046302659919968</v>
      </c>
    </row>
    <row r="239" spans="1:19" x14ac:dyDescent="0.3">
      <c r="A239" s="6">
        <v>238</v>
      </c>
      <c r="B239" s="6">
        <v>2019</v>
      </c>
      <c r="C239" s="6">
        <v>10</v>
      </c>
      <c r="D239" s="10">
        <f>(co2e_g_kwh!D239)/1000000000000</f>
        <v>5.1184524404000932E-2</v>
      </c>
      <c r="E239" s="10">
        <f>(co2e_g_kwh!F239)/1000000000000</f>
        <v>7.6756227288000758E-2</v>
      </c>
      <c r="F239" s="10">
        <f>(co2e_g_kwh!G239)/1000000000000</f>
        <v>1.873215544599996E-2</v>
      </c>
      <c r="G239" s="10">
        <f>(co2e_g_kwh!K239)/1000000000000</f>
        <v>1.8919583292999996E-2</v>
      </c>
      <c r="H239" s="19">
        <f t="shared" si="12"/>
        <v>0.16559249043100166</v>
      </c>
      <c r="I239" s="10">
        <f>(co2e_g_kwh!E239)/1000000000000</f>
        <v>1.5419817563149956</v>
      </c>
      <c r="J239" s="10">
        <f>(co2e_g_kwh!H239)/1000000000000</f>
        <v>2.7842515756019846</v>
      </c>
      <c r="K239" s="20">
        <f t="shared" si="13"/>
        <v>4.3262333319169803</v>
      </c>
      <c r="L239" s="21">
        <f>(co2e_g_kwh!I239)/1000000000000</f>
        <v>0.66592635610198436</v>
      </c>
      <c r="M239" s="10">
        <f>(co2e_g_kwh!J239)/1000000000000</f>
        <v>0</v>
      </c>
      <c r="N239" s="10">
        <f>(co2e_g_kwh!L239)/1000000000000</f>
        <v>4.4494074240000202E-2</v>
      </c>
      <c r="O239" s="10">
        <f>(co2e_g_kwh!M239)/1000000000000</f>
        <v>2.7677485920000012E-2</v>
      </c>
      <c r="P239" s="22">
        <f t="shared" si="14"/>
        <v>7.2171560160000217E-2</v>
      </c>
      <c r="Q239" s="10">
        <f>(co2e_g_kwh!N239)/1000000000000</f>
        <v>0</v>
      </c>
      <c r="R239" s="10">
        <f>(co2e_g_kwh!O239)/1000000000000</f>
        <v>0</v>
      </c>
      <c r="S239" s="14">
        <f t="shared" si="15"/>
        <v>5.2299237386099664</v>
      </c>
    </row>
    <row r="240" spans="1:19" x14ac:dyDescent="0.3">
      <c r="A240" s="6">
        <v>239</v>
      </c>
      <c r="B240" s="6">
        <v>2019</v>
      </c>
      <c r="C240" s="6">
        <v>11</v>
      </c>
      <c r="D240" s="10">
        <f>(co2e_g_kwh!D240)/1000000000000</f>
        <v>4.5244663412000362E-2</v>
      </c>
      <c r="E240" s="10">
        <f>(co2e_g_kwh!F240)/1000000000000</f>
        <v>6.5616921616999904E-2</v>
      </c>
      <c r="F240" s="10">
        <f>(co2e_g_kwh!G240)/1000000000000</f>
        <v>1.7639201742000014E-2</v>
      </c>
      <c r="G240" s="10">
        <f>(co2e_g_kwh!K240)/1000000000000</f>
        <v>1.8793121515999999E-2</v>
      </c>
      <c r="H240" s="19">
        <f t="shared" si="12"/>
        <v>0.14729390828700026</v>
      </c>
      <c r="I240" s="10">
        <f>(co2e_g_kwh!E240)/1000000000000</f>
        <v>1.6252621705320038</v>
      </c>
      <c r="J240" s="10">
        <f>(co2e_g_kwh!H240)/1000000000000</f>
        <v>2.7343329949079833</v>
      </c>
      <c r="K240" s="20">
        <f t="shared" si="13"/>
        <v>4.3595951654399876</v>
      </c>
      <c r="L240" s="21">
        <f>(co2e_g_kwh!I240)/1000000000000</f>
        <v>0.65181022634700658</v>
      </c>
      <c r="M240" s="10">
        <f>(co2e_g_kwh!J240)/1000000000000</f>
        <v>0</v>
      </c>
      <c r="N240" s="10">
        <f>(co2e_g_kwh!L240)/1000000000000</f>
        <v>2.9315121359999974E-2</v>
      </c>
      <c r="O240" s="10">
        <f>(co2e_g_kwh!M240)/1000000000000</f>
        <v>1.435792428000001E-2</v>
      </c>
      <c r="P240" s="22">
        <f t="shared" si="14"/>
        <v>4.3673045639999984E-2</v>
      </c>
      <c r="Q240" s="10">
        <f>(co2e_g_kwh!N240)/1000000000000</f>
        <v>0</v>
      </c>
      <c r="R240" s="10">
        <f>(co2e_g_kwh!O240)/1000000000000</f>
        <v>0</v>
      </c>
      <c r="S240" s="14">
        <f t="shared" si="15"/>
        <v>5.202372345713993</v>
      </c>
    </row>
    <row r="241" spans="1:19" x14ac:dyDescent="0.3">
      <c r="A241" s="6">
        <v>240</v>
      </c>
      <c r="B241" s="6">
        <v>2019</v>
      </c>
      <c r="C241" s="6">
        <v>12</v>
      </c>
      <c r="D241" s="10">
        <f>(co2e_g_kwh!D241)/1000000000000</f>
        <v>2.626026332799921E-2</v>
      </c>
      <c r="E241" s="10">
        <f>(co2e_g_kwh!F241)/1000000000000</f>
        <v>6.4741194660999812E-2</v>
      </c>
      <c r="F241" s="10">
        <f>(co2e_g_kwh!G241)/1000000000000</f>
        <v>1.8782879149000013E-2</v>
      </c>
      <c r="G241" s="10">
        <f>(co2e_g_kwh!K241)/1000000000000</f>
        <v>1.9234078032000022E-2</v>
      </c>
      <c r="H241" s="19">
        <f t="shared" si="12"/>
        <v>0.12901841516999907</v>
      </c>
      <c r="I241" s="10">
        <f>(co2e_g_kwh!E241)/1000000000000</f>
        <v>1.6927230109790043</v>
      </c>
      <c r="J241" s="10">
        <f>(co2e_g_kwh!H241)/1000000000000</f>
        <v>2.2075609648319974</v>
      </c>
      <c r="K241" s="20">
        <f t="shared" si="13"/>
        <v>3.9002839758110017</v>
      </c>
      <c r="L241" s="21">
        <f>(co2e_g_kwh!I241)/1000000000000</f>
        <v>0.71170898276100947</v>
      </c>
      <c r="M241" s="10">
        <f>(co2e_g_kwh!J241)/1000000000000</f>
        <v>0</v>
      </c>
      <c r="N241" s="10">
        <f>(co2e_g_kwh!L241)/1000000000000</f>
        <v>3.608836475999995E-2</v>
      </c>
      <c r="O241" s="10">
        <f>(co2e_g_kwh!M241)/1000000000000</f>
        <v>1.5776560799999988E-2</v>
      </c>
      <c r="P241" s="22">
        <f t="shared" si="14"/>
        <v>5.1864925559999941E-2</v>
      </c>
      <c r="Q241" s="10">
        <f>(co2e_g_kwh!N241)/1000000000000</f>
        <v>0</v>
      </c>
      <c r="R241" s="10">
        <f>(co2e_g_kwh!O241)/1000000000000</f>
        <v>0</v>
      </c>
      <c r="S241" s="14">
        <f t="shared" si="15"/>
        <v>4.7928762993020104</v>
      </c>
    </row>
    <row r="242" spans="1:19" x14ac:dyDescent="0.3">
      <c r="A242" s="6">
        <v>241</v>
      </c>
      <c r="B242" s="6">
        <v>2020</v>
      </c>
      <c r="C242" s="6">
        <v>1</v>
      </c>
      <c r="D242" s="10">
        <f>(co2e_g_kwh!D242)/1000000000000</f>
        <v>1.8167812675999599E-2</v>
      </c>
      <c r="E242" s="10">
        <f>(co2e_g_kwh!F242)/1000000000000</f>
        <v>3.491310774900052E-2</v>
      </c>
      <c r="F242" s="10">
        <f>(co2e_g_kwh!G242)/1000000000000</f>
        <v>1.6311678136000023E-2</v>
      </c>
      <c r="G242" s="10">
        <f>(co2e_g_kwh!K242)/1000000000000</f>
        <v>1.5062424272999995E-2</v>
      </c>
      <c r="H242" s="19">
        <f t="shared" si="12"/>
        <v>8.4455022834000137E-2</v>
      </c>
      <c r="I242" s="10">
        <f>(co2e_g_kwh!E242)/1000000000000</f>
        <v>1.7694938180920081</v>
      </c>
      <c r="J242" s="10">
        <f>(co2e_g_kwh!H242)/1000000000000</f>
        <v>2.7488178363510101</v>
      </c>
      <c r="K242" s="20">
        <f t="shared" si="13"/>
        <v>4.5183116544430177</v>
      </c>
      <c r="L242" s="21">
        <f>(co2e_g_kwh!I242)/1000000000000</f>
        <v>0.79805951698200062</v>
      </c>
      <c r="M242" s="10">
        <f>(co2e_g_kwh!J242)/1000000000000</f>
        <v>0</v>
      </c>
      <c r="N242" s="10">
        <f>(co2e_g_kwh!L242)/1000000000000</f>
        <v>3.6397525919999972E-2</v>
      </c>
      <c r="O242" s="10">
        <f>(co2e_g_kwh!M242)/1000000000000</f>
        <v>1.4775837720000006E-2</v>
      </c>
      <c r="P242" s="22">
        <f t="shared" si="14"/>
        <v>5.1173363639999976E-2</v>
      </c>
      <c r="Q242" s="10">
        <f>(co2e_g_kwh!N242)/1000000000000</f>
        <v>0</v>
      </c>
      <c r="R242" s="10">
        <f>(co2e_g_kwh!O242)/1000000000000</f>
        <v>0</v>
      </c>
      <c r="S242" s="14">
        <f t="shared" si="15"/>
        <v>5.4519995578990192</v>
      </c>
    </row>
    <row r="243" spans="1:19" x14ac:dyDescent="0.3">
      <c r="A243" s="6">
        <v>242</v>
      </c>
      <c r="B243" s="6">
        <v>2020</v>
      </c>
      <c r="C243" s="6">
        <v>2</v>
      </c>
      <c r="D243" s="10">
        <f>(co2e_g_kwh!D243)/1000000000000</f>
        <v>1.6566876611999876E-2</v>
      </c>
      <c r="E243" s="10">
        <f>(co2e_g_kwh!F243)/1000000000000</f>
        <v>3.523396665100028E-2</v>
      </c>
      <c r="F243" s="10">
        <f>(co2e_g_kwh!G243)/1000000000000</f>
        <v>1.5366707211999991E-2</v>
      </c>
      <c r="G243" s="10">
        <f>(co2e_g_kwh!K243)/1000000000000</f>
        <v>1.2332297432000011E-2</v>
      </c>
      <c r="H243" s="19">
        <f t="shared" si="12"/>
        <v>7.9499847907000154E-2</v>
      </c>
      <c r="I243" s="10">
        <f>(co2e_g_kwh!E243)/1000000000000</f>
        <v>1.0018553815270006</v>
      </c>
      <c r="J243" s="10">
        <f>(co2e_g_kwh!H243)/1000000000000</f>
        <v>1.6278079917599886</v>
      </c>
      <c r="K243" s="20">
        <f t="shared" si="13"/>
        <v>2.6296633732869892</v>
      </c>
      <c r="L243" s="21">
        <f>(co2e_g_kwh!I243)/1000000000000</f>
        <v>0.80341048166400431</v>
      </c>
      <c r="M243" s="10">
        <f>(co2e_g_kwh!J243)/1000000000000</f>
        <v>0</v>
      </c>
      <c r="N243" s="10">
        <f>(co2e_g_kwh!L243)/1000000000000</f>
        <v>2.5463957399999904E-2</v>
      </c>
      <c r="O243" s="10">
        <f>(co2e_g_kwh!M243)/1000000000000</f>
        <v>1.3623845760000005E-2</v>
      </c>
      <c r="P243" s="22">
        <f t="shared" si="14"/>
        <v>3.9087803159999907E-2</v>
      </c>
      <c r="Q243" s="10">
        <f>(co2e_g_kwh!N243)/1000000000000</f>
        <v>0</v>
      </c>
      <c r="R243" s="10">
        <f>(co2e_g_kwh!O243)/1000000000000</f>
        <v>0</v>
      </c>
      <c r="S243" s="14">
        <f t="shared" si="15"/>
        <v>3.5516615060179939</v>
      </c>
    </row>
    <row r="244" spans="1:19" x14ac:dyDescent="0.3">
      <c r="A244" s="6">
        <v>243</v>
      </c>
      <c r="B244" s="6">
        <v>2020</v>
      </c>
      <c r="C244" s="6">
        <v>3</v>
      </c>
      <c r="D244" s="10">
        <f>(co2e_g_kwh!D244)/1000000000000</f>
        <v>2.4751375115999751E-2</v>
      </c>
      <c r="E244" s="10">
        <f>(co2e_g_kwh!F244)/1000000000000</f>
        <v>2.8798079947E-2</v>
      </c>
      <c r="F244" s="10">
        <f>(co2e_g_kwh!G244)/1000000000000</f>
        <v>1.8037766290999947E-2</v>
      </c>
      <c r="G244" s="10">
        <f>(co2e_g_kwh!K244)/1000000000000</f>
        <v>1.6667571582999995E-2</v>
      </c>
      <c r="H244" s="19">
        <f t="shared" si="12"/>
        <v>8.8254792936999699E-2</v>
      </c>
      <c r="I244" s="10">
        <f>(co2e_g_kwh!E244)/1000000000000</f>
        <v>0.64396151820000014</v>
      </c>
      <c r="J244" s="10">
        <f>(co2e_g_kwh!H244)/1000000000000</f>
        <v>1.2718117126079906</v>
      </c>
      <c r="K244" s="20">
        <f t="shared" si="13"/>
        <v>1.9157732308079907</v>
      </c>
      <c r="L244" s="21">
        <f>(co2e_g_kwh!I244)/1000000000000</f>
        <v>0.85099680453900606</v>
      </c>
      <c r="M244" s="10">
        <f>(co2e_g_kwh!J244)/1000000000000</f>
        <v>0</v>
      </c>
      <c r="N244" s="10">
        <f>(co2e_g_kwh!L244)/1000000000000</f>
        <v>3.5085497999999991E-3</v>
      </c>
      <c r="O244" s="10">
        <f>(co2e_g_kwh!M244)/1000000000000</f>
        <v>6.7238427479999974E-2</v>
      </c>
      <c r="P244" s="22">
        <f t="shared" si="14"/>
        <v>7.074697727999997E-2</v>
      </c>
      <c r="Q244" s="10">
        <f>(co2e_g_kwh!N244)/1000000000000</f>
        <v>0</v>
      </c>
      <c r="R244" s="10">
        <f>(co2e_g_kwh!O244)/1000000000000</f>
        <v>0</v>
      </c>
      <c r="S244" s="14">
        <f t="shared" si="15"/>
        <v>2.9257718055639961</v>
      </c>
    </row>
    <row r="245" spans="1:19" x14ac:dyDescent="0.3">
      <c r="A245" s="6">
        <v>244</v>
      </c>
      <c r="B245" s="6">
        <v>2020</v>
      </c>
      <c r="C245" s="6">
        <v>4</v>
      </c>
      <c r="D245" s="10">
        <f>(co2e_g_kwh!D245)/1000000000000</f>
        <v>4.336379907600036E-2</v>
      </c>
      <c r="E245" s="10">
        <f>(co2e_g_kwh!F245)/1000000000000</f>
        <v>3.950781985800042E-2</v>
      </c>
      <c r="F245" s="10">
        <f>(co2e_g_kwh!G245)/1000000000000</f>
        <v>1.8853106705999944E-2</v>
      </c>
      <c r="G245" s="10">
        <f>(co2e_g_kwh!K245)/1000000000000</f>
        <v>1.7663771268000009E-2</v>
      </c>
      <c r="H245" s="19">
        <f t="shared" si="12"/>
        <v>0.11938849690800073</v>
      </c>
      <c r="I245" s="10">
        <f>(co2e_g_kwh!E245)/1000000000000</f>
        <v>0.20311827435899943</v>
      </c>
      <c r="J245" s="10">
        <f>(co2e_g_kwh!H245)/1000000000000</f>
        <v>1.0053161743140009</v>
      </c>
      <c r="K245" s="20">
        <f t="shared" si="13"/>
        <v>1.2084344486730003</v>
      </c>
      <c r="L245" s="21">
        <f>(co2e_g_kwh!I245)/1000000000000</f>
        <v>0.67743671351997858</v>
      </c>
      <c r="M245" s="10">
        <f>(co2e_g_kwh!J245)/1000000000000</f>
        <v>0</v>
      </c>
      <c r="N245" s="10">
        <f>(co2e_g_kwh!L245)/1000000000000</f>
        <v>6.3899959200000144E-3</v>
      </c>
      <c r="O245" s="10">
        <f>(co2e_g_kwh!M245)/1000000000000</f>
        <v>9.86009917200001E-2</v>
      </c>
      <c r="P245" s="22">
        <f t="shared" si="14"/>
        <v>0.10499098764000012</v>
      </c>
      <c r="Q245" s="10">
        <f>(co2e_g_kwh!N245)/1000000000000</f>
        <v>0</v>
      </c>
      <c r="R245" s="10">
        <f>(co2e_g_kwh!O245)/1000000000000</f>
        <v>0</v>
      </c>
      <c r="S245" s="14">
        <f t="shared" si="15"/>
        <v>2.1102506467409801</v>
      </c>
    </row>
    <row r="246" spans="1:19" x14ac:dyDescent="0.3">
      <c r="A246" s="6">
        <v>245</v>
      </c>
      <c r="B246" s="6">
        <v>2020</v>
      </c>
      <c r="C246" s="6">
        <v>5</v>
      </c>
      <c r="D246" s="10">
        <f>(co2e_g_kwh!D246)/1000000000000</f>
        <v>5.6124115372000495E-2</v>
      </c>
      <c r="E246" s="10">
        <f>(co2e_g_kwh!F246)/1000000000000</f>
        <v>4.8938588751000045E-2</v>
      </c>
      <c r="F246" s="10">
        <f>(co2e_g_kwh!G246)/1000000000000</f>
        <v>1.9008901338999958E-2</v>
      </c>
      <c r="G246" s="10">
        <f>(co2e_g_kwh!K246)/1000000000000</f>
        <v>1.9262013680000009E-2</v>
      </c>
      <c r="H246" s="19">
        <f t="shared" si="12"/>
        <v>0.14333361914200049</v>
      </c>
      <c r="I246" s="10">
        <f>(co2e_g_kwh!E246)/1000000000000</f>
        <v>0.47925384306800023</v>
      </c>
      <c r="J246" s="10">
        <f>(co2e_g_kwh!H246)/1000000000000</f>
        <v>0.95540255179200417</v>
      </c>
      <c r="K246" s="20">
        <f t="shared" si="13"/>
        <v>1.4346563948600044</v>
      </c>
      <c r="L246" s="21">
        <f>(co2e_g_kwh!I246)/1000000000000</f>
        <v>0.66094483211398858</v>
      </c>
      <c r="M246" s="10">
        <f>(co2e_g_kwh!J246)/1000000000000</f>
        <v>0</v>
      </c>
      <c r="N246" s="10">
        <f>(co2e_g_kwh!L246)/1000000000000</f>
        <v>6.4746855600000056E-3</v>
      </c>
      <c r="O246" s="10">
        <f>(co2e_g_kwh!M246)/1000000000000</f>
        <v>6.0926869920000022E-2</v>
      </c>
      <c r="P246" s="22">
        <f t="shared" si="14"/>
        <v>6.7401555480000028E-2</v>
      </c>
      <c r="Q246" s="10">
        <f>(co2e_g_kwh!N246)/1000000000000</f>
        <v>0</v>
      </c>
      <c r="R246" s="10">
        <f>(co2e_g_kwh!O246)/1000000000000</f>
        <v>0</v>
      </c>
      <c r="S246" s="14">
        <f t="shared" si="15"/>
        <v>2.3063364015959937</v>
      </c>
    </row>
    <row r="247" spans="1:19" x14ac:dyDescent="0.3">
      <c r="A247" s="6">
        <v>246</v>
      </c>
      <c r="B247" s="6">
        <v>2020</v>
      </c>
      <c r="C247" s="6">
        <v>6</v>
      </c>
      <c r="D247" s="10">
        <f>(co2e_g_kwh!D247)/1000000000000</f>
        <v>5.7673151536000021E-2</v>
      </c>
      <c r="E247" s="10">
        <f>(co2e_g_kwh!F247)/1000000000000</f>
        <v>6.2956607740000031E-2</v>
      </c>
      <c r="F247" s="10">
        <f>(co2e_g_kwh!G247)/1000000000000</f>
        <v>1.9034373721999974E-2</v>
      </c>
      <c r="G247" s="10">
        <f>(co2e_g_kwh!K247)/1000000000000</f>
        <v>1.3480734825999997E-2</v>
      </c>
      <c r="H247" s="19">
        <f t="shared" si="12"/>
        <v>0.15314486782400002</v>
      </c>
      <c r="I247" s="10">
        <f>(co2e_g_kwh!E247)/1000000000000</f>
        <v>0.61135775400700032</v>
      </c>
      <c r="J247" s="10">
        <f>(co2e_g_kwh!H247)/1000000000000</f>
        <v>1.1663487537299948</v>
      </c>
      <c r="K247" s="20">
        <f t="shared" si="13"/>
        <v>1.7777065077369951</v>
      </c>
      <c r="L247" s="21">
        <f>(co2e_g_kwh!I247)/1000000000000</f>
        <v>0.6324962775389994</v>
      </c>
      <c r="M247" s="10">
        <f>(co2e_g_kwh!J247)/1000000000000</f>
        <v>0</v>
      </c>
      <c r="N247" s="10">
        <f>(co2e_g_kwh!L247)/1000000000000</f>
        <v>3.2777102400000013E-3</v>
      </c>
      <c r="O247" s="10">
        <f>(co2e_g_kwh!M247)/1000000000000</f>
        <v>3.0581185319999992E-2</v>
      </c>
      <c r="P247" s="22">
        <f t="shared" si="14"/>
        <v>3.3858895559999991E-2</v>
      </c>
      <c r="Q247" s="10">
        <f>(co2e_g_kwh!N247)/1000000000000</f>
        <v>0</v>
      </c>
      <c r="R247" s="10">
        <f>(co2e_g_kwh!O247)/1000000000000</f>
        <v>0</v>
      </c>
      <c r="S247" s="14">
        <f t="shared" si="15"/>
        <v>2.5972065486599947</v>
      </c>
    </row>
    <row r="248" spans="1:19" x14ac:dyDescent="0.3">
      <c r="A248" s="6">
        <v>247</v>
      </c>
      <c r="B248" s="6">
        <v>2020</v>
      </c>
      <c r="C248" s="6">
        <v>7</v>
      </c>
      <c r="D248" s="10">
        <f>(co2e_g_kwh!D248)/1000000000000</f>
        <v>6.1446093488000064E-2</v>
      </c>
      <c r="E248" s="10">
        <f>(co2e_g_kwh!F248)/1000000000000</f>
        <v>7.4233171025000072E-2</v>
      </c>
      <c r="F248" s="10">
        <f>(co2e_g_kwh!G248)/1000000000000</f>
        <v>2.0483497199999982E-2</v>
      </c>
      <c r="G248" s="10">
        <f>(co2e_g_kwh!K248)/1000000000000</f>
        <v>6.0994147759999961E-3</v>
      </c>
      <c r="H248" s="19">
        <f t="shared" si="12"/>
        <v>0.1622621764890001</v>
      </c>
      <c r="I248" s="10">
        <f>(co2e_g_kwh!E248)/1000000000000</f>
        <v>0.50778627099199936</v>
      </c>
      <c r="J248" s="10">
        <f>(co2e_g_kwh!H248)/1000000000000</f>
        <v>1.082501629488001</v>
      </c>
      <c r="K248" s="20">
        <f t="shared" si="13"/>
        <v>1.5902879004800003</v>
      </c>
      <c r="L248" s="21">
        <f>(co2e_g_kwh!I248)/1000000000000</f>
        <v>0.68657511052200448</v>
      </c>
      <c r="M248" s="10">
        <f>(co2e_g_kwh!J248)/1000000000000</f>
        <v>0</v>
      </c>
      <c r="N248" s="10">
        <f>(co2e_g_kwh!L248)/1000000000000</f>
        <v>1.0838183999999998E-3</v>
      </c>
      <c r="O248" s="10">
        <f>(co2e_g_kwh!M248)/1000000000000</f>
        <v>3.7869212640000052E-2</v>
      </c>
      <c r="P248" s="22">
        <f t="shared" si="14"/>
        <v>3.8953031040000051E-2</v>
      </c>
      <c r="Q248" s="10">
        <f>(co2e_g_kwh!N248)/1000000000000</f>
        <v>0</v>
      </c>
      <c r="R248" s="10">
        <f>(co2e_g_kwh!O248)/1000000000000</f>
        <v>0</v>
      </c>
      <c r="S248" s="14">
        <f t="shared" si="15"/>
        <v>2.4780782185310049</v>
      </c>
    </row>
    <row r="249" spans="1:19" x14ac:dyDescent="0.3">
      <c r="A249" s="6">
        <v>248</v>
      </c>
      <c r="B249" s="6">
        <v>2020</v>
      </c>
      <c r="C249" s="6">
        <v>8</v>
      </c>
      <c r="D249" s="10">
        <f>(co2e_g_kwh!D249)/1000000000000</f>
        <v>5.647477045599919E-2</v>
      </c>
      <c r="E249" s="10">
        <f>(co2e_g_kwh!F249)/1000000000000</f>
        <v>8.589945846299972E-2</v>
      </c>
      <c r="F249" s="10">
        <f>(co2e_g_kwh!G249)/1000000000000</f>
        <v>2.1748989694000059E-2</v>
      </c>
      <c r="G249" s="10">
        <f>(co2e_g_kwh!K249)/1000000000000</f>
        <v>1.1341053295000018E-2</v>
      </c>
      <c r="H249" s="19">
        <f t="shared" si="12"/>
        <v>0.17546427190799899</v>
      </c>
      <c r="I249" s="10">
        <f>(co2e_g_kwh!E249)/1000000000000</f>
        <v>0.5138388244990002</v>
      </c>
      <c r="J249" s="10">
        <f>(co2e_g_kwh!H249)/1000000000000</f>
        <v>1.1363187165300068</v>
      </c>
      <c r="K249" s="20">
        <f t="shared" si="13"/>
        <v>1.650157541029007</v>
      </c>
      <c r="L249" s="21">
        <f>(co2e_g_kwh!I249)/1000000000000</f>
        <v>0.67609598916300406</v>
      </c>
      <c r="M249" s="10">
        <f>(co2e_g_kwh!J249)/1000000000000</f>
        <v>0</v>
      </c>
      <c r="N249" s="10">
        <f>(co2e_g_kwh!L249)/1000000000000</f>
        <v>2.0937310800000003E-3</v>
      </c>
      <c r="O249" s="10">
        <f>(co2e_g_kwh!M249)/1000000000000</f>
        <v>3.5743615320000026E-2</v>
      </c>
      <c r="P249" s="22">
        <f t="shared" si="14"/>
        <v>3.7837346400000027E-2</v>
      </c>
      <c r="Q249" s="10">
        <f>(co2e_g_kwh!N249)/1000000000000</f>
        <v>0</v>
      </c>
      <c r="R249" s="10">
        <f>(co2e_g_kwh!O249)/1000000000000</f>
        <v>0</v>
      </c>
      <c r="S249" s="14">
        <f t="shared" si="15"/>
        <v>2.5395551485000101</v>
      </c>
    </row>
    <row r="250" spans="1:19" x14ac:dyDescent="0.3">
      <c r="A250" s="6">
        <v>249</v>
      </c>
      <c r="B250" s="6">
        <v>2020</v>
      </c>
      <c r="C250" s="6">
        <v>9</v>
      </c>
      <c r="D250" s="10">
        <f>(co2e_g_kwh!D250)/1000000000000</f>
        <v>5.7048204096000178E-2</v>
      </c>
      <c r="E250" s="10">
        <f>(co2e_g_kwh!F250)/1000000000000</f>
        <v>8.3466266038999079E-2</v>
      </c>
      <c r="F250" s="10">
        <f>(co2e_g_kwh!G250)/1000000000000</f>
        <v>2.3340196782000045E-2</v>
      </c>
      <c r="G250" s="10">
        <f>(co2e_g_kwh!K250)/1000000000000</f>
        <v>1.7435376399999973E-2</v>
      </c>
      <c r="H250" s="19">
        <f t="shared" si="12"/>
        <v>0.1812900433169993</v>
      </c>
      <c r="I250" s="10">
        <f>(co2e_g_kwh!E250)/1000000000000</f>
        <v>0.41222742460899919</v>
      </c>
      <c r="J250" s="10">
        <f>(co2e_g_kwh!H250)/1000000000000</f>
        <v>1.0416119621400026</v>
      </c>
      <c r="K250" s="20">
        <f t="shared" si="13"/>
        <v>1.4538393867490018</v>
      </c>
      <c r="L250" s="21">
        <f>(co2e_g_kwh!I250)/1000000000000</f>
        <v>0.71560310003699013</v>
      </c>
      <c r="M250" s="10">
        <f>(co2e_g_kwh!J250)/1000000000000</f>
        <v>0</v>
      </c>
      <c r="N250" s="10">
        <f>(co2e_g_kwh!L250)/1000000000000</f>
        <v>1.5172920000000004E-3</v>
      </c>
      <c r="O250" s="10">
        <f>(co2e_g_kwh!M250)/1000000000000</f>
        <v>4.645372032000003E-2</v>
      </c>
      <c r="P250" s="22">
        <f t="shared" si="14"/>
        <v>4.7971012320000034E-2</v>
      </c>
      <c r="Q250" s="10">
        <f>(co2e_g_kwh!N250)/1000000000000</f>
        <v>0</v>
      </c>
      <c r="R250" s="10">
        <f>(co2e_g_kwh!O250)/1000000000000</f>
        <v>0</v>
      </c>
      <c r="S250" s="14">
        <f t="shared" si="15"/>
        <v>2.3987035424229912</v>
      </c>
    </row>
    <row r="251" spans="1:19" x14ac:dyDescent="0.3">
      <c r="A251" s="6">
        <v>250</v>
      </c>
      <c r="B251" s="6">
        <v>2020</v>
      </c>
      <c r="C251" s="6">
        <v>10</v>
      </c>
      <c r="D251" s="10">
        <f>(co2e_g_kwh!D251)/1000000000000</f>
        <v>5.5524759107999686E-2</v>
      </c>
      <c r="E251" s="10">
        <f>(co2e_g_kwh!F251)/1000000000000</f>
        <v>7.2036645486000098E-2</v>
      </c>
      <c r="F251" s="10">
        <f>(co2e_g_kwh!G251)/1000000000000</f>
        <v>2.1771644029000045E-2</v>
      </c>
      <c r="G251" s="10">
        <f>(co2e_g_kwh!K251)/1000000000000</f>
        <v>1.7953238744999992E-2</v>
      </c>
      <c r="H251" s="19">
        <f t="shared" si="12"/>
        <v>0.16728628736799983</v>
      </c>
      <c r="I251" s="10">
        <f>(co2e_g_kwh!E251)/1000000000000</f>
        <v>1.4906668196419965</v>
      </c>
      <c r="J251" s="10">
        <f>(co2e_g_kwh!H251)/1000000000000</f>
        <v>2.5172580933719884</v>
      </c>
      <c r="K251" s="20">
        <f t="shared" si="13"/>
        <v>4.0079249130139853</v>
      </c>
      <c r="L251" s="21">
        <f>(co2e_g_kwh!I251)/1000000000000</f>
        <v>0.69717073429499399</v>
      </c>
      <c r="M251" s="10">
        <f>(co2e_g_kwh!J251)/1000000000000</f>
        <v>0</v>
      </c>
      <c r="N251" s="10">
        <f>(co2e_g_kwh!L251)/1000000000000</f>
        <v>0.27615269219999966</v>
      </c>
      <c r="O251" s="10">
        <f>(co2e_g_kwh!M251)/1000000000000</f>
        <v>0.14848249331999991</v>
      </c>
      <c r="P251" s="22">
        <f t="shared" si="14"/>
        <v>0.42463518551999957</v>
      </c>
      <c r="Q251" s="10">
        <f>(co2e_g_kwh!N251)/1000000000000</f>
        <v>0</v>
      </c>
      <c r="R251" s="10">
        <f>(co2e_g_kwh!O251)/1000000000000</f>
        <v>0</v>
      </c>
      <c r="S251" s="14">
        <f t="shared" si="15"/>
        <v>5.2970171201969771</v>
      </c>
    </row>
    <row r="252" spans="1:19" x14ac:dyDescent="0.3">
      <c r="A252" s="6">
        <v>251</v>
      </c>
      <c r="B252" s="6">
        <v>2020</v>
      </c>
      <c r="C252" s="6">
        <v>11</v>
      </c>
      <c r="D252" s="10">
        <f>(co2e_g_kwh!D252)/1000000000000</f>
        <v>4.6889950484000013E-2</v>
      </c>
      <c r="E252" s="10">
        <f>(co2e_g_kwh!F252)/1000000000000</f>
        <v>6.4473864221000279E-2</v>
      </c>
      <c r="F252" s="10">
        <f>(co2e_g_kwh!G252)/1000000000000</f>
        <v>1.9153798783000001E-2</v>
      </c>
      <c r="G252" s="10">
        <f>(co2e_g_kwh!K252)/1000000000000</f>
        <v>1.7420711620000005E-2</v>
      </c>
      <c r="H252" s="19">
        <f t="shared" si="12"/>
        <v>0.14793832510800028</v>
      </c>
      <c r="I252" s="10">
        <f>(co2e_g_kwh!E252)/1000000000000</f>
        <v>1.4818700987089997</v>
      </c>
      <c r="J252" s="10">
        <f>(co2e_g_kwh!H252)/1000000000000</f>
        <v>2.9269764655200006</v>
      </c>
      <c r="K252" s="20">
        <f t="shared" si="13"/>
        <v>4.408846564229</v>
      </c>
      <c r="L252" s="21">
        <f>(co2e_g_kwh!I252)/1000000000000</f>
        <v>0.61588496919600166</v>
      </c>
      <c r="M252" s="10">
        <f>(co2e_g_kwh!J252)/1000000000000</f>
        <v>0</v>
      </c>
      <c r="N252" s="10">
        <f>(co2e_g_kwh!L252)/1000000000000</f>
        <v>0.43413382235999792</v>
      </c>
      <c r="O252" s="10">
        <f>(co2e_g_kwh!M252)/1000000000000</f>
        <v>0.27496298592000029</v>
      </c>
      <c r="P252" s="22">
        <f t="shared" si="14"/>
        <v>0.70909680827999821</v>
      </c>
      <c r="Q252" s="10">
        <f>(co2e_g_kwh!N252)/1000000000000</f>
        <v>0</v>
      </c>
      <c r="R252" s="10">
        <f>(co2e_g_kwh!O252)/1000000000000</f>
        <v>0</v>
      </c>
      <c r="S252" s="14">
        <f t="shared" si="15"/>
        <v>5.8817666668130011</v>
      </c>
    </row>
    <row r="253" spans="1:19" x14ac:dyDescent="0.3">
      <c r="A253" s="6">
        <v>252</v>
      </c>
      <c r="B253" s="6">
        <v>2020</v>
      </c>
      <c r="C253" s="6">
        <v>12</v>
      </c>
      <c r="D253" s="10">
        <f>(co2e_g_kwh!D253)/1000000000000</f>
        <v>2.6671699184000121E-2</v>
      </c>
      <c r="E253" s="10">
        <f>(co2e_g_kwh!F253)/1000000000000</f>
        <v>7.0393865177999629E-2</v>
      </c>
      <c r="F253" s="10">
        <f>(co2e_g_kwh!G253)/1000000000000</f>
        <v>1.9655480943999954E-2</v>
      </c>
      <c r="G253" s="10">
        <f>(co2e_g_kwh!K253)/1000000000000</f>
        <v>1.7916489032000004E-2</v>
      </c>
      <c r="H253" s="19">
        <f t="shared" si="12"/>
        <v>0.13463753433799971</v>
      </c>
      <c r="I253" s="10">
        <f>(co2e_g_kwh!E253)/1000000000000</f>
        <v>1.7810417685060107</v>
      </c>
      <c r="J253" s="10">
        <f>(co2e_g_kwh!H253)/1000000000000</f>
        <v>2.9309962964220087</v>
      </c>
      <c r="K253" s="20">
        <f t="shared" si="13"/>
        <v>4.7120380649280191</v>
      </c>
      <c r="L253" s="21">
        <f>(co2e_g_kwh!I253)/1000000000000</f>
        <v>0.68341509688199376</v>
      </c>
      <c r="M253" s="10">
        <f>(co2e_g_kwh!J253)/1000000000000</f>
        <v>0</v>
      </c>
      <c r="N253" s="10">
        <f>(co2e_g_kwh!L253)/1000000000000</f>
        <v>0.34713554820000009</v>
      </c>
      <c r="O253" s="10">
        <f>(co2e_g_kwh!M253)/1000000000000</f>
        <v>0.21078135119999955</v>
      </c>
      <c r="P253" s="22">
        <f t="shared" si="14"/>
        <v>0.55791689939999967</v>
      </c>
      <c r="Q253" s="10">
        <f>(co2e_g_kwh!N253)/1000000000000</f>
        <v>0</v>
      </c>
      <c r="R253" s="10">
        <f>(co2e_g_kwh!O253)/1000000000000</f>
        <v>0</v>
      </c>
      <c r="S253" s="14">
        <f t="shared" si="15"/>
        <v>6.0880075955480129</v>
      </c>
    </row>
    <row r="254" spans="1:19" x14ac:dyDescent="0.3">
      <c r="A254" s="6">
        <v>253</v>
      </c>
      <c r="B254" s="6">
        <v>2021</v>
      </c>
      <c r="C254" s="6">
        <v>1</v>
      </c>
      <c r="D254" s="10">
        <f>(co2e_g_kwh!D254)/1000000000000</f>
        <v>1.5159981304000456E-2</v>
      </c>
      <c r="E254" s="10">
        <f>(co2e_g_kwh!F254)/1000000000000</f>
        <v>6.9634490782999964E-2</v>
      </c>
      <c r="F254" s="10">
        <f>(co2e_g_kwh!G254)/1000000000000</f>
        <v>2.1827340209000026E-2</v>
      </c>
      <c r="G254" s="10">
        <f>(co2e_g_kwh!K254)/1000000000000</f>
        <v>1.7878739111999966E-2</v>
      </c>
      <c r="H254" s="19">
        <f t="shared" si="12"/>
        <v>0.12450055140800041</v>
      </c>
      <c r="I254" s="10">
        <f>(co2e_g_kwh!E254)/1000000000000</f>
        <v>1.6027383952580065</v>
      </c>
      <c r="J254" s="10">
        <f>(co2e_g_kwh!H254)/1000000000000</f>
        <v>2.8526987799359986</v>
      </c>
      <c r="K254" s="20">
        <f t="shared" si="13"/>
        <v>4.455437175194005</v>
      </c>
      <c r="L254" s="21">
        <f>(co2e_g_kwh!I254)/1000000000000</f>
        <v>0.72190050678900852</v>
      </c>
      <c r="M254" s="10">
        <f>(co2e_g_kwh!J254)/1000000000000</f>
        <v>0</v>
      </c>
      <c r="N254" s="10">
        <f>(co2e_g_kwh!L254)/1000000000000</f>
        <v>0.60375909467999878</v>
      </c>
      <c r="O254" s="10">
        <f>(co2e_g_kwh!M254)/1000000000000</f>
        <v>0.24509929499999938</v>
      </c>
      <c r="P254" s="22">
        <f t="shared" si="14"/>
        <v>0.84885838967999816</v>
      </c>
      <c r="Q254" s="10">
        <f>(co2e_g_kwh!N254)/1000000000000</f>
        <v>0</v>
      </c>
      <c r="R254" s="10">
        <f>(co2e_g_kwh!O254)/1000000000000</f>
        <v>0</v>
      </c>
      <c r="S254" s="14">
        <f t="shared" si="15"/>
        <v>6.1506966230710125</v>
      </c>
    </row>
    <row r="255" spans="1:19" x14ac:dyDescent="0.3">
      <c r="A255" s="6">
        <v>254</v>
      </c>
      <c r="B255" s="6">
        <v>2021</v>
      </c>
      <c r="C255" s="6">
        <v>2</v>
      </c>
      <c r="D255" s="10">
        <f>(co2e_g_kwh!D255)/1000000000000</f>
        <v>1.2277057624000449E-2</v>
      </c>
      <c r="E255" s="10">
        <f>(co2e_g_kwh!F255)/1000000000000</f>
        <v>4.5027592766000817E-2</v>
      </c>
      <c r="F255" s="10">
        <f>(co2e_g_kwh!G255)/1000000000000</f>
        <v>1.7419534822999981E-2</v>
      </c>
      <c r="G255" s="10">
        <f>(co2e_g_kwh!K255)/1000000000000</f>
        <v>1.6104573797000001E-2</v>
      </c>
      <c r="H255" s="19">
        <f t="shared" si="12"/>
        <v>9.0828759010001259E-2</v>
      </c>
      <c r="I255" s="10">
        <f>(co2e_g_kwh!E255)/1000000000000</f>
        <v>1.2627986821450023</v>
      </c>
      <c r="J255" s="10">
        <f>(co2e_g_kwh!H255)/1000000000000</f>
        <v>1.8649444853520087</v>
      </c>
      <c r="K255" s="20">
        <f t="shared" si="13"/>
        <v>3.1277431674970111</v>
      </c>
      <c r="L255" s="21">
        <f>(co2e_g_kwh!I255)/1000000000000</f>
        <v>0.73429483241100124</v>
      </c>
      <c r="M255" s="10">
        <f>(co2e_g_kwh!J255)/1000000000000</f>
        <v>0</v>
      </c>
      <c r="N255" s="10">
        <f>(co2e_g_kwh!L255)/1000000000000</f>
        <v>0.20304699912000024</v>
      </c>
      <c r="O255" s="10">
        <f>(co2e_g_kwh!M255)/1000000000000</f>
        <v>8.2763478840000113E-2</v>
      </c>
      <c r="P255" s="22">
        <f t="shared" si="14"/>
        <v>0.28581047796000036</v>
      </c>
      <c r="Q255" s="10">
        <f>(co2e_g_kwh!N255)/1000000000000</f>
        <v>0</v>
      </c>
      <c r="R255" s="10">
        <f>(co2e_g_kwh!O255)/1000000000000</f>
        <v>0</v>
      </c>
      <c r="S255" s="14">
        <f t="shared" si="15"/>
        <v>4.2386772368780141</v>
      </c>
    </row>
    <row r="256" spans="1:19" x14ac:dyDescent="0.3">
      <c r="A256" s="6">
        <v>255</v>
      </c>
      <c r="B256" s="6">
        <v>2021</v>
      </c>
      <c r="C256" s="6">
        <v>3</v>
      </c>
      <c r="D256" s="10">
        <f>(co2e_g_kwh!D256)/1000000000000</f>
        <v>1.2481570607999939E-2</v>
      </c>
      <c r="E256" s="10">
        <f>(co2e_g_kwh!F256)/1000000000000</f>
        <v>5.2425386234000018E-2</v>
      </c>
      <c r="F256" s="10">
        <f>(co2e_g_kwh!G256)/1000000000000</f>
        <v>2.7295870540999911E-2</v>
      </c>
      <c r="G256" s="10">
        <f>(co2e_g_kwh!K256)/1000000000000</f>
        <v>1.7858361768000014E-2</v>
      </c>
      <c r="H256" s="19">
        <f t="shared" si="12"/>
        <v>0.11006118915099988</v>
      </c>
      <c r="I256" s="10">
        <f>(co2e_g_kwh!E256)/1000000000000</f>
        <v>0.77979993991899987</v>
      </c>
      <c r="J256" s="10">
        <f>(co2e_g_kwh!H256)/1000000000000</f>
        <v>2.0956484695679869</v>
      </c>
      <c r="K256" s="20">
        <f t="shared" si="13"/>
        <v>2.875448409486987</v>
      </c>
      <c r="L256" s="21">
        <f>(co2e_g_kwh!I256)/1000000000000</f>
        <v>0.85878364721098854</v>
      </c>
      <c r="M256" s="10">
        <f>(co2e_g_kwh!J256)/1000000000000</f>
        <v>0</v>
      </c>
      <c r="N256" s="10">
        <f>(co2e_g_kwh!L256)/1000000000000</f>
        <v>0.17032016064000002</v>
      </c>
      <c r="O256" s="10">
        <f>(co2e_g_kwh!M256)/1000000000000</f>
        <v>1.436291556E-2</v>
      </c>
      <c r="P256" s="22">
        <f t="shared" si="14"/>
        <v>0.18468307620000002</v>
      </c>
      <c r="Q256" s="10">
        <f>(co2e_g_kwh!N256)/1000000000000</f>
        <v>0</v>
      </c>
      <c r="R256" s="10">
        <f>(co2e_g_kwh!O256)/1000000000000</f>
        <v>0</v>
      </c>
      <c r="S256" s="14">
        <f t="shared" si="15"/>
        <v>4.0289763220489752</v>
      </c>
    </row>
    <row r="257" spans="1:19" x14ac:dyDescent="0.3">
      <c r="A257" s="6">
        <v>256</v>
      </c>
      <c r="B257" s="6">
        <v>2021</v>
      </c>
      <c r="C257" s="6">
        <v>4</v>
      </c>
      <c r="D257" s="10">
        <f>(co2e_g_kwh!D257)/1000000000000</f>
        <v>3.479025331600006E-2</v>
      </c>
      <c r="E257" s="10">
        <f>(co2e_g_kwh!F257)/1000000000000</f>
        <v>5.8678258795000139E-2</v>
      </c>
      <c r="F257" s="10">
        <f>(co2e_g_kwh!G257)/1000000000000</f>
        <v>2.7581876914000047E-2</v>
      </c>
      <c r="G257" s="10">
        <f>(co2e_g_kwh!K257)/1000000000000</f>
        <v>1.4436446557000005E-2</v>
      </c>
      <c r="H257" s="19">
        <f t="shared" si="12"/>
        <v>0.13548683558200025</v>
      </c>
      <c r="I257" s="10">
        <f>(co2e_g_kwh!E257)/1000000000000</f>
        <v>0.74171658460900003</v>
      </c>
      <c r="J257" s="10">
        <f>(co2e_g_kwh!H257)/1000000000000</f>
        <v>2.0381377742640221</v>
      </c>
      <c r="K257" s="20">
        <f t="shared" si="13"/>
        <v>2.7798543588730222</v>
      </c>
      <c r="L257" s="21">
        <f>(co2e_g_kwh!I257)/1000000000000</f>
        <v>0.74198952113999883</v>
      </c>
      <c r="M257" s="10">
        <f>(co2e_g_kwh!J257)/1000000000000</f>
        <v>0</v>
      </c>
      <c r="N257" s="10">
        <f>(co2e_g_kwh!L257)/1000000000000</f>
        <v>0.13662927936000024</v>
      </c>
      <c r="O257" s="10">
        <f>(co2e_g_kwh!M257)/1000000000000</f>
        <v>0.11436465599999993</v>
      </c>
      <c r="P257" s="22">
        <f t="shared" si="14"/>
        <v>0.25099393536000014</v>
      </c>
      <c r="Q257" s="10">
        <f>(co2e_g_kwh!N257)/1000000000000</f>
        <v>0</v>
      </c>
      <c r="R257" s="10">
        <f>(co2e_g_kwh!O257)/1000000000000</f>
        <v>0</v>
      </c>
      <c r="S257" s="14">
        <f t="shared" si="15"/>
        <v>3.9083246509550214</v>
      </c>
    </row>
    <row r="258" spans="1:19" x14ac:dyDescent="0.3">
      <c r="A258" s="6">
        <v>257</v>
      </c>
      <c r="B258" s="6">
        <v>2021</v>
      </c>
      <c r="C258" s="6">
        <v>5</v>
      </c>
      <c r="D258" s="10">
        <f>(co2e_g_kwh!D258)/1000000000000</f>
        <v>4.9622064439999773E-2</v>
      </c>
      <c r="E258" s="10">
        <f>(co2e_g_kwh!F258)/1000000000000</f>
        <v>6.881549590500026E-2</v>
      </c>
      <c r="F258" s="10">
        <f>(co2e_g_kwh!G258)/1000000000000</f>
        <v>3.0125675730000061E-2</v>
      </c>
      <c r="G258" s="10">
        <f>(co2e_g_kwh!K258)/1000000000000</f>
        <v>1.4023634689999988E-2</v>
      </c>
      <c r="H258" s="19">
        <f t="shared" si="12"/>
        <v>0.16258687076500006</v>
      </c>
      <c r="I258" s="10">
        <f>(co2e_g_kwh!E258)/1000000000000</f>
        <v>1.060908116267999</v>
      </c>
      <c r="J258" s="10">
        <f>(co2e_g_kwh!H258)/1000000000000</f>
        <v>2.1061880376120135</v>
      </c>
      <c r="K258" s="20">
        <f t="shared" si="13"/>
        <v>3.1670961538800126</v>
      </c>
      <c r="L258" s="21">
        <f>(co2e_g_kwh!I258)/1000000000000</f>
        <v>0.7059471432299893</v>
      </c>
      <c r="M258" s="10">
        <f>(co2e_g_kwh!J258)/1000000000000</f>
        <v>0</v>
      </c>
      <c r="N258" s="10">
        <f>(co2e_g_kwh!L258)/1000000000000</f>
        <v>0.18212222532000033</v>
      </c>
      <c r="O258" s="10">
        <f>(co2e_g_kwh!M258)/1000000000000</f>
        <v>8.2036409280000028E-2</v>
      </c>
      <c r="P258" s="22">
        <f t="shared" si="14"/>
        <v>0.26415863460000033</v>
      </c>
      <c r="Q258" s="10">
        <f>(co2e_g_kwh!N258)/1000000000000</f>
        <v>0</v>
      </c>
      <c r="R258" s="10">
        <f>(co2e_g_kwh!O258)/1000000000000</f>
        <v>0</v>
      </c>
      <c r="S258" s="14">
        <f t="shared" si="15"/>
        <v>4.2997888024750024</v>
      </c>
    </row>
    <row r="259" spans="1:19" x14ac:dyDescent="0.3">
      <c r="A259" s="6">
        <v>258</v>
      </c>
      <c r="B259" s="6">
        <v>2021</v>
      </c>
      <c r="C259" s="6">
        <v>6</v>
      </c>
      <c r="D259" s="10">
        <f>(co2e_g_kwh!D259)/1000000000000</f>
        <v>5.4157655707999984E-2</v>
      </c>
      <c r="E259" s="10">
        <f>(co2e_g_kwh!F259)/1000000000000</f>
        <v>7.583423539900036E-2</v>
      </c>
      <c r="F259" s="10">
        <f>(co2e_g_kwh!G259)/1000000000000</f>
        <v>3.1245201627999999E-2</v>
      </c>
      <c r="G259" s="10">
        <f>(co2e_g_kwh!K259)/1000000000000</f>
        <v>7.5261210570000004E-3</v>
      </c>
      <c r="H259" s="19">
        <f t="shared" ref="H259:H311" si="16">SUM(D259:G259)</f>
        <v>0.16876321379200038</v>
      </c>
      <c r="I259" s="10">
        <f>(co2e_g_kwh!E259)/1000000000000</f>
        <v>1.5852320494009982</v>
      </c>
      <c r="J259" s="10">
        <f>(co2e_g_kwh!H259)/1000000000000</f>
        <v>2.7793443383459819</v>
      </c>
      <c r="K259" s="20">
        <f t="shared" ref="K259:K311" si="17">SUM(I259:J259)</f>
        <v>4.3645763877469799</v>
      </c>
      <c r="L259" s="21">
        <f>(co2e_g_kwh!I259)/1000000000000</f>
        <v>0.58402120289099968</v>
      </c>
      <c r="M259" s="10">
        <f>(co2e_g_kwh!J259)/1000000000000</f>
        <v>0</v>
      </c>
      <c r="N259" s="10">
        <f>(co2e_g_kwh!L259)/1000000000000</f>
        <v>0.96316666571999743</v>
      </c>
      <c r="O259" s="10">
        <f>(co2e_g_kwh!M259)/1000000000000</f>
        <v>0.29263205580000018</v>
      </c>
      <c r="P259" s="22">
        <f t="shared" ref="P259:P311" si="18">SUM(M259:O259)</f>
        <v>1.2557987215199975</v>
      </c>
      <c r="Q259" s="10">
        <f>(co2e_g_kwh!N259)/1000000000000</f>
        <v>0</v>
      </c>
      <c r="R259" s="10">
        <f>(co2e_g_kwh!O259)/1000000000000</f>
        <v>0</v>
      </c>
      <c r="S259" s="14">
        <f t="shared" ref="S259:S311" si="19">D259+E259+F259+G259+I259+J259+L259+M259+N259+O259</f>
        <v>6.373159525949978</v>
      </c>
    </row>
    <row r="260" spans="1:19" x14ac:dyDescent="0.3">
      <c r="A260" s="6">
        <v>259</v>
      </c>
      <c r="B260" s="6">
        <v>2021</v>
      </c>
      <c r="C260" s="6">
        <v>7</v>
      </c>
      <c r="D260" s="10">
        <f>(co2e_g_kwh!D260)/1000000000000</f>
        <v>6.2602063524000121E-2</v>
      </c>
      <c r="E260" s="10">
        <f>(co2e_g_kwh!F260)/1000000000000</f>
        <v>9.3915190096000647E-2</v>
      </c>
      <c r="F260" s="10">
        <f>(co2e_g_kwh!G260)/1000000000000</f>
        <v>3.2996511562000147E-2</v>
      </c>
      <c r="G260" s="10">
        <f>(co2e_g_kwh!K260)/1000000000000</f>
        <v>1.0252401601000003E-2</v>
      </c>
      <c r="H260" s="19">
        <f t="shared" si="16"/>
        <v>0.19976616678300091</v>
      </c>
      <c r="I260" s="10">
        <f>(co2e_g_kwh!E260)/1000000000000</f>
        <v>1.5542658911779959</v>
      </c>
      <c r="J260" s="10">
        <f>(co2e_g_kwh!H260)/1000000000000</f>
        <v>3.2991741432179551</v>
      </c>
      <c r="K260" s="20">
        <f t="shared" si="17"/>
        <v>4.853440034395951</v>
      </c>
      <c r="L260" s="21">
        <f>(co2e_g_kwh!I260)/1000000000000</f>
        <v>0.53899754842500258</v>
      </c>
      <c r="M260" s="10">
        <f>(co2e_g_kwh!J260)/1000000000000</f>
        <v>0</v>
      </c>
      <c r="N260" s="10">
        <f>(co2e_g_kwh!L260)/1000000000000</f>
        <v>0.88894243955999697</v>
      </c>
      <c r="O260" s="10">
        <f>(co2e_g_kwh!M260)/1000000000000</f>
        <v>0.25366522523999985</v>
      </c>
      <c r="P260" s="22">
        <f t="shared" si="18"/>
        <v>1.1426076647999968</v>
      </c>
      <c r="Q260" s="10">
        <f>(co2e_g_kwh!N260)/1000000000000</f>
        <v>0</v>
      </c>
      <c r="R260" s="10">
        <f>(co2e_g_kwh!O260)/1000000000000</f>
        <v>0</v>
      </c>
      <c r="S260" s="14">
        <f t="shared" si="19"/>
        <v>6.7348114144039508</v>
      </c>
    </row>
    <row r="261" spans="1:19" x14ac:dyDescent="0.3">
      <c r="A261" s="6">
        <v>260</v>
      </c>
      <c r="B261" s="6">
        <v>2021</v>
      </c>
      <c r="C261" s="6">
        <v>8</v>
      </c>
      <c r="D261" s="10">
        <f>(co2e_g_kwh!D261)/1000000000000</f>
        <v>6.1393146879999846E-2</v>
      </c>
      <c r="E261" s="10">
        <f>(co2e_g_kwh!F261)/1000000000000</f>
        <v>0.10664492720700072</v>
      </c>
      <c r="F261" s="10">
        <f>(co2e_g_kwh!G261)/1000000000000</f>
        <v>3.5026406971999997E-2</v>
      </c>
      <c r="G261" s="10">
        <f>(co2e_g_kwh!K261)/1000000000000</f>
        <v>1.9352341124999992E-2</v>
      </c>
      <c r="H261" s="19">
        <f t="shared" si="16"/>
        <v>0.22241682218400055</v>
      </c>
      <c r="I261" s="10">
        <f>(co2e_g_kwh!E261)/1000000000000</f>
        <v>1.812173431068</v>
      </c>
      <c r="J261" s="10">
        <f>(co2e_g_kwh!H261)/1000000000000</f>
        <v>3.3400104424199908</v>
      </c>
      <c r="K261" s="20">
        <f t="shared" si="17"/>
        <v>5.1521838734879903</v>
      </c>
      <c r="L261" s="21">
        <f>(co2e_g_kwh!I261)/1000000000000</f>
        <v>0.51298083228000058</v>
      </c>
      <c r="M261" s="10">
        <f>(co2e_g_kwh!J261)/1000000000000</f>
        <v>0</v>
      </c>
      <c r="N261" s="10">
        <f>(co2e_g_kwh!L261)/1000000000000</f>
        <v>1.1732551370399997</v>
      </c>
      <c r="O261" s="10">
        <f>(co2e_g_kwh!M261)/1000000000000</f>
        <v>0.26706632651999962</v>
      </c>
      <c r="P261" s="22">
        <f t="shared" si="18"/>
        <v>1.4403214635599992</v>
      </c>
      <c r="Q261" s="10">
        <f>(co2e_g_kwh!N261)/1000000000000</f>
        <v>0</v>
      </c>
      <c r="R261" s="10">
        <f>(co2e_g_kwh!O261)/1000000000000</f>
        <v>0</v>
      </c>
      <c r="S261" s="14">
        <f t="shared" si="19"/>
        <v>7.3279029915119906</v>
      </c>
    </row>
    <row r="262" spans="1:19" x14ac:dyDescent="0.3">
      <c r="A262" s="6">
        <v>261</v>
      </c>
      <c r="B262" s="6">
        <v>2021</v>
      </c>
      <c r="C262" s="6">
        <v>9</v>
      </c>
      <c r="D262" s="10">
        <f>(co2e_g_kwh!D262)/1000000000000</f>
        <v>5.8012733584000338E-2</v>
      </c>
      <c r="E262" s="10">
        <f>(co2e_g_kwh!F262)/1000000000000</f>
        <v>0.10293477103000023</v>
      </c>
      <c r="F262" s="10">
        <f>(co2e_g_kwh!G262)/1000000000000</f>
        <v>4.1335317221000069E-2</v>
      </c>
      <c r="G262" s="10">
        <f>(co2e_g_kwh!K262)/1000000000000</f>
        <v>1.879462032499999E-2</v>
      </c>
      <c r="H262" s="19">
        <f t="shared" si="16"/>
        <v>0.22107744216000061</v>
      </c>
      <c r="I262" s="10">
        <f>(co2e_g_kwh!E262)/1000000000000</f>
        <v>1.6819906713609964</v>
      </c>
      <c r="J262" s="10">
        <f>(co2e_g_kwh!H262)/1000000000000</f>
        <v>3.1796519245919863</v>
      </c>
      <c r="K262" s="20">
        <f t="shared" si="17"/>
        <v>4.8616425959529828</v>
      </c>
      <c r="L262" s="21">
        <f>(co2e_g_kwh!I262)/1000000000000</f>
        <v>0.5336106548639874</v>
      </c>
      <c r="M262" s="10">
        <f>(co2e_g_kwh!J262)/1000000000000</f>
        <v>0</v>
      </c>
      <c r="N262" s="10">
        <f>(co2e_g_kwh!L262)/1000000000000</f>
        <v>1.1678647864800029</v>
      </c>
      <c r="O262" s="10">
        <f>(co2e_g_kwh!M262)/1000000000000</f>
        <v>0.33152581811999937</v>
      </c>
      <c r="P262" s="22">
        <f t="shared" si="18"/>
        <v>1.4993906046000023</v>
      </c>
      <c r="Q262" s="10">
        <f>(co2e_g_kwh!N262)/1000000000000</f>
        <v>0</v>
      </c>
      <c r="R262" s="10">
        <f>(co2e_g_kwh!O262)/1000000000000</f>
        <v>0</v>
      </c>
      <c r="S262" s="14">
        <f t="shared" si="19"/>
        <v>7.1157212975769726</v>
      </c>
    </row>
    <row r="263" spans="1:19" x14ac:dyDescent="0.3">
      <c r="A263" s="6">
        <v>262</v>
      </c>
      <c r="B263" s="6">
        <v>2021</v>
      </c>
      <c r="C263" s="6">
        <v>10</v>
      </c>
      <c r="D263" s="10">
        <f>(co2e_g_kwh!D263)/1000000000000</f>
        <v>1.9012264387999991E-2</v>
      </c>
      <c r="E263" s="10">
        <f>(co2e_g_kwh!F263)/1000000000000</f>
        <v>9.479228294899851E-2</v>
      </c>
      <c r="F263" s="10">
        <f>(co2e_g_kwh!G263)/1000000000000</f>
        <v>4.0478554264931764E-2</v>
      </c>
      <c r="G263" s="10">
        <f>(co2e_g_kwh!K263)/1000000000000</f>
        <v>1.8335861413999972E-2</v>
      </c>
      <c r="H263" s="19">
        <f t="shared" si="16"/>
        <v>0.17261896301593024</v>
      </c>
      <c r="I263" s="10">
        <f>(co2e_g_kwh!E263)/1000000000000</f>
        <v>1.7295295067049958</v>
      </c>
      <c r="J263" s="10">
        <f>(co2e_g_kwh!H263)/1000000000000</f>
        <v>3.7145900440259867</v>
      </c>
      <c r="K263" s="20">
        <f t="shared" si="17"/>
        <v>5.4441195507309823</v>
      </c>
      <c r="L263" s="21">
        <f>(co2e_g_kwh!I263)/1000000000000</f>
        <v>0.54492652966497579</v>
      </c>
      <c r="M263" s="10">
        <f>(co2e_g_kwh!J263)/1000000000000</f>
        <v>0</v>
      </c>
      <c r="N263" s="10">
        <f>(co2e_g_kwh!L263)/1000000000000</f>
        <v>1.1478633852000037</v>
      </c>
      <c r="O263" s="10">
        <f>(co2e_g_kwh!M263)/1000000000000</f>
        <v>0.40172537496000027</v>
      </c>
      <c r="P263" s="22">
        <f t="shared" si="18"/>
        <v>1.549588760160004</v>
      </c>
      <c r="Q263" s="10">
        <f>(co2e_g_kwh!N263)/1000000000000</f>
        <v>0</v>
      </c>
      <c r="R263" s="10">
        <f>(co2e_g_kwh!O263)/1000000000000</f>
        <v>0</v>
      </c>
      <c r="S263" s="14">
        <f t="shared" si="19"/>
        <v>7.7112538035718927</v>
      </c>
    </row>
    <row r="264" spans="1:19" x14ac:dyDescent="0.3">
      <c r="A264" s="6">
        <v>263</v>
      </c>
      <c r="B264" s="6">
        <v>2021</v>
      </c>
      <c r="C264" s="6">
        <v>11</v>
      </c>
      <c r="D264" s="10">
        <f>(co2e_g_kwh!D264)/1000000000000</f>
        <v>3.1625165779999867E-2</v>
      </c>
      <c r="E264" s="10">
        <f>(co2e_g_kwh!F264)/1000000000000</f>
        <v>7.6972807288000364E-2</v>
      </c>
      <c r="F264" s="10">
        <f>(co2e_g_kwh!G264)/1000000000000</f>
        <v>3.7560664647000072E-2</v>
      </c>
      <c r="G264" s="10">
        <f>(co2e_g_kwh!K264)/1000000000000</f>
        <v>1.7142770190000003E-2</v>
      </c>
      <c r="H264" s="19">
        <f t="shared" si="16"/>
        <v>0.16330140790500031</v>
      </c>
      <c r="I264" s="10">
        <f>(co2e_g_kwh!E264)/1000000000000</f>
        <v>1.532192993331003</v>
      </c>
      <c r="J264" s="10">
        <f>(co2e_g_kwh!H264)/1000000000000</f>
        <v>3.3671987083439991</v>
      </c>
      <c r="K264" s="20">
        <f t="shared" si="17"/>
        <v>4.8993917016750022</v>
      </c>
      <c r="L264" s="21">
        <f>(co2e_g_kwh!I264)/1000000000000</f>
        <v>0.62351772886197354</v>
      </c>
      <c r="M264" s="10">
        <f>(co2e_g_kwh!J264)/1000000000000</f>
        <v>0</v>
      </c>
      <c r="N264" s="10">
        <f>(co2e_g_kwh!L264)/1000000000000</f>
        <v>0.8494951726800023</v>
      </c>
      <c r="O264" s="10">
        <f>(co2e_g_kwh!M264)/1000000000000</f>
        <v>0.33335476692000054</v>
      </c>
      <c r="P264" s="22">
        <f t="shared" si="18"/>
        <v>1.1828499396000027</v>
      </c>
      <c r="Q264" s="10">
        <f>(co2e_g_kwh!N264)/1000000000000</f>
        <v>0</v>
      </c>
      <c r="R264" s="10">
        <f>(co2e_g_kwh!O264)/1000000000000</f>
        <v>0</v>
      </c>
      <c r="S264" s="14">
        <f t="shared" si="19"/>
        <v>6.8690607780419786</v>
      </c>
    </row>
    <row r="265" spans="1:19" x14ac:dyDescent="0.3">
      <c r="A265" s="6">
        <v>264</v>
      </c>
      <c r="B265" s="6">
        <v>2021</v>
      </c>
      <c r="C265" s="6">
        <v>12</v>
      </c>
      <c r="D265" s="10">
        <f>(co2e_g_kwh!D265)/1000000000000</f>
        <v>1.3653908059999715E-2</v>
      </c>
      <c r="E265" s="10">
        <f>(co2e_g_kwh!F265)/1000000000000</f>
        <v>7.8533530692499978E-2</v>
      </c>
      <c r="F265" s="10">
        <f>(co2e_g_kwh!G265)/1000000000000</f>
        <v>3.6607690132999922E-2</v>
      </c>
      <c r="G265" s="10">
        <f>(co2e_g_kwh!K265)/1000000000000</f>
        <v>1.9333630160000032E-2</v>
      </c>
      <c r="H265" s="19">
        <f t="shared" si="16"/>
        <v>0.14812875904549966</v>
      </c>
      <c r="I265" s="10">
        <f>(co2e_g_kwh!E265)/1000000000000</f>
        <v>1.1626310996299996</v>
      </c>
      <c r="J265" s="10">
        <f>(co2e_g_kwh!H265)/1000000000000</f>
        <v>2.8474618378499845</v>
      </c>
      <c r="K265" s="20">
        <f t="shared" si="17"/>
        <v>4.0100929374799836</v>
      </c>
      <c r="L265" s="21">
        <f>(co2e_g_kwh!I265)/1000000000000</f>
        <v>0.72772280584501681</v>
      </c>
      <c r="M265" s="10">
        <f>(co2e_g_kwh!J265)/1000000000000</f>
        <v>0</v>
      </c>
      <c r="N265" s="10">
        <f>(co2e_g_kwh!L265)/1000000000000</f>
        <v>0.27311784275999923</v>
      </c>
      <c r="O265" s="10">
        <f>(co2e_g_kwh!M265)/1000000000000</f>
        <v>0.2359798879199998</v>
      </c>
      <c r="P265" s="22">
        <f t="shared" si="18"/>
        <v>0.50909773067999908</v>
      </c>
      <c r="Q265" s="10">
        <f>(co2e_g_kwh!N265)/1000000000000</f>
        <v>0</v>
      </c>
      <c r="R265" s="10">
        <f>(co2e_g_kwh!O265)/1000000000000</f>
        <v>0</v>
      </c>
      <c r="S265" s="14">
        <f t="shared" si="19"/>
        <v>5.3950422330504999</v>
      </c>
    </row>
    <row r="266" spans="1:19" x14ac:dyDescent="0.3">
      <c r="A266" s="6">
        <v>265</v>
      </c>
      <c r="B266" s="6">
        <v>2022</v>
      </c>
      <c r="C266" s="6">
        <v>1</v>
      </c>
      <c r="D266" s="10">
        <f>(co2e_g_kwh!D266)/1000000000000</f>
        <v>1.0031301227999971E-2</v>
      </c>
      <c r="E266" s="10">
        <f>(co2e_g_kwh!F266)/1000000000000</f>
        <v>6.0356204012000175E-2</v>
      </c>
      <c r="F266" s="10">
        <f>(co2e_g_kwh!G266)/1000000000000</f>
        <v>3.9330800109999953E-2</v>
      </c>
      <c r="G266" s="10">
        <f>(co2e_g_kwh!K266)/1000000000000</f>
        <v>1.9301030671000009E-2</v>
      </c>
      <c r="H266" s="19">
        <f t="shared" si="16"/>
        <v>0.1290193360210001</v>
      </c>
      <c r="I266" s="10">
        <f>(co2e_g_kwh!E266)/1000000000000</f>
        <v>0.69739866696499941</v>
      </c>
      <c r="J266" s="10">
        <f>(co2e_g_kwh!H266)/1000000000000</f>
        <v>2.3466823951139948</v>
      </c>
      <c r="K266" s="20">
        <f t="shared" si="17"/>
        <v>3.0440810620789942</v>
      </c>
      <c r="L266" s="21">
        <f>(co2e_g_kwh!I266)/1000000000000</f>
        <v>0.82304483268000528</v>
      </c>
      <c r="M266" s="10">
        <f>(co2e_g_kwh!J266)/1000000000000</f>
        <v>0</v>
      </c>
      <c r="N266" s="10">
        <f>(co2e_g_kwh!L266)/1000000000000</f>
        <v>0.10838423232000004</v>
      </c>
      <c r="O266" s="10">
        <f>(co2e_g_kwh!M266)/1000000000000</f>
        <v>0.28598457803999972</v>
      </c>
      <c r="P266" s="22">
        <f t="shared" si="18"/>
        <v>0.39436881035999977</v>
      </c>
      <c r="Q266" s="10">
        <f>(co2e_g_kwh!N266)/1000000000000</f>
        <v>0</v>
      </c>
      <c r="R266" s="10">
        <f>(co2e_g_kwh!O266)/1000000000000</f>
        <v>0</v>
      </c>
      <c r="S266" s="14">
        <f t="shared" si="19"/>
        <v>4.3905140411399994</v>
      </c>
    </row>
    <row r="267" spans="1:19" x14ac:dyDescent="0.3">
      <c r="A267" s="6">
        <v>266</v>
      </c>
      <c r="B267" s="6">
        <v>2022</v>
      </c>
      <c r="C267" s="6">
        <v>2</v>
      </c>
      <c r="D267" s="10">
        <f>(co2e_g_kwh!D267)/1000000000000</f>
        <v>9.1372901879999101E-3</v>
      </c>
      <c r="E267" s="10">
        <f>(co2e_g_kwh!F267)/1000000000000</f>
        <v>5.8832686302000281E-2</v>
      </c>
      <c r="F267" s="10">
        <f>(co2e_g_kwh!G267)/1000000000000</f>
        <v>3.8163604154000101E-2</v>
      </c>
      <c r="G267" s="10">
        <f>(co2e_g_kwh!K267)/1000000000000</f>
        <v>1.6477182761000009E-2</v>
      </c>
      <c r="H267" s="19">
        <f t="shared" si="16"/>
        <v>0.12261076340500031</v>
      </c>
      <c r="I267" s="10">
        <f>(co2e_g_kwh!E267)/1000000000000</f>
        <v>0.52367250936000109</v>
      </c>
      <c r="J267" s="10">
        <f>(co2e_g_kwh!H267)/1000000000000</f>
        <v>1.412098909145999</v>
      </c>
      <c r="K267" s="20">
        <f t="shared" si="17"/>
        <v>1.935771418506</v>
      </c>
      <c r="L267" s="21">
        <f>(co2e_g_kwh!I267)/1000000000000</f>
        <v>0.80130665420399383</v>
      </c>
      <c r="M267" s="10">
        <f>(co2e_g_kwh!J267)/1000000000000</f>
        <v>0</v>
      </c>
      <c r="N267" s="10">
        <f>(co2e_g_kwh!L267)/1000000000000</f>
        <v>7.790132532000002E-2</v>
      </c>
      <c r="O267" s="10">
        <f>(co2e_g_kwh!M267)/1000000000000</f>
        <v>0.20215320888000002</v>
      </c>
      <c r="P267" s="22">
        <f t="shared" si="18"/>
        <v>0.28005453420000004</v>
      </c>
      <c r="Q267" s="10">
        <f>(co2e_g_kwh!N267)/1000000000000</f>
        <v>0</v>
      </c>
      <c r="R267" s="10">
        <f>(co2e_g_kwh!O267)/1000000000000</f>
        <v>0</v>
      </c>
      <c r="S267" s="14">
        <f t="shared" si="19"/>
        <v>3.1397433703149944</v>
      </c>
    </row>
    <row r="268" spans="1:19" x14ac:dyDescent="0.3">
      <c r="A268" s="6">
        <v>267</v>
      </c>
      <c r="B268" s="6">
        <v>2022</v>
      </c>
      <c r="C268" s="6">
        <v>3</v>
      </c>
      <c r="D268" s="10">
        <f>(co2e_g_kwh!D268)/1000000000000</f>
        <v>1.0982755731999909E-2</v>
      </c>
      <c r="E268" s="10">
        <f>(co2e_g_kwh!F268)/1000000000000</f>
        <v>6.9237521626001483E-2</v>
      </c>
      <c r="F268" s="10">
        <f>(co2e_g_kwh!G268)/1000000000000</f>
        <v>4.4445572710000152E-2</v>
      </c>
      <c r="G268" s="10">
        <f>(co2e_g_kwh!K268)/1000000000000</f>
        <v>1.9199210914000037E-2</v>
      </c>
      <c r="H268" s="19">
        <f t="shared" si="16"/>
        <v>0.14386506098200158</v>
      </c>
      <c r="I268" s="10">
        <f>(co2e_g_kwh!E268)/1000000000000</f>
        <v>0.58844659673799959</v>
      </c>
      <c r="J268" s="10">
        <f>(co2e_g_kwh!H268)/1000000000000</f>
        <v>1.0916203760459942</v>
      </c>
      <c r="K268" s="20">
        <f t="shared" si="17"/>
        <v>1.6800669727839939</v>
      </c>
      <c r="L268" s="21">
        <f>(co2e_g_kwh!I268)/1000000000000</f>
        <v>0.90572065151402958</v>
      </c>
      <c r="M268" s="10">
        <f>(co2e_g_kwh!J268)/1000000000000</f>
        <v>0</v>
      </c>
      <c r="N268" s="10">
        <f>(co2e_g_kwh!L268)/1000000000000</f>
        <v>6.8995156439999872E-2</v>
      </c>
      <c r="O268" s="10">
        <f>(co2e_g_kwh!M268)/1000000000000</f>
        <v>0.20747487683999996</v>
      </c>
      <c r="P268" s="22">
        <f t="shared" si="18"/>
        <v>0.27647003327999986</v>
      </c>
      <c r="Q268" s="10">
        <f>(co2e_g_kwh!N268)/1000000000000</f>
        <v>0</v>
      </c>
      <c r="R268" s="10">
        <f>(co2e_g_kwh!O268)/1000000000000</f>
        <v>0</v>
      </c>
      <c r="S268" s="14">
        <f t="shared" si="19"/>
        <v>3.0061227185600248</v>
      </c>
    </row>
    <row r="269" spans="1:19" x14ac:dyDescent="0.3">
      <c r="A269" s="6">
        <v>268</v>
      </c>
      <c r="B269" s="6">
        <v>2022</v>
      </c>
      <c r="C269" s="6">
        <v>4</v>
      </c>
      <c r="D269" s="10">
        <f>(co2e_g_kwh!D269)/1000000000000</f>
        <v>2.614478235200008E-2</v>
      </c>
      <c r="E269" s="10">
        <f>(co2e_g_kwh!F269)/1000000000000</f>
        <v>6.4545612248002163E-2</v>
      </c>
      <c r="F269" s="10">
        <f>(co2e_g_kwh!G269)/1000000000000</f>
        <v>4.3225881580000097E-2</v>
      </c>
      <c r="G269" s="10">
        <f>(co2e_g_kwh!K269)/1000000000000</f>
        <v>1.8689655646999974E-2</v>
      </c>
      <c r="H269" s="19">
        <f t="shared" si="16"/>
        <v>0.15260593182700233</v>
      </c>
      <c r="I269" s="10">
        <f>(co2e_g_kwh!E269)/1000000000000</f>
        <v>0.25256864933300016</v>
      </c>
      <c r="J269" s="10">
        <f>(co2e_g_kwh!H269)/1000000000000</f>
        <v>0.56583788473799601</v>
      </c>
      <c r="K269" s="20">
        <f t="shared" si="17"/>
        <v>0.81840653407099617</v>
      </c>
      <c r="L269" s="21">
        <f>(co2e_g_kwh!I269)/1000000000000</f>
        <v>0.82550887301399023</v>
      </c>
      <c r="M269" s="10">
        <f>(co2e_g_kwh!J269)/1000000000000</f>
        <v>0</v>
      </c>
      <c r="N269" s="10">
        <f>(co2e_g_kwh!L269)/1000000000000</f>
        <v>6.6216574199999975E-2</v>
      </c>
      <c r="O269" s="10">
        <f>(co2e_g_kwh!M269)/1000000000000</f>
        <v>1.2231492E-4</v>
      </c>
      <c r="P269" s="22">
        <f t="shared" si="18"/>
        <v>6.633888911999998E-2</v>
      </c>
      <c r="Q269" s="10">
        <f>(co2e_g_kwh!N269)/1000000000000</f>
        <v>0</v>
      </c>
      <c r="R269" s="10">
        <f>(co2e_g_kwh!O269)/1000000000000</f>
        <v>0</v>
      </c>
      <c r="S269" s="14">
        <f t="shared" si="19"/>
        <v>1.8628602280319888</v>
      </c>
    </row>
    <row r="270" spans="1:19" x14ac:dyDescent="0.3">
      <c r="A270" s="6">
        <v>269</v>
      </c>
      <c r="B270" s="6">
        <v>2022</v>
      </c>
      <c r="C270" s="6">
        <v>5</v>
      </c>
      <c r="D270" s="10">
        <f>(co2e_g_kwh!D270)/1000000000000</f>
        <v>4.9124255387999922E-2</v>
      </c>
      <c r="E270" s="10">
        <f>(co2e_g_kwh!F270)/1000000000000</f>
        <v>7.5645973370498776E-2</v>
      </c>
      <c r="F270" s="10">
        <f>(co2e_g_kwh!G270)/1000000000000</f>
        <v>4.3184144618999873E-2</v>
      </c>
      <c r="G270" s="10">
        <f>(co2e_g_kwh!K270)/1000000000000</f>
        <v>1.8740228013000005E-2</v>
      </c>
      <c r="H270" s="19">
        <f t="shared" si="16"/>
        <v>0.18669460139049859</v>
      </c>
      <c r="I270" s="10">
        <f>(co2e_g_kwh!E270)/1000000000000</f>
        <v>0.50052372970600001</v>
      </c>
      <c r="J270" s="10">
        <f>(co2e_g_kwh!H270)/1000000000000</f>
        <v>0.55347413318999272</v>
      </c>
      <c r="K270" s="20">
        <f t="shared" si="17"/>
        <v>1.0539978628959927</v>
      </c>
      <c r="L270" s="21">
        <f>(co2e_g_kwh!I270)/1000000000000</f>
        <v>0.782260686039009</v>
      </c>
      <c r="M270" s="10">
        <f>(co2e_g_kwh!J270)/1000000000000</f>
        <v>0</v>
      </c>
      <c r="N270" s="10">
        <f>(co2e_g_kwh!L270)/1000000000000</f>
        <v>3.6998442600000021E-2</v>
      </c>
      <c r="O270" s="10">
        <f>(co2e_g_kwh!M270)/1000000000000</f>
        <v>8.7805199999999997E-6</v>
      </c>
      <c r="P270" s="22">
        <f t="shared" si="18"/>
        <v>3.7007223120000023E-2</v>
      </c>
      <c r="Q270" s="10">
        <f>(co2e_g_kwh!N270)/1000000000000</f>
        <v>0</v>
      </c>
      <c r="R270" s="10">
        <f>(co2e_g_kwh!O270)/1000000000000</f>
        <v>0</v>
      </c>
      <c r="S270" s="14">
        <f t="shared" si="19"/>
        <v>2.0599603734455001</v>
      </c>
    </row>
    <row r="271" spans="1:19" x14ac:dyDescent="0.3">
      <c r="A271" s="6">
        <v>270</v>
      </c>
      <c r="B271" s="6">
        <v>2022</v>
      </c>
      <c r="C271" s="6">
        <v>6</v>
      </c>
      <c r="D271" s="10">
        <f>(co2e_g_kwh!D271)/1000000000000</f>
        <v>5.1187217848000288E-2</v>
      </c>
      <c r="E271" s="10">
        <f>(co2e_g_kwh!F271)/1000000000000</f>
        <v>7.5072038275000835E-2</v>
      </c>
      <c r="F271" s="10">
        <f>(co2e_g_kwh!G271)/1000000000000</f>
        <v>4.2053162359999945E-2</v>
      </c>
      <c r="G271" s="10">
        <f>(co2e_g_kwh!K271)/1000000000000</f>
        <v>9.6427766369999932E-3</v>
      </c>
      <c r="H271" s="19">
        <f t="shared" si="16"/>
        <v>0.17795519512000108</v>
      </c>
      <c r="I271" s="10">
        <f>(co2e_g_kwh!E271)/1000000000000</f>
        <v>0.68283414799600062</v>
      </c>
      <c r="J271" s="10">
        <f>(co2e_g_kwh!H271)/1000000000000</f>
        <v>0.85623989425200275</v>
      </c>
      <c r="K271" s="20">
        <f t="shared" si="17"/>
        <v>1.5390740422480034</v>
      </c>
      <c r="L271" s="21">
        <f>(co2e_g_kwh!I271)/1000000000000</f>
        <v>0.72517630403398892</v>
      </c>
      <c r="M271" s="10">
        <f>(co2e_g_kwh!J271)/1000000000000</f>
        <v>0</v>
      </c>
      <c r="N271" s="10">
        <f>(co2e_g_kwh!L271)/1000000000000</f>
        <v>2.8660542119999962E-2</v>
      </c>
      <c r="O271" s="10">
        <f>(co2e_g_kwh!M271)/1000000000000</f>
        <v>0</v>
      </c>
      <c r="P271" s="22">
        <f t="shared" si="18"/>
        <v>2.8660542119999962E-2</v>
      </c>
      <c r="Q271" s="10">
        <f>(co2e_g_kwh!N271)/1000000000000</f>
        <v>0</v>
      </c>
      <c r="R271" s="10">
        <f>(co2e_g_kwh!O271)/1000000000000</f>
        <v>0</v>
      </c>
      <c r="S271" s="14">
        <f t="shared" si="19"/>
        <v>2.4708660835219933</v>
      </c>
    </row>
    <row r="272" spans="1:19" x14ac:dyDescent="0.3">
      <c r="A272" s="6">
        <v>271</v>
      </c>
      <c r="B272" s="6">
        <v>2022</v>
      </c>
      <c r="C272" s="6">
        <v>7</v>
      </c>
      <c r="D272" s="10">
        <f>(co2e_g_kwh!D272)/1000000000000</f>
        <v>5.9716794227998887E-2</v>
      </c>
      <c r="E272" s="10">
        <f>(co2e_g_kwh!F272)/1000000000000</f>
        <v>0.10609340549600348</v>
      </c>
      <c r="F272" s="10">
        <f>(co2e_g_kwh!G272)/1000000000000</f>
        <v>4.9119855503000423E-2</v>
      </c>
      <c r="G272" s="10">
        <f>(co2e_g_kwh!K272)/1000000000000</f>
        <v>8.2652066769999897E-3</v>
      </c>
      <c r="H272" s="19">
        <f t="shared" si="16"/>
        <v>0.22319526190400274</v>
      </c>
      <c r="I272" s="10">
        <f>(co2e_g_kwh!E272)/1000000000000</f>
        <v>0.7174550773389996</v>
      </c>
      <c r="J272" s="10">
        <f>(co2e_g_kwh!H272)/1000000000000</f>
        <v>0.73849064931000363</v>
      </c>
      <c r="K272" s="20">
        <f t="shared" si="17"/>
        <v>1.4559457266490032</v>
      </c>
      <c r="L272" s="21">
        <f>(co2e_g_kwh!I272)/1000000000000</f>
        <v>0.71268769637097973</v>
      </c>
      <c r="M272" s="10">
        <f>(co2e_g_kwh!J272)/1000000000000</f>
        <v>0</v>
      </c>
      <c r="N272" s="10">
        <f>(co2e_g_kwh!L272)/1000000000000</f>
        <v>3.5810300399999918E-2</v>
      </c>
      <c r="O272" s="10">
        <f>(co2e_g_kwh!M272)/1000000000000</f>
        <v>0</v>
      </c>
      <c r="P272" s="22">
        <f t="shared" si="18"/>
        <v>3.5810300399999918E-2</v>
      </c>
      <c r="Q272" s="10">
        <f>(co2e_g_kwh!N272)/1000000000000</f>
        <v>0</v>
      </c>
      <c r="R272" s="10">
        <f>(co2e_g_kwh!O272)/1000000000000</f>
        <v>0</v>
      </c>
      <c r="S272" s="14">
        <f t="shared" si="19"/>
        <v>2.4276389853239859</v>
      </c>
    </row>
    <row r="273" spans="1:19" x14ac:dyDescent="0.3">
      <c r="A273" s="6">
        <v>272</v>
      </c>
      <c r="B273" s="6">
        <v>2022</v>
      </c>
      <c r="C273" s="6">
        <v>8</v>
      </c>
      <c r="D273" s="10">
        <f>(co2e_g_kwh!D273)/1000000000000</f>
        <v>5.4497978339998969E-2</v>
      </c>
      <c r="E273" s="10">
        <f>(co2e_g_kwh!F273)/1000000000000</f>
        <v>0.11899533649899889</v>
      </c>
      <c r="F273" s="10">
        <f>(co2e_g_kwh!G273)/1000000000000</f>
        <v>5.5137401880000096E-2</v>
      </c>
      <c r="G273" s="10">
        <f>(co2e_g_kwh!K273)/1000000000000</f>
        <v>1.537031346499999E-2</v>
      </c>
      <c r="H273" s="19">
        <f t="shared" si="16"/>
        <v>0.24400103018399794</v>
      </c>
      <c r="I273" s="10">
        <f>(co2e_g_kwh!E273)/1000000000000</f>
        <v>0.74843570401599857</v>
      </c>
      <c r="J273" s="10">
        <f>(co2e_g_kwh!H273)/1000000000000</f>
        <v>0.80017173053999446</v>
      </c>
      <c r="K273" s="20">
        <f t="shared" si="17"/>
        <v>1.548607434555993</v>
      </c>
      <c r="L273" s="21">
        <f>(co2e_g_kwh!I273)/1000000000000</f>
        <v>0.68453292001501365</v>
      </c>
      <c r="M273" s="10">
        <f>(co2e_g_kwh!J273)/1000000000000</f>
        <v>0</v>
      </c>
      <c r="N273" s="10">
        <f>(co2e_g_kwh!L273)/1000000000000</f>
        <v>4.1112950759999996E-2</v>
      </c>
      <c r="O273" s="10">
        <f>(co2e_g_kwh!M273)/1000000000000</f>
        <v>0</v>
      </c>
      <c r="P273" s="22">
        <f t="shared" si="18"/>
        <v>4.1112950759999996E-2</v>
      </c>
      <c r="Q273" s="10">
        <f>(co2e_g_kwh!N273)/1000000000000</f>
        <v>0</v>
      </c>
      <c r="R273" s="10">
        <f>(co2e_g_kwh!O273)/1000000000000</f>
        <v>0</v>
      </c>
      <c r="S273" s="14">
        <f t="shared" si="19"/>
        <v>2.5182543355150044</v>
      </c>
    </row>
    <row r="274" spans="1:19" x14ac:dyDescent="0.3">
      <c r="A274" s="6">
        <v>273</v>
      </c>
      <c r="B274" s="6">
        <v>2022</v>
      </c>
      <c r="C274" s="6">
        <v>9</v>
      </c>
      <c r="D274" s="10">
        <f>(co2e_g_kwh!D274)/1000000000000</f>
        <v>5.0144451343999162E-2</v>
      </c>
      <c r="E274" s="10">
        <f>(co2e_g_kwh!F274)/1000000000000</f>
        <v>0.11795982603600154</v>
      </c>
      <c r="F274" s="10">
        <f>(co2e_g_kwh!G274)/1000000000000</f>
        <v>5.9084286266999436E-2</v>
      </c>
      <c r="G274" s="10">
        <f>(co2e_g_kwh!K274)/1000000000000</f>
        <v>1.4341535351000009E-2</v>
      </c>
      <c r="H274" s="19">
        <f t="shared" si="16"/>
        <v>0.24153009899800015</v>
      </c>
      <c r="I274" s="10">
        <f>(co2e_g_kwh!E274)/1000000000000</f>
        <v>0.70609874935600025</v>
      </c>
      <c r="J274" s="10">
        <f>(co2e_g_kwh!H274)/1000000000000</f>
        <v>0.8099246774520068</v>
      </c>
      <c r="K274" s="20">
        <f t="shared" si="17"/>
        <v>1.5160234268080071</v>
      </c>
      <c r="L274" s="21">
        <f>(co2e_g_kwh!I274)/1000000000000</f>
        <v>0.66701741059799824</v>
      </c>
      <c r="M274" s="10">
        <f>(co2e_g_kwh!J274)/1000000000000</f>
        <v>0</v>
      </c>
      <c r="N274" s="10">
        <f>(co2e_g_kwh!L274)/1000000000000</f>
        <v>5.6327472599999942E-2</v>
      </c>
      <c r="O274" s="10">
        <f>(co2e_g_kwh!M274)/1000000000000</f>
        <v>0</v>
      </c>
      <c r="P274" s="22">
        <f t="shared" si="18"/>
        <v>5.6327472599999942E-2</v>
      </c>
      <c r="Q274" s="10">
        <f>(co2e_g_kwh!N274)/1000000000000</f>
        <v>0</v>
      </c>
      <c r="R274" s="10">
        <f>(co2e_g_kwh!O274)/1000000000000</f>
        <v>0</v>
      </c>
      <c r="S274" s="14">
        <f t="shared" si="19"/>
        <v>2.4808984090040056</v>
      </c>
    </row>
    <row r="275" spans="1:19" x14ac:dyDescent="0.3">
      <c r="A275" s="6">
        <v>274</v>
      </c>
      <c r="B275" s="6">
        <v>2022</v>
      </c>
      <c r="C275" s="6">
        <v>10</v>
      </c>
      <c r="D275" s="10">
        <f>(co2e_g_kwh!D275)/1000000000000</f>
        <v>4.2768780859999717E-2</v>
      </c>
      <c r="E275" s="10">
        <f>(co2e_g_kwh!F275)/1000000000000</f>
        <v>0.12414666290000195</v>
      </c>
      <c r="F275" s="10">
        <f>(co2e_g_kwh!G275)/1000000000000</f>
        <v>6.4201306734999034E-2</v>
      </c>
      <c r="G275" s="10">
        <f>(co2e_g_kwh!K275)/1000000000000</f>
        <v>1.9410610543999993E-2</v>
      </c>
      <c r="H275" s="19">
        <f t="shared" si="16"/>
        <v>0.2505273610390007</v>
      </c>
      <c r="I275" s="10">
        <f>(co2e_g_kwh!E275)/1000000000000</f>
        <v>0.67664299602900069</v>
      </c>
      <c r="J275" s="10">
        <f>(co2e_g_kwh!H275)/1000000000000</f>
        <v>0.86460234170399797</v>
      </c>
      <c r="K275" s="20">
        <f t="shared" si="17"/>
        <v>1.5412453377329987</v>
      </c>
      <c r="L275" s="21">
        <f>(co2e_g_kwh!I275)/1000000000000</f>
        <v>0.69656460602399439</v>
      </c>
      <c r="M275" s="10">
        <f>(co2e_g_kwh!J275)/1000000000000</f>
        <v>0</v>
      </c>
      <c r="N275" s="10">
        <f>(co2e_g_kwh!L275)/1000000000000</f>
        <v>4.8425467439999988E-2</v>
      </c>
      <c r="O275" s="10">
        <f>(co2e_g_kwh!M275)/1000000000000</f>
        <v>0</v>
      </c>
      <c r="P275" s="22">
        <f t="shared" si="18"/>
        <v>4.8425467439999988E-2</v>
      </c>
      <c r="Q275" s="10">
        <f>(co2e_g_kwh!N275)/1000000000000</f>
        <v>0</v>
      </c>
      <c r="R275" s="10">
        <f>(co2e_g_kwh!O275)/1000000000000</f>
        <v>0</v>
      </c>
      <c r="S275" s="14">
        <f t="shared" si="19"/>
        <v>2.5367627722359938</v>
      </c>
    </row>
    <row r="276" spans="1:19" x14ac:dyDescent="0.3">
      <c r="A276" s="6">
        <v>275</v>
      </c>
      <c r="B276" s="6">
        <v>2022</v>
      </c>
      <c r="C276" s="6">
        <v>11</v>
      </c>
      <c r="D276" s="10">
        <f>(co2e_g_kwh!D276)/1000000000000</f>
        <v>3.4949514703999762E-2</v>
      </c>
      <c r="E276" s="10">
        <f>(co2e_g_kwh!F276)/1000000000000</f>
        <v>7.9523557919001023E-2</v>
      </c>
      <c r="F276" s="10">
        <f>(co2e_g_kwh!G276)/1000000000000</f>
        <v>5.3740820059000459E-2</v>
      </c>
      <c r="G276" s="10">
        <f>(co2e_g_kwh!K276)/1000000000000</f>
        <v>1.0609619747999998E-2</v>
      </c>
      <c r="H276" s="19">
        <f t="shared" si="16"/>
        <v>0.17882351243000125</v>
      </c>
      <c r="I276" s="10">
        <f>(co2e_g_kwh!E276)/1000000000000</f>
        <v>0.59825468803100013</v>
      </c>
      <c r="J276" s="10">
        <f>(co2e_g_kwh!H276)/1000000000000</f>
        <v>0.83480175336599771</v>
      </c>
      <c r="K276" s="20">
        <f t="shared" si="17"/>
        <v>1.4330564413969977</v>
      </c>
      <c r="L276" s="21">
        <f>(co2e_g_kwh!I276)/1000000000000</f>
        <v>0.76222982211598345</v>
      </c>
      <c r="M276" s="10">
        <f>(co2e_g_kwh!J276)/1000000000000</f>
        <v>8.4352967999999976E-4</v>
      </c>
      <c r="N276" s="10">
        <f>(co2e_g_kwh!L276)/1000000000000</f>
        <v>3.4936469399999955E-2</v>
      </c>
      <c r="O276" s="10">
        <f>(co2e_g_kwh!M276)/1000000000000</f>
        <v>0</v>
      </c>
      <c r="P276" s="22">
        <f t="shared" si="18"/>
        <v>3.5779999079999951E-2</v>
      </c>
      <c r="Q276" s="10">
        <f>(co2e_g_kwh!N276)/1000000000000</f>
        <v>0</v>
      </c>
      <c r="R276" s="10">
        <f>(co2e_g_kwh!O276)/1000000000000</f>
        <v>0</v>
      </c>
      <c r="S276" s="14">
        <f t="shared" si="19"/>
        <v>2.4098897750229824</v>
      </c>
    </row>
    <row r="277" spans="1:19" x14ac:dyDescent="0.3">
      <c r="A277" s="6">
        <v>276</v>
      </c>
      <c r="B277" s="6">
        <v>2022</v>
      </c>
      <c r="C277" s="6">
        <v>12</v>
      </c>
      <c r="D277" s="10">
        <f>(co2e_g_kwh!D277)/1000000000000</f>
        <v>1.5945830160000098E-2</v>
      </c>
      <c r="E277" s="10">
        <f>(co2e_g_kwh!F277)/1000000000000</f>
        <v>8.4013764523000647E-2</v>
      </c>
      <c r="F277" s="10">
        <f>(co2e_g_kwh!G277)/1000000000000</f>
        <v>5.7985324989999858E-2</v>
      </c>
      <c r="G277" s="10">
        <f>(co2e_g_kwh!K277)/1000000000000</f>
        <v>1.9113867734000041E-2</v>
      </c>
      <c r="H277" s="19">
        <f t="shared" si="16"/>
        <v>0.17705878740700065</v>
      </c>
      <c r="I277" s="10">
        <f>(co2e_g_kwh!E277)/1000000000000</f>
        <v>0.21011538147599959</v>
      </c>
      <c r="J277" s="10">
        <f>(co2e_g_kwh!H277)/1000000000000</f>
        <v>0.96143006327399672</v>
      </c>
      <c r="K277" s="20">
        <f t="shared" si="17"/>
        <v>1.1715454447499962</v>
      </c>
      <c r="L277" s="21">
        <f>(co2e_g_kwh!I277)/1000000000000</f>
        <v>0.81096973206896261</v>
      </c>
      <c r="M277" s="10">
        <f>(co2e_g_kwh!J277)/1000000000000</f>
        <v>6.5927467200000015E-3</v>
      </c>
      <c r="N277" s="10">
        <f>(co2e_g_kwh!L277)/1000000000000</f>
        <v>2.8116080159999984E-2</v>
      </c>
      <c r="O277" s="10">
        <f>(co2e_g_kwh!M277)/1000000000000</f>
        <v>2.4113678399999999E-3</v>
      </c>
      <c r="P277" s="22">
        <f t="shared" si="18"/>
        <v>3.7120194719999985E-2</v>
      </c>
      <c r="Q277" s="10">
        <f>(co2e_g_kwh!N277)/1000000000000</f>
        <v>0</v>
      </c>
      <c r="R277" s="10">
        <f>(co2e_g_kwh!O277)/1000000000000</f>
        <v>0</v>
      </c>
      <c r="S277" s="14">
        <f t="shared" si="19"/>
        <v>2.1966941589459594</v>
      </c>
    </row>
    <row r="278" spans="1:19" x14ac:dyDescent="0.3">
      <c r="A278" s="6">
        <v>277</v>
      </c>
      <c r="B278" s="6">
        <v>2023</v>
      </c>
      <c r="C278" s="6">
        <v>1</v>
      </c>
      <c r="D278" s="10">
        <f>(co2e_g_kwh!D278)/1000000000000</f>
        <v>1.1702349932000203E-2</v>
      </c>
      <c r="E278" s="10">
        <f>(co2e_g_kwh!F278)/1000000000000</f>
        <v>8.3039776885000444E-2</v>
      </c>
      <c r="F278" s="10">
        <f>(co2e_g_kwh!G278)/1000000000000</f>
        <v>6.2890969540999903E-2</v>
      </c>
      <c r="G278" s="10">
        <f>(co2e_g_kwh!K278)/1000000000000</f>
        <v>1.940678512500002E-2</v>
      </c>
      <c r="H278" s="19">
        <f t="shared" si="16"/>
        <v>0.17703988148300057</v>
      </c>
      <c r="I278" s="10">
        <f>(co2e_g_kwh!E278)/1000000000000</f>
        <v>0.39359819599099993</v>
      </c>
      <c r="J278" s="10">
        <f>(co2e_g_kwh!H278)/1000000000000</f>
        <v>0.83783101615200184</v>
      </c>
      <c r="K278" s="20">
        <f t="shared" si="17"/>
        <v>1.2314292121430017</v>
      </c>
      <c r="L278" s="21">
        <f>(co2e_g_kwh!I278)/1000000000000</f>
        <v>0.85760774397900963</v>
      </c>
      <c r="M278" s="10">
        <f>(co2e_g_kwh!J278)/1000000000000</f>
        <v>4.2010155600000028E-3</v>
      </c>
      <c r="N278" s="10">
        <f>(co2e_g_kwh!L278)/1000000000000</f>
        <v>1.6876264439999986E-2</v>
      </c>
      <c r="O278" s="10">
        <f>(co2e_g_kwh!M278)/1000000000000</f>
        <v>5.9669996400000007E-3</v>
      </c>
      <c r="P278" s="22">
        <f t="shared" si="18"/>
        <v>2.7044279639999991E-2</v>
      </c>
      <c r="Q278" s="10">
        <f>(co2e_g_kwh!N278)/1000000000000</f>
        <v>0</v>
      </c>
      <c r="R278" s="10">
        <f>(co2e_g_kwh!O278)/1000000000000</f>
        <v>0</v>
      </c>
      <c r="S278" s="14">
        <f t="shared" si="19"/>
        <v>2.2931211172450121</v>
      </c>
    </row>
    <row r="279" spans="1:19" x14ac:dyDescent="0.3">
      <c r="A279" s="6">
        <v>278</v>
      </c>
      <c r="B279" s="6">
        <v>2023</v>
      </c>
      <c r="C279" s="6">
        <v>2</v>
      </c>
      <c r="D279" s="10">
        <f>(co2e_g_kwh!D279)/1000000000000</f>
        <v>9.28340764000022E-3</v>
      </c>
      <c r="E279" s="10">
        <f>(co2e_g_kwh!F279)/1000000000000</f>
        <v>8.5307080807000335E-2</v>
      </c>
      <c r="F279" s="10">
        <f>(co2e_g_kwh!G279)/1000000000000</f>
        <v>6.355266553799975E-2</v>
      </c>
      <c r="G279" s="10">
        <f>(co2e_g_kwh!K279)/1000000000000</f>
        <v>1.5127495759999972E-2</v>
      </c>
      <c r="H279" s="19">
        <f t="shared" si="16"/>
        <v>0.17327064974500025</v>
      </c>
      <c r="I279" s="10">
        <f>(co2e_g_kwh!E279)/1000000000000</f>
        <v>0.35286015965199963</v>
      </c>
      <c r="J279" s="10">
        <f>(co2e_g_kwh!H279)/1000000000000</f>
        <v>0.56734217477999893</v>
      </c>
      <c r="K279" s="20">
        <f t="shared" si="17"/>
        <v>0.9202023344319985</v>
      </c>
      <c r="L279" s="21">
        <f>(co2e_g_kwh!I279)/1000000000000</f>
        <v>0.81468936120600732</v>
      </c>
      <c r="M279" s="10">
        <f>(co2e_g_kwh!J279)/1000000000000</f>
        <v>3.6824457600000008E-3</v>
      </c>
      <c r="N279" s="10">
        <f>(co2e_g_kwh!L279)/1000000000000</f>
        <v>1.5324709680000015E-2</v>
      </c>
      <c r="O279" s="10">
        <f>(co2e_g_kwh!M279)/1000000000000</f>
        <v>5.0872693200000006E-3</v>
      </c>
      <c r="P279" s="22">
        <f t="shared" si="18"/>
        <v>2.4094424760000017E-2</v>
      </c>
      <c r="Q279" s="10">
        <f>(co2e_g_kwh!N279)/1000000000000</f>
        <v>0</v>
      </c>
      <c r="R279" s="10">
        <f>(co2e_g_kwh!O279)/1000000000000</f>
        <v>0</v>
      </c>
      <c r="S279" s="14">
        <f t="shared" si="19"/>
        <v>1.932256770143006</v>
      </c>
    </row>
    <row r="280" spans="1:19" x14ac:dyDescent="0.3">
      <c r="A280" s="6">
        <v>279</v>
      </c>
      <c r="B280" s="6">
        <v>2023</v>
      </c>
      <c r="C280" s="6">
        <v>3</v>
      </c>
      <c r="D280" s="10">
        <f>(co2e_g_kwh!D280)/1000000000000</f>
        <v>1.3183675856000302E-2</v>
      </c>
      <c r="E280" s="10">
        <f>(co2e_g_kwh!F280)/1000000000000</f>
        <v>7.9572235209999162E-2</v>
      </c>
      <c r="F280" s="10">
        <f>(co2e_g_kwh!G280)/1000000000000</f>
        <v>6.5920768374999592E-2</v>
      </c>
      <c r="G280" s="10">
        <f>(co2e_g_kwh!K280)/1000000000000</f>
        <v>1.6630109183999979E-2</v>
      </c>
      <c r="H280" s="19">
        <f t="shared" si="16"/>
        <v>0.17530678862499904</v>
      </c>
      <c r="I280" s="10">
        <f>(co2e_g_kwh!E280)/1000000000000</f>
        <v>0.66949709927100021</v>
      </c>
      <c r="J280" s="10">
        <f>(co2e_g_kwh!H280)/1000000000000</f>
        <v>0.5895497552399992</v>
      </c>
      <c r="K280" s="20">
        <f t="shared" si="17"/>
        <v>1.2590468545109994</v>
      </c>
      <c r="L280" s="21">
        <f>(co2e_g_kwh!I280)/1000000000000</f>
        <v>0.94450700028302115</v>
      </c>
      <c r="M280" s="10">
        <f>(co2e_g_kwh!J280)/1000000000000</f>
        <v>5.0246204399999944E-3</v>
      </c>
      <c r="N280" s="10">
        <f>(co2e_g_kwh!L280)/1000000000000</f>
        <v>1.8104649359999992E-2</v>
      </c>
      <c r="O280" s="10">
        <f>(co2e_g_kwh!M280)/1000000000000</f>
        <v>9.4381476000000002E-3</v>
      </c>
      <c r="P280" s="22">
        <f t="shared" si="18"/>
        <v>3.2567417399999986E-2</v>
      </c>
      <c r="Q280" s="10">
        <f>(co2e_g_kwh!N280)/1000000000000</f>
        <v>0</v>
      </c>
      <c r="R280" s="10">
        <f>(co2e_g_kwh!O280)/1000000000000</f>
        <v>0</v>
      </c>
      <c r="S280" s="14">
        <f t="shared" si="19"/>
        <v>2.4114280608190199</v>
      </c>
    </row>
    <row r="281" spans="1:19" x14ac:dyDescent="0.3">
      <c r="A281" s="6">
        <v>280</v>
      </c>
      <c r="B281" s="6">
        <v>2023</v>
      </c>
      <c r="C281" s="6">
        <v>4</v>
      </c>
      <c r="D281" s="10">
        <f>(co2e_g_kwh!D281)/1000000000000</f>
        <v>2.9181127767999963E-2</v>
      </c>
      <c r="E281" s="10">
        <f>(co2e_g_kwh!F281)/1000000000000</f>
        <v>6.3092461042000517E-2</v>
      </c>
      <c r="F281" s="10">
        <f>(co2e_g_kwh!G281)/1000000000000</f>
        <v>6.9386078174999311E-2</v>
      </c>
      <c r="G281" s="10">
        <f>(co2e_g_kwh!K281)/1000000000000</f>
        <v>1.8034054531999976E-2</v>
      </c>
      <c r="H281" s="19">
        <f t="shared" si="16"/>
        <v>0.17969372151699975</v>
      </c>
      <c r="I281" s="10">
        <f>(co2e_g_kwh!E281)/1000000000000</f>
        <v>0.57592828192900125</v>
      </c>
      <c r="J281" s="10">
        <f>(co2e_g_kwh!H281)/1000000000000</f>
        <v>0.7655706247140015</v>
      </c>
      <c r="K281" s="20">
        <f t="shared" si="17"/>
        <v>1.3414989066430028</v>
      </c>
      <c r="L281" s="21">
        <f>(co2e_g_kwh!I281)/1000000000000</f>
        <v>0.82033117773600872</v>
      </c>
      <c r="M281" s="10">
        <f>(co2e_g_kwh!J281)/1000000000000</f>
        <v>4.872891239999998E-3</v>
      </c>
      <c r="N281" s="10">
        <f>(co2e_g_kwh!L281)/1000000000000</f>
        <v>1.8575382839999995E-2</v>
      </c>
      <c r="O281" s="10">
        <f>(co2e_g_kwh!M281)/1000000000000</f>
        <v>9.3617873999999966E-3</v>
      </c>
      <c r="P281" s="22">
        <f t="shared" si="18"/>
        <v>3.2810061479999986E-2</v>
      </c>
      <c r="Q281" s="10">
        <f>(co2e_g_kwh!N281)/1000000000000</f>
        <v>0</v>
      </c>
      <c r="R281" s="10">
        <f>(co2e_g_kwh!O281)/1000000000000</f>
        <v>0</v>
      </c>
      <c r="S281" s="14">
        <f t="shared" si="19"/>
        <v>2.374333867376011</v>
      </c>
    </row>
    <row r="282" spans="1:19" x14ac:dyDescent="0.3">
      <c r="A282" s="6">
        <v>281</v>
      </c>
      <c r="B282" s="6">
        <v>2023</v>
      </c>
      <c r="C282" s="6">
        <v>5</v>
      </c>
      <c r="D282" s="10">
        <f>(co2e_g_kwh!D282)/1000000000000</f>
        <v>4.986970918799908E-2</v>
      </c>
      <c r="E282" s="10">
        <f>(co2e_g_kwh!F282)/1000000000000</f>
        <v>8.9416351907999264E-2</v>
      </c>
      <c r="F282" s="10">
        <f>(co2e_g_kwh!G282)/1000000000000</f>
        <v>0.161629110145</v>
      </c>
      <c r="G282" s="10">
        <f>(co2e_g_kwh!K282)/1000000000000</f>
        <v>1.940347263400001E-2</v>
      </c>
      <c r="H282" s="19">
        <f t="shared" si="16"/>
        <v>0.32031864387499831</v>
      </c>
      <c r="I282" s="10">
        <f>(co2e_g_kwh!E282)/1000000000000</f>
        <v>0.50335784499000047</v>
      </c>
      <c r="J282" s="10">
        <f>(co2e_g_kwh!H282)/1000000000000</f>
        <v>0.57981929894999951</v>
      </c>
      <c r="K282" s="20">
        <f t="shared" si="17"/>
        <v>1.08317714394</v>
      </c>
      <c r="L282" s="21">
        <f>(co2e_g_kwh!I282)/1000000000000</f>
        <v>0.77165522542497433</v>
      </c>
      <c r="M282" s="10">
        <f>(co2e_g_kwh!J282)/1000000000000</f>
        <v>4.4883266400000017E-3</v>
      </c>
      <c r="N282" s="10">
        <f>(co2e_g_kwh!L282)/1000000000000</f>
        <v>1.7298226680000018E-2</v>
      </c>
      <c r="O282" s="10">
        <f>(co2e_g_kwh!M282)/1000000000000</f>
        <v>6.2477116800000003E-3</v>
      </c>
      <c r="P282" s="22">
        <f t="shared" si="18"/>
        <v>2.803426500000002E-2</v>
      </c>
      <c r="Q282" s="10">
        <f>(co2e_g_kwh!N282)/1000000000000</f>
        <v>0</v>
      </c>
      <c r="R282" s="10">
        <f>(co2e_g_kwh!O282)/1000000000000</f>
        <v>0</v>
      </c>
      <c r="S282" s="14">
        <f t="shared" si="19"/>
        <v>2.2031852782399728</v>
      </c>
    </row>
    <row r="283" spans="1:19" x14ac:dyDescent="0.3">
      <c r="A283" s="6">
        <v>282</v>
      </c>
      <c r="B283" s="6">
        <v>2023</v>
      </c>
      <c r="C283" s="6">
        <v>6</v>
      </c>
      <c r="D283" s="10">
        <f>(co2e_g_kwh!D283)/1000000000000</f>
        <v>5.0959603603999121E-2</v>
      </c>
      <c r="E283" s="10">
        <f>(co2e_g_kwh!F283)/1000000000000</f>
        <v>0.11149345109500094</v>
      </c>
      <c r="F283" s="10">
        <f>(co2e_g_kwh!G283)/1000000000000</f>
        <v>0.15438247442900077</v>
      </c>
      <c r="G283" s="10">
        <f>(co2e_g_kwh!K283)/1000000000000</f>
        <v>1.8812702935000012E-2</v>
      </c>
      <c r="H283" s="19">
        <f t="shared" si="16"/>
        <v>0.33564823206300087</v>
      </c>
      <c r="I283" s="10">
        <f>(co2e_g_kwh!E283)/1000000000000</f>
        <v>0.71584733720500171</v>
      </c>
      <c r="J283" s="10">
        <f>(co2e_g_kwh!H283)/1000000000000</f>
        <v>1.0675264570559944</v>
      </c>
      <c r="K283" s="20">
        <f t="shared" si="17"/>
        <v>1.7833737942609962</v>
      </c>
      <c r="L283" s="21">
        <f>(co2e_g_kwh!I283)/1000000000000</f>
        <v>0.65797778640300009</v>
      </c>
      <c r="M283" s="10">
        <f>(co2e_g_kwh!J283)/1000000000000</f>
        <v>3.5080399200000008E-3</v>
      </c>
      <c r="N283" s="10">
        <f>(co2e_g_kwh!L283)/1000000000000</f>
        <v>1.8087717480000008E-2</v>
      </c>
      <c r="O283" s="10">
        <f>(co2e_g_kwh!M283)/1000000000000</f>
        <v>2.3538076800000015E-3</v>
      </c>
      <c r="P283" s="22">
        <f t="shared" si="18"/>
        <v>2.3949565080000009E-2</v>
      </c>
      <c r="Q283" s="10">
        <f>(co2e_g_kwh!N283)/1000000000000</f>
        <v>0</v>
      </c>
      <c r="R283" s="10">
        <f>(co2e_g_kwh!O283)/1000000000000</f>
        <v>0</v>
      </c>
      <c r="S283" s="14">
        <f t="shared" si="19"/>
        <v>2.8009493778069965</v>
      </c>
    </row>
    <row r="284" spans="1:19" x14ac:dyDescent="0.3">
      <c r="A284" s="6">
        <v>283</v>
      </c>
      <c r="B284" s="6">
        <v>2023</v>
      </c>
      <c r="C284" s="6">
        <v>7</v>
      </c>
      <c r="D284" s="10">
        <f>(co2e_g_kwh!D284)/1000000000000</f>
        <v>5.5801920147999347E-2</v>
      </c>
      <c r="E284" s="10">
        <f>(co2e_g_kwh!F284)/1000000000000</f>
        <v>0.12929108385699864</v>
      </c>
      <c r="F284" s="10">
        <f>(co2e_g_kwh!G284)/1000000000000</f>
        <v>0.17772772009900045</v>
      </c>
      <c r="G284" s="10">
        <f>(co2e_g_kwh!K284)/1000000000000</f>
        <v>1.9103553117999977E-2</v>
      </c>
      <c r="H284" s="19">
        <f t="shared" si="16"/>
        <v>0.38192427722199845</v>
      </c>
      <c r="I284" s="10">
        <f>(co2e_g_kwh!E284)/1000000000000</f>
        <v>0.83417686051699802</v>
      </c>
      <c r="J284" s="10">
        <f>(co2e_g_kwh!H284)/1000000000000</f>
        <v>0.77188566302999817</v>
      </c>
      <c r="K284" s="20">
        <f t="shared" si="17"/>
        <v>1.6060625235469961</v>
      </c>
      <c r="L284" s="21">
        <f>(co2e_g_kwh!I284)/1000000000000</f>
        <v>0.65098217893799493</v>
      </c>
      <c r="M284" s="10">
        <f>(co2e_g_kwh!J284)/1000000000000</f>
        <v>3.1289638800000019E-3</v>
      </c>
      <c r="N284" s="10">
        <f>(co2e_g_kwh!L284)/1000000000000</f>
        <v>1.8492213599999995E-2</v>
      </c>
      <c r="O284" s="10">
        <f>(co2e_g_kwh!M284)/1000000000000</f>
        <v>2.8133624400000011E-3</v>
      </c>
      <c r="P284" s="22">
        <f t="shared" si="18"/>
        <v>2.4434539919999998E-2</v>
      </c>
      <c r="Q284" s="10">
        <f>(co2e_g_kwh!N284)/1000000000000</f>
        <v>0</v>
      </c>
      <c r="R284" s="10">
        <f>(co2e_g_kwh!O284)/1000000000000</f>
        <v>0</v>
      </c>
      <c r="S284" s="14">
        <f t="shared" si="19"/>
        <v>2.6634035196269896</v>
      </c>
    </row>
    <row r="285" spans="1:19" x14ac:dyDescent="0.3">
      <c r="A285" s="6">
        <v>284</v>
      </c>
      <c r="B285" s="6">
        <v>2023</v>
      </c>
      <c r="C285" s="6">
        <v>8</v>
      </c>
      <c r="D285" s="10">
        <f>(co2e_g_kwh!D285)/1000000000000</f>
        <v>5.7748378271998614E-2</v>
      </c>
      <c r="E285" s="10">
        <f>(co2e_g_kwh!F285)/1000000000000</f>
        <v>0.11863193726800092</v>
      </c>
      <c r="F285" s="10">
        <f>(co2e_g_kwh!G285)/1000000000000</f>
        <v>0.20011574668200061</v>
      </c>
      <c r="G285" s="10">
        <f>(co2e_g_kwh!K285)/1000000000000</f>
        <v>1.9434783419999959E-2</v>
      </c>
      <c r="H285" s="19">
        <f t="shared" si="16"/>
        <v>0.3959308456420001</v>
      </c>
      <c r="I285" s="10">
        <f>(co2e_g_kwh!E285)/1000000000000</f>
        <v>0.76957988106999964</v>
      </c>
      <c r="J285" s="10">
        <f>(co2e_g_kwh!H285)/1000000000000</f>
        <v>0.72737227956600359</v>
      </c>
      <c r="K285" s="20">
        <f t="shared" si="17"/>
        <v>1.4969521606360032</v>
      </c>
      <c r="L285" s="21">
        <f>(co2e_g_kwh!I285)/1000000000000</f>
        <v>0.69691712970598552</v>
      </c>
      <c r="M285" s="10">
        <f>(co2e_g_kwh!J285)/1000000000000</f>
        <v>4.442467680000001E-3</v>
      </c>
      <c r="N285" s="10">
        <f>(co2e_g_kwh!L285)/1000000000000</f>
        <v>2.6788340040000028E-2</v>
      </c>
      <c r="O285" s="10">
        <f>(co2e_g_kwh!M285)/1000000000000</f>
        <v>1.02690756E-3</v>
      </c>
      <c r="P285" s="22">
        <f t="shared" si="18"/>
        <v>3.2257715280000029E-2</v>
      </c>
      <c r="Q285" s="10">
        <f>(co2e_g_kwh!N285)/1000000000000</f>
        <v>0</v>
      </c>
      <c r="R285" s="10">
        <f>(co2e_g_kwh!O285)/1000000000000</f>
        <v>0</v>
      </c>
      <c r="S285" s="14">
        <f t="shared" si="19"/>
        <v>2.6220578512639889</v>
      </c>
    </row>
    <row r="286" spans="1:19" x14ac:dyDescent="0.3">
      <c r="A286" s="6">
        <v>285</v>
      </c>
      <c r="B286" s="6">
        <v>2023</v>
      </c>
      <c r="C286" s="6">
        <v>9</v>
      </c>
      <c r="D286" s="10">
        <f>(co2e_g_kwh!D286)/1000000000000</f>
        <v>5.4682038684000053E-2</v>
      </c>
      <c r="E286" s="10">
        <f>(co2e_g_kwh!F286)/1000000000000</f>
        <v>0.11932809938400181</v>
      </c>
      <c r="F286" s="10">
        <f>(co2e_g_kwh!G286)/1000000000000</f>
        <v>0.2184114800780009</v>
      </c>
      <c r="G286" s="10">
        <f>(co2e_g_kwh!K286)/1000000000000</f>
        <v>1.5940597386999995E-2</v>
      </c>
      <c r="H286" s="19">
        <f t="shared" si="16"/>
        <v>0.40836221553300273</v>
      </c>
      <c r="I286" s="10">
        <f>(co2e_g_kwh!E286)/1000000000000</f>
        <v>0.57492533198099938</v>
      </c>
      <c r="J286" s="10">
        <f>(co2e_g_kwh!H286)/1000000000000</f>
        <v>0.67804243975800249</v>
      </c>
      <c r="K286" s="20">
        <f t="shared" si="17"/>
        <v>1.252967771739002</v>
      </c>
      <c r="L286" s="21">
        <f>(co2e_g_kwh!I286)/1000000000000</f>
        <v>0.71096943145199476</v>
      </c>
      <c r="M286" s="10">
        <f>(co2e_g_kwh!J286)/1000000000000</f>
        <v>4.7986209599999979E-3</v>
      </c>
      <c r="N286" s="10">
        <f>(co2e_g_kwh!L286)/1000000000000</f>
        <v>3.795499848000003E-2</v>
      </c>
      <c r="O286" s="10">
        <f>(co2e_g_kwh!M286)/1000000000000</f>
        <v>9.2340444000000004E-4</v>
      </c>
      <c r="P286" s="22">
        <f t="shared" si="18"/>
        <v>4.3677023880000027E-2</v>
      </c>
      <c r="Q286" s="10">
        <f>(co2e_g_kwh!N286)/1000000000000</f>
        <v>0</v>
      </c>
      <c r="R286" s="10">
        <f>(co2e_g_kwh!O286)/1000000000000</f>
        <v>0</v>
      </c>
      <c r="S286" s="14">
        <f t="shared" si="19"/>
        <v>2.4159764426039994</v>
      </c>
    </row>
    <row r="287" spans="1:19" x14ac:dyDescent="0.3">
      <c r="A287" s="6">
        <v>286</v>
      </c>
      <c r="B287" s="6">
        <v>2023</v>
      </c>
      <c r="C287" s="6">
        <v>10</v>
      </c>
      <c r="D287" s="10">
        <f>(co2e_g_kwh!D287)/1000000000000</f>
        <v>5.3605399379998211E-2</v>
      </c>
      <c r="E287" s="10">
        <f>(co2e_g_kwh!F287)/1000000000000</f>
        <v>0.12609279290400022</v>
      </c>
      <c r="F287" s="10">
        <f>(co2e_g_kwh!G287)/1000000000000</f>
        <v>0.23191153269400386</v>
      </c>
      <c r="G287" s="10">
        <f>(co2e_g_kwh!K287)/1000000000000</f>
        <v>4.6877365599999948E-3</v>
      </c>
      <c r="H287" s="19">
        <f t="shared" si="16"/>
        <v>0.41629746153800229</v>
      </c>
      <c r="I287" s="10">
        <f>(co2e_g_kwh!E287)/1000000000000</f>
        <v>0.73713282442799855</v>
      </c>
      <c r="J287" s="10">
        <f>(co2e_g_kwh!H287)/1000000000000</f>
        <v>0.70036082384400156</v>
      </c>
      <c r="K287" s="20">
        <f t="shared" si="17"/>
        <v>1.437493648272</v>
      </c>
      <c r="L287" s="21">
        <f>(co2e_g_kwh!I287)/1000000000000</f>
        <v>0.76821474235800502</v>
      </c>
      <c r="M287" s="10">
        <f>(co2e_g_kwh!J287)/1000000000000</f>
        <v>4.6459845600000035E-3</v>
      </c>
      <c r="N287" s="10">
        <f>(co2e_g_kwh!L287)/1000000000000</f>
        <v>5.4988941839999923E-2</v>
      </c>
      <c r="O287" s="10">
        <f>(co2e_g_kwh!M287)/1000000000000</f>
        <v>8.2511436000000024E-4</v>
      </c>
      <c r="P287" s="22">
        <f t="shared" si="18"/>
        <v>6.0460040759999924E-2</v>
      </c>
      <c r="Q287" s="10">
        <f>(co2e_g_kwh!N287)/1000000000000</f>
        <v>0</v>
      </c>
      <c r="R287" s="10">
        <f>(co2e_g_kwh!O287)/1000000000000</f>
        <v>0</v>
      </c>
      <c r="S287" s="14">
        <f t="shared" si="19"/>
        <v>2.6824658929280076</v>
      </c>
    </row>
    <row r="288" spans="1:19" x14ac:dyDescent="0.3">
      <c r="A288" s="6">
        <v>287</v>
      </c>
      <c r="B288" s="6">
        <v>2023</v>
      </c>
      <c r="C288" s="6">
        <v>11</v>
      </c>
      <c r="D288" s="10">
        <f>(co2e_g_kwh!D288)/1000000000000</f>
        <v>4.649402118399952E-2</v>
      </c>
      <c r="E288" s="10">
        <f>(co2e_g_kwh!F288)/1000000000000</f>
        <v>0.10495185437100138</v>
      </c>
      <c r="F288" s="10">
        <f>(co2e_g_kwh!G288)/1000000000000</f>
        <v>0.25580520397600259</v>
      </c>
      <c r="G288" s="10">
        <f>(co2e_g_kwh!K288)/1000000000000</f>
        <v>5.8113065139999906E-3</v>
      </c>
      <c r="H288" s="19">
        <f t="shared" si="16"/>
        <v>0.41306238604500345</v>
      </c>
      <c r="I288" s="10">
        <f>(co2e_g_kwh!E288)/1000000000000</f>
        <v>0.86733517270399951</v>
      </c>
      <c r="J288" s="10">
        <f>(co2e_g_kwh!H288)/1000000000000</f>
        <v>1.2476238089940064</v>
      </c>
      <c r="K288" s="20">
        <f t="shared" si="17"/>
        <v>2.1149589816980061</v>
      </c>
      <c r="L288" s="21">
        <f>(co2e_g_kwh!I288)/1000000000000</f>
        <v>0.77987148038099874</v>
      </c>
      <c r="M288" s="10">
        <f>(co2e_g_kwh!J288)/1000000000000</f>
        <v>5.5980615600000044E-3</v>
      </c>
      <c r="N288" s="10">
        <f>(co2e_g_kwh!L288)/1000000000000</f>
        <v>0.10884480600000011</v>
      </c>
      <c r="O288" s="10">
        <f>(co2e_g_kwh!M288)/1000000000000</f>
        <v>2.7785141999999989E-3</v>
      </c>
      <c r="P288" s="22">
        <f t="shared" si="18"/>
        <v>0.11722138176000012</v>
      </c>
      <c r="Q288" s="10">
        <f>(co2e_g_kwh!N288)/1000000000000</f>
        <v>0</v>
      </c>
      <c r="R288" s="10">
        <f>(co2e_g_kwh!O288)/1000000000000</f>
        <v>0</v>
      </c>
      <c r="S288" s="14">
        <f t="shared" si="19"/>
        <v>3.4251142298840085</v>
      </c>
    </row>
    <row r="289" spans="1:21" x14ac:dyDescent="0.3">
      <c r="A289" s="6">
        <v>288</v>
      </c>
      <c r="B289" s="6">
        <v>2023</v>
      </c>
      <c r="C289" s="6">
        <v>12</v>
      </c>
      <c r="D289" s="10">
        <f>(co2e_g_kwh!D289)/1000000000000</f>
        <v>3.1403417031999739E-2</v>
      </c>
      <c r="E289" s="10">
        <f>(co2e_g_kwh!F289)/1000000000000</f>
        <v>0.10756389163000162</v>
      </c>
      <c r="F289" s="10">
        <f>(co2e_g_kwh!G289)/1000000000000</f>
        <v>0.26085827024299846</v>
      </c>
      <c r="G289" s="10">
        <f>(co2e_g_kwh!K289)/1000000000000</f>
        <v>1.6155800414000013E-2</v>
      </c>
      <c r="H289" s="19">
        <f t="shared" si="16"/>
        <v>0.41598137931899981</v>
      </c>
      <c r="I289" s="10">
        <f>(co2e_g_kwh!E289)/1000000000000</f>
        <v>0.64601398561700119</v>
      </c>
      <c r="J289" s="10">
        <f>(co2e_g_kwh!H289)/1000000000000</f>
        <v>1.3892669994780098</v>
      </c>
      <c r="K289" s="20">
        <f t="shared" si="17"/>
        <v>2.0352809850950111</v>
      </c>
      <c r="L289" s="21">
        <f>(co2e_g_kwh!I289)/1000000000000</f>
        <v>0.81077993197739251</v>
      </c>
      <c r="M289" s="10">
        <f>(co2e_g_kwh!J289)/1000000000000</f>
        <v>4.7826517200000029E-3</v>
      </c>
      <c r="N289" s="10">
        <f>(co2e_g_kwh!L289)/1000000000000</f>
        <v>9.0243786359999772E-2</v>
      </c>
      <c r="O289" s="10">
        <f>(co2e_g_kwh!M289)/1000000000000</f>
        <v>4.1117966400000018E-3</v>
      </c>
      <c r="P289" s="22">
        <f t="shared" si="18"/>
        <v>9.9138234719999774E-2</v>
      </c>
      <c r="Q289" s="10">
        <f>(co2e_g_kwh!N289)/1000000000000</f>
        <v>0</v>
      </c>
      <c r="R289" s="10">
        <f>(co2e_g_kwh!O289)/1000000000000</f>
        <v>0</v>
      </c>
      <c r="S289" s="14">
        <f t="shared" si="19"/>
        <v>3.3611805311114029</v>
      </c>
    </row>
    <row r="290" spans="1:21" x14ac:dyDescent="0.3">
      <c r="A290" s="6">
        <v>289</v>
      </c>
      <c r="B290" s="6">
        <v>2024</v>
      </c>
      <c r="C290" s="6">
        <v>1</v>
      </c>
      <c r="D290" s="10">
        <f>(co2e_g_kwh!D290)/1000000000000</f>
        <v>1.5579385016000953E-2</v>
      </c>
      <c r="E290" s="10">
        <f>(co2e_g_kwh!F290)/1000000000000</f>
        <v>7.1456485490000318E-2</v>
      </c>
      <c r="F290" s="10">
        <f>(co2e_g_kwh!G290)/1000000000000</f>
        <v>0.24850312595200172</v>
      </c>
      <c r="G290" s="10">
        <f>(co2e_g_kwh!K290)/1000000000000</f>
        <v>1.8812944656999991E-2</v>
      </c>
      <c r="H290" s="19">
        <f t="shared" si="16"/>
        <v>0.35435194111500301</v>
      </c>
      <c r="I290" s="10">
        <f>(co2e_g_kwh!E290)/1000000000000</f>
        <v>0.61438124748000056</v>
      </c>
      <c r="J290" s="10">
        <f>(co2e_g_kwh!H290)/1000000000000</f>
        <v>1.2733338412799922</v>
      </c>
      <c r="K290" s="20">
        <f t="shared" si="17"/>
        <v>1.8877150887599927</v>
      </c>
      <c r="L290" s="21">
        <f>(co2e_g_kwh!I290)/1000000000000</f>
        <v>0.87794859593701968</v>
      </c>
      <c r="M290" s="10">
        <f>(co2e_g_kwh!J290)/1000000000000</f>
        <v>4.4845340399999973E-3</v>
      </c>
      <c r="N290" s="10">
        <f>(co2e_g_kwh!L290)/1000000000000</f>
        <v>3.9482982000000048E-2</v>
      </c>
      <c r="O290" s="10">
        <f>(co2e_g_kwh!M290)/1000000000000</f>
        <v>5.2593651599999978E-3</v>
      </c>
      <c r="P290" s="22">
        <f t="shared" si="18"/>
        <v>4.9226881200000044E-2</v>
      </c>
      <c r="Q290" s="10">
        <f>(co2e_g_kwh!N290)/1000000000000</f>
        <v>0</v>
      </c>
      <c r="R290" s="10">
        <f>(co2e_g_kwh!O290)/1000000000000</f>
        <v>0</v>
      </c>
      <c r="S290" s="14">
        <f t="shared" si="19"/>
        <v>3.1692425070120156</v>
      </c>
      <c r="U290" s="9"/>
    </row>
    <row r="291" spans="1:21" x14ac:dyDescent="0.3">
      <c r="A291" s="6">
        <v>290</v>
      </c>
      <c r="B291" s="6">
        <v>2024</v>
      </c>
      <c r="C291" s="6">
        <v>2</v>
      </c>
      <c r="D291" s="10">
        <f>(co2e_g_kwh!D291)/1000000000000</f>
        <v>1.6299457668000308E-2</v>
      </c>
      <c r="E291" s="10">
        <f>(co2e_g_kwh!F291)/1000000000000</f>
        <v>8.1224311532000409E-2</v>
      </c>
      <c r="F291" s="10">
        <f>(co2e_g_kwh!G291)/1000000000000</f>
        <v>0.23864372432200109</v>
      </c>
      <c r="G291" s="10">
        <f>(co2e_g_kwh!K291)/1000000000000</f>
        <v>1.798343151799997E-2</v>
      </c>
      <c r="H291" s="19">
        <f t="shared" si="16"/>
        <v>0.35415092504000178</v>
      </c>
      <c r="I291" s="10">
        <f>(co2e_g_kwh!E291)/1000000000000</f>
        <v>0.81082918416500083</v>
      </c>
      <c r="J291" s="10">
        <f>(co2e_g_kwh!H291)/1000000000000</f>
        <v>0.7502529175380025</v>
      </c>
      <c r="K291" s="20">
        <f t="shared" si="17"/>
        <v>1.5610821017030032</v>
      </c>
      <c r="L291" s="21">
        <f>(co2e_g_kwh!I291)/1000000000000</f>
        <v>0.86431883176801572</v>
      </c>
      <c r="M291" s="10">
        <f>(co2e_g_kwh!J291)/1000000000000</f>
        <v>4.6582586400000028E-3</v>
      </c>
      <c r="N291" s="10">
        <f>(co2e_g_kwh!L291)/1000000000000</f>
        <v>2.4554858160000026E-2</v>
      </c>
      <c r="O291" s="10">
        <f>(co2e_g_kwh!M291)/1000000000000</f>
        <v>7.9091098800000061E-3</v>
      </c>
      <c r="P291" s="22">
        <f t="shared" si="18"/>
        <v>3.7122226680000037E-2</v>
      </c>
      <c r="Q291" s="10">
        <f>(co2e_g_kwh!N291)/1000000000000</f>
        <v>0</v>
      </c>
      <c r="R291" s="10">
        <f>(co2e_g_kwh!O291)/1000000000000</f>
        <v>0</v>
      </c>
      <c r="S291" s="14">
        <f t="shared" si="19"/>
        <v>2.8166740851910212</v>
      </c>
    </row>
    <row r="292" spans="1:21" x14ac:dyDescent="0.3">
      <c r="A292" s="6">
        <v>291</v>
      </c>
      <c r="B292" s="6">
        <v>2024</v>
      </c>
      <c r="C292" s="6">
        <v>3</v>
      </c>
      <c r="D292" s="10">
        <f>(co2e_g_kwh!D292)/1000000000000</f>
        <v>2.4162927724000881E-2</v>
      </c>
      <c r="E292" s="10">
        <f>(co2e_g_kwh!F292)/1000000000000</f>
        <v>6.7730175551999353E-2</v>
      </c>
      <c r="F292" s="10">
        <f>(co2e_g_kwh!G292)/1000000000000</f>
        <v>0.25551433361500275</v>
      </c>
      <c r="G292" s="10">
        <f>(co2e_g_kwh!K292)/1000000000000</f>
        <v>1.8208436701000006E-2</v>
      </c>
      <c r="H292" s="19">
        <f t="shared" si="16"/>
        <v>0.36561587359200298</v>
      </c>
      <c r="I292" s="10">
        <f>(co2e_g_kwh!E292)/1000000000000</f>
        <v>0.55708812459300028</v>
      </c>
      <c r="J292" s="10">
        <f>(co2e_g_kwh!H292)/1000000000000</f>
        <v>0.74424817126799769</v>
      </c>
      <c r="K292" s="20">
        <f t="shared" si="17"/>
        <v>1.301336295860998</v>
      </c>
      <c r="L292" s="21">
        <f>(co2e_g_kwh!I292)/1000000000000</f>
        <v>0.95171064334501454</v>
      </c>
      <c r="M292" s="10">
        <f>(co2e_g_kwh!J292)/1000000000000</f>
        <v>5.7119756399999968E-3</v>
      </c>
      <c r="N292" s="10">
        <f>(co2e_g_kwh!L292)/1000000000000</f>
        <v>6.0729868079999999E-2</v>
      </c>
      <c r="O292" s="10">
        <f>(co2e_g_kwh!M292)/1000000000000</f>
        <v>3.8346361199999976E-3</v>
      </c>
      <c r="P292" s="22">
        <f t="shared" si="18"/>
        <v>7.0276479839999989E-2</v>
      </c>
      <c r="Q292" s="10">
        <f>(co2e_g_kwh!N292)/1000000000000</f>
        <v>0</v>
      </c>
      <c r="R292" s="10">
        <f>(co2e_g_kwh!O292)/1000000000000</f>
        <v>0</v>
      </c>
      <c r="S292" s="14">
        <f t="shared" si="19"/>
        <v>2.688939292638016</v>
      </c>
    </row>
    <row r="293" spans="1:21" x14ac:dyDescent="0.3">
      <c r="A293" s="6">
        <v>292</v>
      </c>
      <c r="B293" s="6">
        <v>2024</v>
      </c>
      <c r="C293" s="6">
        <v>4</v>
      </c>
      <c r="D293" s="10">
        <f>(co2e_g_kwh!D293)/1000000000000</f>
        <v>3.7028495244000925E-2</v>
      </c>
      <c r="E293" s="10">
        <f>(co2e_g_kwh!F293)/1000000000000</f>
        <v>7.6630549852998733E-2</v>
      </c>
      <c r="F293" s="10">
        <f>(co2e_g_kwh!G293)/1000000000000</f>
        <v>0.2421043799310002</v>
      </c>
      <c r="G293" s="10">
        <f>(co2e_g_kwh!K293)/1000000000000</f>
        <v>1.8652292099999995E-2</v>
      </c>
      <c r="H293" s="19">
        <f t="shared" si="16"/>
        <v>0.37441571712799981</v>
      </c>
      <c r="I293" s="10">
        <f>(co2e_g_kwh!E293)/1000000000000</f>
        <v>0.20771230780300007</v>
      </c>
      <c r="J293" s="10">
        <f>(co2e_g_kwh!H293)/1000000000000</f>
        <v>0.68245251553800135</v>
      </c>
      <c r="K293" s="20">
        <f t="shared" si="17"/>
        <v>0.89016482334100144</v>
      </c>
      <c r="L293" s="21">
        <f>(co2e_g_kwh!I293)/1000000000000</f>
        <v>0.85921285934401326</v>
      </c>
      <c r="M293" s="10">
        <f>(co2e_g_kwh!J293)/1000000000000</f>
        <v>5.1731652000000013E-3</v>
      </c>
      <c r="N293" s="10">
        <f>(co2e_g_kwh!L293)/1000000000000</f>
        <v>4.1507476079999467E-2</v>
      </c>
      <c r="O293" s="10">
        <f>(co2e_g_kwh!M293)/1000000000000</f>
        <v>3.6159496799999967E-3</v>
      </c>
      <c r="P293" s="22">
        <f t="shared" si="18"/>
        <v>5.0296590959999464E-2</v>
      </c>
      <c r="Q293" s="10">
        <f>(co2e_g_kwh!N293)/1000000000000</f>
        <v>0</v>
      </c>
      <c r="R293" s="10">
        <f>(co2e_g_kwh!O293)/1000000000000</f>
        <v>0</v>
      </c>
      <c r="S293" s="14">
        <f t="shared" si="19"/>
        <v>2.1740899907730138</v>
      </c>
    </row>
    <row r="294" spans="1:21" x14ac:dyDescent="0.3">
      <c r="A294" s="6">
        <v>293</v>
      </c>
      <c r="B294" s="6">
        <v>2024</v>
      </c>
      <c r="C294" s="6">
        <v>5</v>
      </c>
      <c r="D294" s="10">
        <f>(co2e_g_kwh!D294)/1000000000000</f>
        <v>5.3912949220001088E-2</v>
      </c>
      <c r="E294" s="10">
        <f>(co2e_g_kwh!F294)/1000000000000</f>
        <v>0.11376380507699786</v>
      </c>
      <c r="F294" s="10">
        <f>(co2e_g_kwh!G294)/1000000000000</f>
        <v>0.23688270094599917</v>
      </c>
      <c r="G294" s="10">
        <f>(co2e_g_kwh!K294)/1000000000000</f>
        <v>1.6447063398999994E-2</v>
      </c>
      <c r="H294" s="19">
        <f t="shared" si="16"/>
        <v>0.42100651864199812</v>
      </c>
      <c r="I294" s="10">
        <f>(co2e_g_kwh!E294)/1000000000000</f>
        <v>0.41606232667999998</v>
      </c>
      <c r="J294" s="10">
        <f>(co2e_g_kwh!H294)/1000000000000</f>
        <v>0.57960126817199809</v>
      </c>
      <c r="K294" s="20">
        <f t="shared" si="17"/>
        <v>0.99566359485199807</v>
      </c>
      <c r="L294" s="21">
        <f>(co2e_g_kwh!I294)/1000000000000</f>
        <v>0.78598640450402213</v>
      </c>
      <c r="M294" s="10">
        <f>(co2e_g_kwh!J294)/1000000000000</f>
        <v>4.9590618000000036E-3</v>
      </c>
      <c r="N294" s="10">
        <f>(co2e_g_kwh!L294)/1000000000000</f>
        <v>1.7322516959999944E-2</v>
      </c>
      <c r="O294" s="10">
        <f>(co2e_g_kwh!M294)/1000000000000</f>
        <v>3.3651335759999998E-2</v>
      </c>
      <c r="P294" s="22">
        <f t="shared" si="18"/>
        <v>5.5932914519999946E-2</v>
      </c>
      <c r="Q294" s="10">
        <f>(co2e_g_kwh!N294)/1000000000000</f>
        <v>0</v>
      </c>
      <c r="R294" s="10">
        <f>(co2e_g_kwh!O294)/1000000000000</f>
        <v>0</v>
      </c>
      <c r="S294" s="14">
        <f t="shared" si="19"/>
        <v>2.2585894325180185</v>
      </c>
    </row>
    <row r="295" spans="1:21" x14ac:dyDescent="0.3">
      <c r="A295" s="6">
        <v>294</v>
      </c>
      <c r="B295" s="6">
        <v>2024</v>
      </c>
      <c r="C295" s="6">
        <v>6</v>
      </c>
      <c r="D295" s="10">
        <f>(co2e_g_kwh!D295)/1000000000000</f>
        <v>5.6021891171998399E-2</v>
      </c>
      <c r="E295" s="10">
        <f>(co2e_g_kwh!F295)/1000000000000</f>
        <v>0.1246972917059998</v>
      </c>
      <c r="F295" s="10">
        <f>(co2e_g_kwh!G295)/1000000000000</f>
        <v>0.22031347185900307</v>
      </c>
      <c r="G295" s="10">
        <f>(co2e_g_kwh!K295)/1000000000000</f>
        <v>1.8724045495999972E-2</v>
      </c>
      <c r="H295" s="19">
        <f t="shared" si="16"/>
        <v>0.41975670023300127</v>
      </c>
      <c r="I295" s="10">
        <f>(co2e_g_kwh!E295)/1000000000000</f>
        <v>0.54241077891000011</v>
      </c>
      <c r="J295" s="10">
        <f>(co2e_g_kwh!H295)/1000000000000</f>
        <v>0.6873972569279958</v>
      </c>
      <c r="K295" s="20">
        <f t="shared" si="17"/>
        <v>1.2298080358379959</v>
      </c>
      <c r="L295" s="21">
        <f>(co2e_g_kwh!I295)/1000000000000</f>
        <v>0.67942203562798764</v>
      </c>
      <c r="M295" s="10">
        <f>(co2e_g_kwh!J295)/1000000000000</f>
        <v>1.4481515999999997E-3</v>
      </c>
      <c r="N295" s="10">
        <f>(co2e_g_kwh!L295)/1000000000000</f>
        <v>1.7911633320000033E-2</v>
      </c>
      <c r="O295" s="10">
        <f>(co2e_g_kwh!M295)/1000000000000</f>
        <v>1.1359320000000001E-3</v>
      </c>
      <c r="P295" s="22">
        <f t="shared" si="18"/>
        <v>2.0495716920000032E-2</v>
      </c>
      <c r="Q295" s="10">
        <f>(co2e_g_kwh!N295)/1000000000000</f>
        <v>0</v>
      </c>
      <c r="R295" s="10">
        <f>(co2e_g_kwh!O295)/1000000000000</f>
        <v>0</v>
      </c>
      <c r="S295" s="14">
        <f t="shared" si="19"/>
        <v>2.3494824886189853</v>
      </c>
    </row>
    <row r="296" spans="1:21" x14ac:dyDescent="0.3">
      <c r="A296" s="6">
        <v>295</v>
      </c>
      <c r="B296" s="6">
        <v>2024</v>
      </c>
      <c r="C296" s="6">
        <v>7</v>
      </c>
      <c r="D296" s="10">
        <f>(co2e_g_kwh!D296)/1000000000000</f>
        <v>5.605667246399982E-2</v>
      </c>
      <c r="E296" s="10">
        <f>(co2e_g_kwh!F296)/1000000000000</f>
        <v>0.1419224775540017</v>
      </c>
      <c r="F296" s="10">
        <f>(co2e_g_kwh!G296)/1000000000000</f>
        <v>0.23922696393799964</v>
      </c>
      <c r="G296" s="10">
        <f>(co2e_g_kwh!K296)/1000000000000</f>
        <v>1.9393858289000008E-2</v>
      </c>
      <c r="H296" s="19">
        <f t="shared" si="16"/>
        <v>0.45659997224500121</v>
      </c>
      <c r="I296" s="10">
        <f>(co2e_g_kwh!E296)/1000000000000</f>
        <v>0.66683201184600105</v>
      </c>
      <c r="J296" s="10">
        <f>(co2e_g_kwh!H296)/1000000000000</f>
        <v>1.2170225157300008</v>
      </c>
      <c r="K296" s="20">
        <f t="shared" si="17"/>
        <v>1.8838545275760019</v>
      </c>
      <c r="L296" s="21">
        <f>(co2e_g_kwh!I296)/1000000000000</f>
        <v>0.66381367871698038</v>
      </c>
      <c r="M296" s="10">
        <f>(co2e_g_kwh!J296)/1000000000000</f>
        <v>2.9136349200000011E-3</v>
      </c>
      <c r="N296" s="10">
        <f>(co2e_g_kwh!L296)/1000000000000</f>
        <v>4.0787876640000054E-2</v>
      </c>
      <c r="O296" s="10">
        <f>(co2e_g_kwh!M296)/1000000000000</f>
        <v>5.4677859599999981E-3</v>
      </c>
      <c r="P296" s="22">
        <f t="shared" si="18"/>
        <v>4.9169297520000051E-2</v>
      </c>
      <c r="Q296" s="10">
        <f>(co2e_g_kwh!N296)/1000000000000</f>
        <v>0</v>
      </c>
      <c r="R296" s="10">
        <f>(co2e_g_kwh!O296)/1000000000000</f>
        <v>0</v>
      </c>
      <c r="S296" s="14">
        <f t="shared" si="19"/>
        <v>3.0534374760579834</v>
      </c>
    </row>
    <row r="297" spans="1:21" x14ac:dyDescent="0.3">
      <c r="A297" s="6">
        <v>296</v>
      </c>
      <c r="B297" s="6">
        <v>2024</v>
      </c>
      <c r="C297" s="6">
        <v>8</v>
      </c>
      <c r="D297" s="10">
        <f>(co2e_g_kwh!D297)/1000000000000</f>
        <v>5.6411439239999285E-2</v>
      </c>
      <c r="E297" s="10">
        <f>(co2e_g_kwh!F297)/1000000000000</f>
        <v>0.15449868781099779</v>
      </c>
      <c r="F297" s="10">
        <f>(co2e_g_kwh!G297)/1000000000000</f>
        <v>0.27491863891700224</v>
      </c>
      <c r="G297" s="10">
        <f>(co2e_g_kwh!K297)/1000000000000</f>
        <v>1.9402698328000009E-2</v>
      </c>
      <c r="H297" s="19">
        <f t="shared" si="16"/>
        <v>0.5052314642959993</v>
      </c>
      <c r="I297" s="10">
        <f>(co2e_g_kwh!E297)/1000000000000</f>
        <v>0.89073787302500085</v>
      </c>
      <c r="J297" s="10">
        <f>(co2e_g_kwh!H297)/1000000000000</f>
        <v>1.5695844180479912</v>
      </c>
      <c r="K297" s="20">
        <f t="shared" si="17"/>
        <v>2.4603222910729921</v>
      </c>
      <c r="L297" s="21">
        <f>(co2e_g_kwh!I297)/1000000000000</f>
        <v>0.63288323872199181</v>
      </c>
      <c r="M297" s="10">
        <f>(co2e_g_kwh!J297)/1000000000000</f>
        <v>3.9202195199999988E-3</v>
      </c>
      <c r="N297" s="10">
        <f>(co2e_g_kwh!L297)/1000000000000</f>
        <v>7.4453859479999884E-2</v>
      </c>
      <c r="O297" s="10">
        <f>(co2e_g_kwh!M297)/1000000000000</f>
        <v>7.9441000800000005E-3</v>
      </c>
      <c r="P297" s="22">
        <f t="shared" si="18"/>
        <v>8.631817907999989E-2</v>
      </c>
      <c r="Q297" s="10">
        <f>(co2e_g_kwh!N297)/1000000000000</f>
        <v>0</v>
      </c>
      <c r="R297" s="10">
        <f>(co2e_g_kwh!O297)/1000000000000</f>
        <v>0</v>
      </c>
      <c r="S297" s="14">
        <f t="shared" si="19"/>
        <v>3.6847551731709829</v>
      </c>
    </row>
    <row r="298" spans="1:21" x14ac:dyDescent="0.3">
      <c r="A298" s="6">
        <v>297</v>
      </c>
      <c r="B298" s="6">
        <v>2024</v>
      </c>
      <c r="C298" s="6">
        <v>9</v>
      </c>
      <c r="D298" s="10">
        <f>(co2e_g_kwh!D298)/1000000000000</f>
        <v>6.2175133539999997E-2</v>
      </c>
      <c r="E298" s="10">
        <f>(co2e_g_kwh!F298)/1000000000000</f>
        <v>0.15379692197999978</v>
      </c>
      <c r="F298" s="10">
        <f>(co2e_g_kwh!G298)/1000000000000</f>
        <v>0.29065178890400079</v>
      </c>
      <c r="G298" s="10">
        <f>(co2e_g_kwh!K298)/1000000000000</f>
        <v>1.8549099113999989E-2</v>
      </c>
      <c r="H298" s="19">
        <f t="shared" si="16"/>
        <v>0.52517294353800059</v>
      </c>
      <c r="I298" s="10">
        <f>(co2e_g_kwh!E298)/1000000000000</f>
        <v>0.98418495975799825</v>
      </c>
      <c r="J298" s="10">
        <f>(co2e_g_kwh!H298)/1000000000000</f>
        <v>2.3302433790180275</v>
      </c>
      <c r="K298" s="20">
        <f t="shared" si="17"/>
        <v>3.3144283387760258</v>
      </c>
      <c r="L298" s="21">
        <f>(co2e_g_kwh!I298)/1000000000000</f>
        <v>0.6029359463189955</v>
      </c>
      <c r="M298" s="10">
        <f>(co2e_g_kwh!J298)/1000000000000</f>
        <v>4.3209045599999964E-3</v>
      </c>
      <c r="N298" s="10">
        <f>(co2e_g_kwh!L298)/1000000000000</f>
        <v>0.10386149675999996</v>
      </c>
      <c r="O298" s="10">
        <f>(co2e_g_kwh!M298)/1000000000000</f>
        <v>2.9237838000000019E-2</v>
      </c>
      <c r="P298" s="22">
        <f t="shared" si="18"/>
        <v>0.13742023931999997</v>
      </c>
      <c r="Q298" s="10">
        <f>(co2e_g_kwh!N298)/1000000000000</f>
        <v>0</v>
      </c>
      <c r="R298" s="10">
        <f>(co2e_g_kwh!O298)/1000000000000</f>
        <v>0</v>
      </c>
      <c r="S298" s="14">
        <f t="shared" si="19"/>
        <v>4.5799574679530215</v>
      </c>
    </row>
    <row r="299" spans="1:21" x14ac:dyDescent="0.3">
      <c r="A299" s="6">
        <v>298</v>
      </c>
      <c r="B299" s="6">
        <v>2024</v>
      </c>
      <c r="C299" s="6">
        <v>10</v>
      </c>
      <c r="D299" s="10">
        <f>(co2e_g_kwh!D299)/1000000000000</f>
        <v>5.0990405128000182E-2</v>
      </c>
      <c r="E299" s="10">
        <f>(co2e_g_kwh!F299)/1000000000000</f>
        <v>0.13975950323400152</v>
      </c>
      <c r="F299" s="10">
        <f>(co2e_g_kwh!G299)/1000000000000</f>
        <v>0.32763157278600086</v>
      </c>
      <c r="G299" s="10">
        <f>(co2e_g_kwh!K299)/1000000000000</f>
        <v>1.9308637374000015E-2</v>
      </c>
      <c r="H299" s="19">
        <f t="shared" si="16"/>
        <v>0.53769011852200255</v>
      </c>
      <c r="I299" s="10">
        <f>(co2e_g_kwh!E299)/1000000000000</f>
        <v>1.7278176455539993</v>
      </c>
      <c r="J299" s="10">
        <f>(co2e_g_kwh!H299)/1000000000000</f>
        <v>2.5171831040579957</v>
      </c>
      <c r="K299" s="20">
        <f t="shared" si="17"/>
        <v>4.2450007496119948</v>
      </c>
      <c r="L299" s="21">
        <f>(co2e_g_kwh!I299)/1000000000000</f>
        <v>0.62868775309198521</v>
      </c>
      <c r="M299" s="10">
        <f>(co2e_g_kwh!J299)/1000000000000</f>
        <v>1.8716636400000024E-3</v>
      </c>
      <c r="N299" s="10">
        <f>(co2e_g_kwh!L299)/1000000000000</f>
        <v>7.3040626679999984E-2</v>
      </c>
      <c r="O299" s="10">
        <f>(co2e_g_kwh!M299)/1000000000000</f>
        <v>1.7377580640000008E-2</v>
      </c>
      <c r="P299" s="22">
        <f t="shared" si="18"/>
        <v>9.2289870959999992E-2</v>
      </c>
      <c r="Q299" s="10">
        <f>(co2e_g_kwh!N299)/1000000000000</f>
        <v>0</v>
      </c>
      <c r="R299" s="10">
        <f>(co2e_g_kwh!O299)/1000000000000</f>
        <v>0</v>
      </c>
      <c r="S299" s="14">
        <f t="shared" si="19"/>
        <v>5.5036684921859829</v>
      </c>
    </row>
    <row r="300" spans="1:21" x14ac:dyDescent="0.3">
      <c r="A300" s="6">
        <v>299</v>
      </c>
      <c r="B300" s="6">
        <v>2024</v>
      </c>
      <c r="C300" s="6">
        <v>11</v>
      </c>
      <c r="D300" s="10">
        <f>(co2e_g_kwh!D300)/1000000000000</f>
        <v>4.2146735383999559E-2</v>
      </c>
      <c r="E300" s="10">
        <f>(co2e_g_kwh!F300)/1000000000000</f>
        <v>0.13005959461300032</v>
      </c>
      <c r="F300" s="10">
        <f>(co2e_g_kwh!G300)/1000000000000</f>
        <v>0.31510125290200008</v>
      </c>
      <c r="G300" s="10">
        <f>(co2e_g_kwh!K300)/1000000000000</f>
        <v>8.99384856499999E-3</v>
      </c>
      <c r="H300" s="19">
        <f t="shared" si="16"/>
        <v>0.49630143146399996</v>
      </c>
      <c r="I300" s="10">
        <f>(co2e_g_kwh!E300)/1000000000000</f>
        <v>0.94605225815100435</v>
      </c>
      <c r="J300" s="10">
        <f>(co2e_g_kwh!H300)/1000000000000</f>
        <v>1.6125433455780136</v>
      </c>
      <c r="K300" s="20">
        <f t="shared" si="17"/>
        <v>2.5585956037290178</v>
      </c>
      <c r="L300" s="21">
        <f>(co2e_g_kwh!I300)/1000000000000</f>
        <v>0.6969817373609688</v>
      </c>
      <c r="M300" s="10">
        <f>(co2e_g_kwh!J300)/1000000000000</f>
        <v>1.48353072E-3</v>
      </c>
      <c r="N300" s="10">
        <f>(co2e_g_kwh!L300)/1000000000000</f>
        <v>7.7480510520000087E-2</v>
      </c>
      <c r="O300" s="10">
        <f>(co2e_g_kwh!M300)/1000000000000</f>
        <v>4.5915206399999992E-3</v>
      </c>
      <c r="P300" s="22">
        <f t="shared" si="18"/>
        <v>8.3555561880000087E-2</v>
      </c>
      <c r="Q300" s="10">
        <f>(co2e_g_kwh!N300)/1000000000000</f>
        <v>0</v>
      </c>
      <c r="R300" s="10">
        <f>(co2e_g_kwh!O300)/1000000000000</f>
        <v>0</v>
      </c>
      <c r="S300" s="14">
        <f t="shared" si="19"/>
        <v>3.8354343344339865</v>
      </c>
    </row>
    <row r="301" spans="1:21" x14ac:dyDescent="0.3">
      <c r="A301" s="6">
        <v>300</v>
      </c>
      <c r="B301" s="6">
        <v>2024</v>
      </c>
      <c r="C301" s="6">
        <v>12</v>
      </c>
      <c r="D301" s="10">
        <f>(co2e_g_kwh!D301)/1000000000000</f>
        <v>2.3181087020000702E-2</v>
      </c>
      <c r="E301" s="10">
        <f>(co2e_g_kwh!F301)/1000000000000</f>
        <v>0.12231972667200265</v>
      </c>
      <c r="F301" s="10">
        <f>(co2e_g_kwh!G301)/1000000000000</f>
        <v>0.33295376543199884</v>
      </c>
      <c r="G301" s="10">
        <f>(co2e_g_kwh!K301)/1000000000000</f>
        <v>1.0004326344999995E-2</v>
      </c>
      <c r="H301" s="19">
        <f t="shared" si="16"/>
        <v>0.48845890546900217</v>
      </c>
      <c r="I301" s="10">
        <f>(co2e_g_kwh!E301)/1000000000000</f>
        <v>0.75391303887899941</v>
      </c>
      <c r="J301" s="10">
        <f>(co2e_g_kwh!H301)/1000000000000</f>
        <v>1.3976793513539931</v>
      </c>
      <c r="K301" s="20">
        <f t="shared" si="17"/>
        <v>2.1515923902329925</v>
      </c>
      <c r="L301" s="21">
        <f>(co2e_g_kwh!I301)/1000000000000</f>
        <v>0.75064536231296553</v>
      </c>
      <c r="M301" s="10">
        <f>(co2e_g_kwh!J301)/1000000000000</f>
        <v>2.2847193599999992E-3</v>
      </c>
      <c r="N301" s="10">
        <f>(co2e_g_kwh!L301)/1000000000000</f>
        <v>2.0770391039999989E-2</v>
      </c>
      <c r="O301" s="10">
        <f>(co2e_g_kwh!M301)/1000000000000</f>
        <v>1.1869197479999991E-2</v>
      </c>
      <c r="P301" s="22">
        <f t="shared" si="18"/>
        <v>3.4924307879999977E-2</v>
      </c>
      <c r="Q301" s="10">
        <f>(co2e_g_kwh!N301)/1000000000000</f>
        <v>0</v>
      </c>
      <c r="R301" s="10">
        <f>(co2e_g_kwh!O301)/1000000000000</f>
        <v>0</v>
      </c>
      <c r="S301" s="14">
        <f t="shared" si="19"/>
        <v>3.4256209658949599</v>
      </c>
    </row>
    <row r="302" spans="1:21" x14ac:dyDescent="0.3">
      <c r="A302" s="6">
        <v>301</v>
      </c>
      <c r="B302" s="6">
        <v>2025</v>
      </c>
      <c r="C302" s="6">
        <v>1</v>
      </c>
      <c r="D302" s="10">
        <f>(co2e_g_kwh!D302)/1000000000000</f>
        <v>1.2058809620000053E-2</v>
      </c>
      <c r="E302" s="10">
        <f>(co2e_g_kwh!F302)/1000000000000</f>
        <v>7.5559674449998851E-2</v>
      </c>
      <c r="F302" s="10">
        <f>(co2e_g_kwh!G302)/1000000000000</f>
        <v>0.33269479741599711</v>
      </c>
      <c r="G302" s="10">
        <f>(co2e_g_kwh!K302)/1000000000000</f>
        <v>1.7647292494000016E-2</v>
      </c>
      <c r="H302" s="19">
        <f t="shared" si="16"/>
        <v>0.43796057397999599</v>
      </c>
      <c r="I302" s="10">
        <f>(co2e_g_kwh!E302)/1000000000000</f>
        <v>0.30638641233199992</v>
      </c>
      <c r="J302" s="10">
        <f>(co2e_g_kwh!H302)/1000000000000</f>
        <v>1.0983742427159966</v>
      </c>
      <c r="K302" s="20">
        <f t="shared" si="17"/>
        <v>1.4047606550479965</v>
      </c>
      <c r="L302" s="21">
        <f>(co2e_g_kwh!I302)/1000000000000</f>
        <v>0.91612327806301486</v>
      </c>
      <c r="M302" s="10">
        <f>(co2e_g_kwh!J302)/1000000000000</f>
        <v>2.4960499199999969E-3</v>
      </c>
      <c r="N302" s="10">
        <f>(co2e_g_kwh!L302)/1000000000000</f>
        <v>1.8845942639999991E-2</v>
      </c>
      <c r="O302" s="10">
        <f>(co2e_g_kwh!M302)/1000000000000</f>
        <v>4.1012957999999999E-3</v>
      </c>
      <c r="P302" s="22">
        <f t="shared" si="18"/>
        <v>2.544328835999999E-2</v>
      </c>
      <c r="Q302" s="10">
        <f>(co2e_g_kwh!N302)/1000000000000</f>
        <v>0</v>
      </c>
      <c r="R302" s="10">
        <f>(co2e_g_kwh!O302)/1000000000000</f>
        <v>0</v>
      </c>
      <c r="S302" s="14">
        <f t="shared" si="19"/>
        <v>2.7842877954510072</v>
      </c>
    </row>
    <row r="303" spans="1:21" x14ac:dyDescent="0.3">
      <c r="A303" s="6">
        <v>302</v>
      </c>
      <c r="B303" s="6">
        <v>2025</v>
      </c>
      <c r="C303" s="6">
        <v>2</v>
      </c>
      <c r="D303" s="10">
        <f>(co2e_g_kwh!D303)/1000000000000</f>
        <v>1.495445151200055E-2</v>
      </c>
      <c r="E303" s="10">
        <f>(co2e_g_kwh!F303)/1000000000000</f>
        <v>9.5213101749999751E-2</v>
      </c>
      <c r="F303" s="10">
        <f>(co2e_g_kwh!G303)/1000000000000</f>
        <v>0.316328268523001</v>
      </c>
      <c r="G303" s="10">
        <f>(co2e_g_kwh!K303)/1000000000000</f>
        <v>1.7295540716999961E-2</v>
      </c>
      <c r="H303" s="19">
        <f t="shared" si="16"/>
        <v>0.44379136250200124</v>
      </c>
      <c r="I303" s="10">
        <f>(co2e_g_kwh!E303)/1000000000000</f>
        <v>0.63132825655899949</v>
      </c>
      <c r="J303" s="10">
        <f>(co2e_g_kwh!H303)/1000000000000</f>
        <v>0.73933718743800003</v>
      </c>
      <c r="K303" s="20">
        <f t="shared" si="17"/>
        <v>1.3706654439969994</v>
      </c>
      <c r="L303" s="21">
        <f>(co2e_g_kwh!I303)/1000000000000</f>
        <v>0.86810406026398934</v>
      </c>
      <c r="M303" s="10">
        <f>(co2e_g_kwh!J303)/1000000000000</f>
        <v>1.7037871200000017E-3</v>
      </c>
      <c r="N303" s="10">
        <f>(co2e_g_kwh!L303)/1000000000000</f>
        <v>1.3296160080000003E-2</v>
      </c>
      <c r="O303" s="10">
        <f>(co2e_g_kwh!M303)/1000000000000</f>
        <v>8.6895169199999959E-3</v>
      </c>
      <c r="P303" s="22">
        <f t="shared" si="18"/>
        <v>2.368946412E-2</v>
      </c>
      <c r="Q303" s="10">
        <f>(co2e_g_kwh!N303)/1000000000000</f>
        <v>0</v>
      </c>
      <c r="R303" s="10">
        <f>(co2e_g_kwh!O303)/1000000000000</f>
        <v>0</v>
      </c>
      <c r="S303" s="14">
        <f t="shared" si="19"/>
        <v>2.7062503308829897</v>
      </c>
    </row>
    <row r="304" spans="1:21" x14ac:dyDescent="0.3">
      <c r="A304" s="6">
        <v>303</v>
      </c>
      <c r="B304" s="6">
        <v>2025</v>
      </c>
      <c r="C304" s="6">
        <v>3</v>
      </c>
      <c r="D304" s="10">
        <f>(co2e_g_kwh!D304)/1000000000000</f>
        <v>1.8785706628000786E-2</v>
      </c>
      <c r="E304" s="10">
        <f>(co2e_g_kwh!F304)/1000000000000</f>
        <v>0.10819560085100249</v>
      </c>
      <c r="F304" s="10">
        <f>(co2e_g_kwh!G304)/1000000000000</f>
        <v>0.36689966801699853</v>
      </c>
      <c r="G304" s="10">
        <f>(co2e_g_kwh!K304)/1000000000000</f>
        <v>1.8761389906999999E-2</v>
      </c>
      <c r="H304" s="19">
        <f t="shared" si="16"/>
        <v>0.51264236540300179</v>
      </c>
      <c r="I304" s="10">
        <f>(co2e_g_kwh!E304)/1000000000000</f>
        <v>0.4884772092200006</v>
      </c>
      <c r="J304" s="10">
        <f>(co2e_g_kwh!H304)/1000000000000</f>
        <v>0.76410320797800291</v>
      </c>
      <c r="K304" s="20">
        <f t="shared" si="17"/>
        <v>1.2525804171980035</v>
      </c>
      <c r="L304" s="21">
        <f>(co2e_g_kwh!I304)/1000000000000</f>
        <v>0.892661329665006</v>
      </c>
      <c r="M304" s="10">
        <f>(co2e_g_kwh!J304)/1000000000000</f>
        <v>1.2423818399999993E-3</v>
      </c>
      <c r="N304" s="10">
        <f>(co2e_g_kwh!L304)/1000000000000</f>
        <v>1.0254448680000009E-2</v>
      </c>
      <c r="O304" s="10">
        <f>(co2e_g_kwh!M304)/1000000000000</f>
        <v>1.018632216E-2</v>
      </c>
      <c r="P304" s="22">
        <f t="shared" si="18"/>
        <v>2.1683152680000008E-2</v>
      </c>
      <c r="Q304" s="10">
        <f>(co2e_g_kwh!N304)/1000000000000</f>
        <v>0</v>
      </c>
      <c r="R304" s="10">
        <f>(co2e_g_kwh!O304)/1000000000000</f>
        <v>0</v>
      </c>
      <c r="S304" s="14">
        <f t="shared" si="19"/>
        <v>2.6795672649460114</v>
      </c>
    </row>
    <row r="305" spans="1:19" x14ac:dyDescent="0.3">
      <c r="A305" s="6">
        <v>304</v>
      </c>
      <c r="B305" s="6">
        <v>2025</v>
      </c>
      <c r="C305" s="6">
        <v>4</v>
      </c>
      <c r="D305" s="10">
        <f>(co2e_g_kwh!D305)/1000000000000</f>
        <v>2.8824744988000049E-2</v>
      </c>
      <c r="E305" s="10">
        <f>(co2e_g_kwh!F305)/1000000000000</f>
        <v>9.699663126399953E-2</v>
      </c>
      <c r="F305" s="10">
        <f>(co2e_g_kwh!G305)/1000000000000</f>
        <v>0.30923364240799917</v>
      </c>
      <c r="G305" s="10">
        <f>(co2e_g_kwh!K305)/1000000000000</f>
        <v>1.3343258655999999E-2</v>
      </c>
      <c r="H305" s="19">
        <f t="shared" si="16"/>
        <v>0.44839827731599874</v>
      </c>
      <c r="I305" s="10">
        <f>(co2e_g_kwh!E305)/1000000000000</f>
        <v>0.62560494596600003</v>
      </c>
      <c r="J305" s="10">
        <f>(co2e_g_kwh!H305)/1000000000000</f>
        <v>0.88908495134400112</v>
      </c>
      <c r="K305" s="20">
        <f t="shared" si="17"/>
        <v>1.5146898973100011</v>
      </c>
      <c r="L305" s="21">
        <f>(co2e_g_kwh!I305)/1000000000000</f>
        <v>0.78460359217800368</v>
      </c>
      <c r="M305" s="10">
        <f>(co2e_g_kwh!J305)/1000000000000</f>
        <v>1.3554970799999999E-3</v>
      </c>
      <c r="N305" s="10">
        <f>(co2e_g_kwh!L305)/1000000000000</f>
        <v>7.9352657999999972E-3</v>
      </c>
      <c r="O305" s="10">
        <f>(co2e_g_kwh!M305)/1000000000000</f>
        <v>7.8036621600000031E-3</v>
      </c>
      <c r="P305" s="22">
        <f t="shared" si="18"/>
        <v>1.709442504E-2</v>
      </c>
      <c r="Q305" s="10">
        <f>(co2e_g_kwh!N305)/1000000000000</f>
        <v>0</v>
      </c>
      <c r="R305" s="10">
        <f>(co2e_g_kwh!O305)/1000000000000</f>
        <v>0</v>
      </c>
      <c r="S305" s="14">
        <f t="shared" si="19"/>
        <v>2.7647861918440038</v>
      </c>
    </row>
    <row r="306" spans="1:19" x14ac:dyDescent="0.3">
      <c r="A306" s="6">
        <v>305</v>
      </c>
      <c r="B306" s="6">
        <v>2025</v>
      </c>
      <c r="C306" s="6">
        <v>5</v>
      </c>
      <c r="D306" s="10">
        <f>(co2e_g_kwh!D306)/1000000000000</f>
        <v>4.5444865023999755E-2</v>
      </c>
      <c r="E306" s="10">
        <f>(co2e_g_kwh!F306)/1000000000000</f>
        <v>0.1371047962570015</v>
      </c>
      <c r="F306" s="10">
        <f>(co2e_g_kwh!G306)/1000000000000</f>
        <v>0.29037509654599958</v>
      </c>
      <c r="G306" s="10">
        <f>(co2e_g_kwh!K306)/1000000000000</f>
        <v>1.3123335900999995E-2</v>
      </c>
      <c r="H306" s="19">
        <f t="shared" si="16"/>
        <v>0.48604809372800084</v>
      </c>
      <c r="I306" s="10">
        <f>(co2e_g_kwh!E306)/1000000000000</f>
        <v>0.59141754872200081</v>
      </c>
      <c r="J306" s="10">
        <f>(co2e_g_kwh!H306)/1000000000000</f>
        <v>0.94357748944799547</v>
      </c>
      <c r="K306" s="20">
        <f t="shared" si="17"/>
        <v>1.5349950381699964</v>
      </c>
      <c r="L306" s="21">
        <f>(co2e_g_kwh!I306)/1000000000000</f>
        <v>0.70043793512700825</v>
      </c>
      <c r="M306" s="10">
        <f>(co2e_g_kwh!J306)/1000000000000</f>
        <v>9.1802424000000059E-4</v>
      </c>
      <c r="N306" s="10">
        <f>(co2e_g_kwh!L306)/1000000000000</f>
        <v>7.7793617999999997E-3</v>
      </c>
      <c r="O306" s="10">
        <f>(co2e_g_kwh!M306)/1000000000000</f>
        <v>2.4320511599999978E-3</v>
      </c>
      <c r="P306" s="22">
        <f t="shared" si="18"/>
        <v>1.1129437199999998E-2</v>
      </c>
      <c r="Q306" s="10">
        <f>(co2e_g_kwh!N306)/1000000000000</f>
        <v>0</v>
      </c>
      <c r="R306" s="10">
        <f>(co2e_g_kwh!O306)/1000000000000</f>
        <v>0</v>
      </c>
      <c r="S306" s="14">
        <f t="shared" si="19"/>
        <v>2.7326105042250055</v>
      </c>
    </row>
    <row r="307" spans="1:19" x14ac:dyDescent="0.3">
      <c r="A307" s="6">
        <v>306</v>
      </c>
      <c r="B307" s="6">
        <v>2025</v>
      </c>
      <c r="C307" s="6">
        <v>6</v>
      </c>
      <c r="D307" s="10">
        <f>(co2e_g_kwh!D307)/1000000000000</f>
        <v>4.8464733200000346E-2</v>
      </c>
      <c r="E307" s="10">
        <f>(co2e_g_kwh!F307)/1000000000000</f>
        <v>0.13900111906199966</v>
      </c>
      <c r="F307" s="10">
        <f>(co2e_g_kwh!G307)/1000000000000</f>
        <v>0.26603211568400037</v>
      </c>
      <c r="G307" s="10">
        <f>(co2e_g_kwh!K307)/1000000000000</f>
        <v>1.2746809205000018E-2</v>
      </c>
      <c r="H307" s="19">
        <f t="shared" si="16"/>
        <v>0.46624477715100043</v>
      </c>
      <c r="I307" s="10">
        <f>(co2e_g_kwh!E307)/1000000000000</f>
        <v>0.90274299515400014</v>
      </c>
      <c r="J307" s="10">
        <f>(co2e_g_kwh!H307)/1000000000000</f>
        <v>1.1797074940499981</v>
      </c>
      <c r="K307" s="20">
        <f t="shared" si="17"/>
        <v>2.0824504892039983</v>
      </c>
      <c r="L307" s="21">
        <f>(co2e_g_kwh!I307)/1000000000000</f>
        <v>0.63614085897601902</v>
      </c>
      <c r="M307" s="10">
        <f>(co2e_g_kwh!J307)/1000000000000</f>
        <v>1.0923670800000005E-3</v>
      </c>
      <c r="N307" s="10">
        <f>(co2e_g_kwh!L307)/1000000000000</f>
        <v>5.104596000000002E-3</v>
      </c>
      <c r="O307" s="10">
        <f>(co2e_g_kwh!M307)/1000000000000</f>
        <v>7.6613216399999979E-3</v>
      </c>
      <c r="P307" s="22">
        <f t="shared" si="18"/>
        <v>1.3858284720000001E-2</v>
      </c>
      <c r="Q307" s="10">
        <f>(co2e_g_kwh!N307)/1000000000000</f>
        <v>0</v>
      </c>
      <c r="R307" s="10">
        <f>(co2e_g_kwh!O307)/1000000000000</f>
        <v>0</v>
      </c>
      <c r="S307" s="14">
        <f t="shared" si="19"/>
        <v>3.1986944100510177</v>
      </c>
    </row>
    <row r="308" spans="1:19" x14ac:dyDescent="0.3">
      <c r="A308" s="6">
        <v>307</v>
      </c>
      <c r="B308" s="6">
        <v>2025</v>
      </c>
      <c r="C308" s="6">
        <v>7</v>
      </c>
      <c r="D308" s="10">
        <f>(co2e_g_kwh!D308)/1000000000000</f>
        <v>4.5887306191999863E-2</v>
      </c>
      <c r="E308" s="10">
        <f>(co2e_g_kwh!F308)/1000000000000</f>
        <v>0.14618926558600154</v>
      </c>
      <c r="F308" s="10">
        <f>(co2e_g_kwh!G308)/1000000000000</f>
        <v>0.29466505862600129</v>
      </c>
      <c r="G308" s="10">
        <f>(co2e_g_kwh!K308)/1000000000000</f>
        <v>1.6845305646000022E-2</v>
      </c>
      <c r="H308" s="19">
        <f t="shared" si="16"/>
        <v>0.50358693605000271</v>
      </c>
      <c r="I308" s="10">
        <f>(co2e_g_kwh!E308)/1000000000000</f>
        <v>0.91188296899699972</v>
      </c>
      <c r="J308" s="10">
        <f>(co2e_g_kwh!H308)/1000000000000</f>
        <v>2.1102363694980011</v>
      </c>
      <c r="K308" s="20">
        <f t="shared" si="17"/>
        <v>3.0221193384950009</v>
      </c>
      <c r="L308" s="21">
        <f>(co2e_g_kwh!I308)/1000000000000</f>
        <v>0.60144381097500732</v>
      </c>
      <c r="M308" s="10">
        <f>(co2e_g_kwh!J308)/1000000000000</f>
        <v>1.5853353599999988E-3</v>
      </c>
      <c r="N308" s="10">
        <f>(co2e_g_kwh!L308)/1000000000000</f>
        <v>9.1929944400000446E-3</v>
      </c>
      <c r="O308" s="10">
        <f>(co2e_g_kwh!M308)/1000000000000</f>
        <v>6.6633058800000004E-3</v>
      </c>
      <c r="P308" s="22">
        <f t="shared" si="18"/>
        <v>1.7441635680000043E-2</v>
      </c>
      <c r="Q308" s="10">
        <f>(co2e_g_kwh!N308)/1000000000000</f>
        <v>0</v>
      </c>
      <c r="R308" s="10">
        <f>(co2e_g_kwh!O308)/1000000000000</f>
        <v>0</v>
      </c>
      <c r="S308" s="14">
        <f t="shared" si="19"/>
        <v>4.144591721200011</v>
      </c>
    </row>
    <row r="309" spans="1:19" x14ac:dyDescent="0.3">
      <c r="A309" s="6">
        <v>308</v>
      </c>
      <c r="B309" s="6">
        <v>2025</v>
      </c>
      <c r="C309" s="6">
        <v>8</v>
      </c>
      <c r="D309" s="10">
        <f>(co2e_g_kwh!D309)/1000000000000</f>
        <v>4.8595518451999935E-2</v>
      </c>
      <c r="E309" s="10">
        <f>(co2e_g_kwh!F309)/1000000000000</f>
        <v>0.1519438988989997</v>
      </c>
      <c r="F309" s="10">
        <f>(co2e_g_kwh!G309)/1000000000000</f>
        <v>0.31379511452900066</v>
      </c>
      <c r="G309" s="10">
        <f>(co2e_g_kwh!K309)/1000000000000</f>
        <v>1.946499549799997E-2</v>
      </c>
      <c r="H309" s="19">
        <f t="shared" si="16"/>
        <v>0.53379952737800029</v>
      </c>
      <c r="I309" s="10">
        <f>(co2e_g_kwh!E309)/1000000000000</f>
        <v>1.1560998579130002</v>
      </c>
      <c r="J309" s="10">
        <f>(co2e_g_kwh!H309)/1000000000000</f>
        <v>2.2250801839679943</v>
      </c>
      <c r="K309" s="20">
        <f t="shared" si="17"/>
        <v>3.3811800418809943</v>
      </c>
      <c r="L309" s="21">
        <f>(co2e_g_kwh!I309)/1000000000000</f>
        <v>0.55915136764200291</v>
      </c>
      <c r="M309" s="10">
        <f>(co2e_g_kwh!J309)/1000000000000</f>
        <v>1.6846384799999992E-3</v>
      </c>
      <c r="N309" s="10">
        <f>(co2e_g_kwh!L309)/1000000000000</f>
        <v>1.2988741080000015E-2</v>
      </c>
      <c r="O309" s="10">
        <f>(co2e_g_kwh!M309)/1000000000000</f>
        <v>7.7831762400000027E-3</v>
      </c>
      <c r="P309" s="22">
        <f t="shared" si="18"/>
        <v>2.2456555800000017E-2</v>
      </c>
      <c r="Q309" s="10">
        <f>(co2e_g_kwh!N309)/1000000000000</f>
        <v>0</v>
      </c>
      <c r="R309" s="10">
        <f>(co2e_g_kwh!O309)/1000000000000</f>
        <v>0</v>
      </c>
      <c r="S309" s="14">
        <f t="shared" si="19"/>
        <v>4.4965874927009972</v>
      </c>
    </row>
    <row r="310" spans="1:19" x14ac:dyDescent="0.3">
      <c r="A310" s="6">
        <v>309</v>
      </c>
      <c r="B310" s="6">
        <v>2025</v>
      </c>
      <c r="C310" s="6">
        <v>9</v>
      </c>
      <c r="D310" s="10">
        <f>(co2e_g_kwh!D310)/1000000000000</f>
        <v>3.0310453471999822E-2</v>
      </c>
      <c r="E310" s="10">
        <f>(co2e_g_kwh!F310)/1000000000000</f>
        <v>0.16091652176600046</v>
      </c>
      <c r="F310" s="10">
        <f>(co2e_g_kwh!G310)/1000000000000</f>
        <v>0.33035657742899904</v>
      </c>
      <c r="G310" s="10">
        <f>(co2e_g_kwh!K310)/1000000000000</f>
        <v>1.8840467126000016E-2</v>
      </c>
      <c r="H310" s="19">
        <f t="shared" si="16"/>
        <v>0.54042401979299926</v>
      </c>
      <c r="I310" s="10">
        <f>(co2e_g_kwh!E310)/1000000000000</f>
        <v>1.0867860403400023</v>
      </c>
      <c r="J310" s="10">
        <f>(co2e_g_kwh!H310)/1000000000000</f>
        <v>1.7214132587399953</v>
      </c>
      <c r="K310" s="20">
        <f t="shared" si="17"/>
        <v>2.8081992990799973</v>
      </c>
      <c r="L310" s="21">
        <f>(co2e_g_kwh!I310)/1000000000000</f>
        <v>0.56383131336000747</v>
      </c>
      <c r="M310" s="10">
        <f>(co2e_g_kwh!J310)/1000000000000</f>
        <v>1.4550034800000005E-3</v>
      </c>
      <c r="N310" s="10">
        <f>(co2e_g_kwh!L310)/1000000000000</f>
        <v>5.0452445399999987E-3</v>
      </c>
      <c r="O310" s="10">
        <f>(co2e_g_kwh!M310)/1000000000000</f>
        <v>6.6249884399999931E-3</v>
      </c>
      <c r="P310" s="22">
        <f t="shared" si="18"/>
        <v>1.3125236459999991E-2</v>
      </c>
      <c r="Q310" s="10">
        <f>(co2e_g_kwh!N310)/1000000000000</f>
        <v>0</v>
      </c>
      <c r="R310" s="10">
        <f>(co2e_g_kwh!O310)/1000000000000</f>
        <v>0</v>
      </c>
      <c r="S310" s="14">
        <f t="shared" si="19"/>
        <v>3.9255798686930041</v>
      </c>
    </row>
    <row r="311" spans="1:19" x14ac:dyDescent="0.3">
      <c r="A311" s="6">
        <v>310</v>
      </c>
      <c r="B311" s="6">
        <v>2025</v>
      </c>
      <c r="C311" s="6">
        <v>10</v>
      </c>
      <c r="D311" s="10">
        <f>(co2e_g_kwh!D311)/1000000000000</f>
        <v>1.2808741348000148E-2</v>
      </c>
      <c r="E311" s="10">
        <f>(co2e_g_kwh!F311)/1000000000000</f>
        <v>0.15395146607100302</v>
      </c>
      <c r="F311" s="10">
        <f>(co2e_g_kwh!G311)/1000000000000</f>
        <v>0.36398324272499843</v>
      </c>
      <c r="G311" s="10">
        <f>(co2e_g_kwh!K311)/1000000000000</f>
        <v>1.9420906114999976E-2</v>
      </c>
      <c r="H311" s="19">
        <f t="shared" si="16"/>
        <v>0.55016435625900162</v>
      </c>
      <c r="I311" s="10">
        <f>(co2e_g_kwh!E311)/1000000000000</f>
        <v>1.1300179000109964</v>
      </c>
      <c r="J311" s="10">
        <f>(co2e_g_kwh!H311)/1000000000000</f>
        <v>2.5048264563720086</v>
      </c>
      <c r="K311" s="20">
        <f t="shared" si="17"/>
        <v>3.6348443563830051</v>
      </c>
      <c r="L311" s="21">
        <f>(co2e_g_kwh!I311)/1000000000000</f>
        <v>0.5897284488900234</v>
      </c>
      <c r="M311" s="10">
        <f>(co2e_g_kwh!J311)/1000000000000</f>
        <v>2.0344178399999994E-3</v>
      </c>
      <c r="N311" s="10">
        <f>(co2e_g_kwh!L311)/1000000000000</f>
        <v>2.7892787999999995E-4</v>
      </c>
      <c r="O311" s="10">
        <f>(co2e_g_kwh!M311)/1000000000000</f>
        <v>3.1880965199999989E-3</v>
      </c>
      <c r="P311" s="22">
        <f t="shared" si="18"/>
        <v>5.5014422399999978E-3</v>
      </c>
      <c r="Q311" s="10">
        <f>(co2e_g_kwh!N311)/1000000000000</f>
        <v>0</v>
      </c>
      <c r="R311" s="10">
        <f>(co2e_g_kwh!O311)/1000000000000</f>
        <v>0</v>
      </c>
      <c r="S311" s="14">
        <f t="shared" si="19"/>
        <v>4.7802386037720304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A6DF-26B0-4528-9285-CDABE0F804F1}">
  <dimension ref="A1:P2"/>
  <sheetViews>
    <sheetView workbookViewId="0">
      <selection activeCell="I15" sqref="I15"/>
    </sheetView>
  </sheetViews>
  <sheetFormatPr defaultRowHeight="14.4" x14ac:dyDescent="0.3"/>
  <cols>
    <col min="16" max="16" width="10.88671875" bestFit="1" customWidth="1"/>
  </cols>
  <sheetData>
    <row r="1" spans="1:16" ht="57.6" x14ac:dyDescent="0.3">
      <c r="A1" s="5" t="s">
        <v>14</v>
      </c>
      <c r="B1" s="5" t="s">
        <v>0</v>
      </c>
      <c r="C1" s="5" t="s">
        <v>13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12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</row>
    <row r="2" spans="1:16" x14ac:dyDescent="0.3">
      <c r="A2" s="7"/>
      <c r="B2" s="7"/>
      <c r="C2" s="7"/>
      <c r="D2" s="7">
        <v>52</v>
      </c>
      <c r="E2" s="7">
        <v>1001</v>
      </c>
      <c r="F2" s="7">
        <v>13</v>
      </c>
      <c r="G2" s="7">
        <v>43</v>
      </c>
      <c r="H2" s="7">
        <v>486</v>
      </c>
      <c r="I2" s="7">
        <v>21</v>
      </c>
      <c r="J2" s="7">
        <v>840</v>
      </c>
      <c r="K2" s="7">
        <v>13</v>
      </c>
      <c r="L2" s="7">
        <v>840</v>
      </c>
      <c r="M2" s="7">
        <v>840</v>
      </c>
      <c r="N2" s="7">
        <v>0</v>
      </c>
      <c r="O2" s="7">
        <v>0</v>
      </c>
      <c r="P2" s="7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7465-F25C-489E-B59D-6B84B7ECDE27}">
  <dimension ref="A1:O10"/>
  <sheetViews>
    <sheetView workbookViewId="0">
      <selection activeCell="J14" sqref="J14"/>
    </sheetView>
  </sheetViews>
  <sheetFormatPr defaultRowHeight="14.4" x14ac:dyDescent="0.3"/>
  <cols>
    <col min="4" max="4" width="9.5546875" bestFit="1" customWidth="1"/>
    <col min="5" max="5" width="10.5546875" bestFit="1" customWidth="1"/>
    <col min="6" max="6" width="11.5546875" bestFit="1" customWidth="1"/>
    <col min="7" max="8" width="10.5546875" bestFit="1" customWidth="1"/>
    <col min="9" max="9" width="11.5546875" bestFit="1" customWidth="1"/>
    <col min="10" max="10" width="8.77734375" bestFit="1" customWidth="1"/>
    <col min="11" max="11" width="10.5546875" bestFit="1" customWidth="1"/>
    <col min="12" max="12" width="8.77734375" bestFit="1" customWidth="1"/>
    <col min="13" max="13" width="8.5546875" bestFit="1" customWidth="1"/>
    <col min="14" max="14" width="10.5546875" bestFit="1" customWidth="1"/>
    <col min="15" max="15" width="9.5546875" bestFit="1" customWidth="1"/>
  </cols>
  <sheetData>
    <row r="1" spans="1:15" ht="57.6" x14ac:dyDescent="0.3">
      <c r="A1" s="5" t="s">
        <v>14</v>
      </c>
      <c r="B1" s="5" t="s">
        <v>0</v>
      </c>
      <c r="C1" s="5" t="s">
        <v>13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12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</row>
    <row r="2" spans="1:15" x14ac:dyDescent="0.3">
      <c r="A2" s="6">
        <v>301</v>
      </c>
      <c r="B2" s="6">
        <v>2025</v>
      </c>
      <c r="C2" s="6">
        <v>1</v>
      </c>
      <c r="D2" s="2">
        <v>231900.18500000102</v>
      </c>
      <c r="E2" s="2">
        <v>306080.33199999994</v>
      </c>
      <c r="F2" s="2">
        <v>5812282.6499999119</v>
      </c>
      <c r="G2" s="2">
        <v>7737088.3119999329</v>
      </c>
      <c r="H2" s="2">
        <v>2260029.3059999933</v>
      </c>
      <c r="I2" s="2">
        <v>43624918.003000706</v>
      </c>
      <c r="J2" s="2">
        <v>2971.4879999999966</v>
      </c>
      <c r="K2" s="2">
        <v>1357484.0380000011</v>
      </c>
      <c r="L2" s="2">
        <v>22435.64599999999</v>
      </c>
      <c r="M2" s="2">
        <v>4882.4949999999999</v>
      </c>
      <c r="N2" s="2">
        <v>329395.48200000066</v>
      </c>
      <c r="O2" s="2">
        <v>549594.59200000518</v>
      </c>
    </row>
    <row r="3" spans="1:15" x14ac:dyDescent="0.3">
      <c r="A3" s="6">
        <v>302</v>
      </c>
      <c r="B3" s="6">
        <v>2025</v>
      </c>
      <c r="C3" s="6">
        <v>2</v>
      </c>
      <c r="D3" s="2">
        <v>287585.60600001056</v>
      </c>
      <c r="E3" s="2">
        <v>630697.55899999954</v>
      </c>
      <c r="F3" s="2">
        <v>7324084.7499999814</v>
      </c>
      <c r="G3" s="2">
        <v>7356471.3610000229</v>
      </c>
      <c r="H3" s="2">
        <v>1521269.933</v>
      </c>
      <c r="I3" s="2">
        <v>41338288.5839995</v>
      </c>
      <c r="J3" s="2">
        <v>2028.3180000000018</v>
      </c>
      <c r="K3" s="2">
        <v>1330426.2089999972</v>
      </c>
      <c r="L3" s="2">
        <v>15828.762000000002</v>
      </c>
      <c r="M3" s="2">
        <v>10344.662999999997</v>
      </c>
      <c r="N3" s="2">
        <v>246977.09699999966</v>
      </c>
      <c r="O3" s="2">
        <v>535795.99199999939</v>
      </c>
    </row>
    <row r="4" spans="1:15" x14ac:dyDescent="0.3">
      <c r="A4" s="6">
        <v>303</v>
      </c>
      <c r="B4" s="6">
        <v>2025</v>
      </c>
      <c r="C4" s="6">
        <v>3</v>
      </c>
      <c r="D4" s="2">
        <v>361263.58900001505</v>
      </c>
      <c r="E4" s="2">
        <v>487989.22000000061</v>
      </c>
      <c r="F4" s="2">
        <v>8322738.5270001916</v>
      </c>
      <c r="G4" s="2">
        <v>8532550.4189999662</v>
      </c>
      <c r="H4" s="2">
        <v>1572228.8230000059</v>
      </c>
      <c r="I4" s="2">
        <v>42507682.365000285</v>
      </c>
      <c r="J4" s="2">
        <v>1479.0259999999992</v>
      </c>
      <c r="K4" s="2">
        <v>1443183.8389999999</v>
      </c>
      <c r="L4" s="2">
        <v>12207.677000000011</v>
      </c>
      <c r="M4" s="2">
        <v>12126.574000000001</v>
      </c>
      <c r="N4" s="2">
        <v>360452.28299999936</v>
      </c>
      <c r="O4" s="2">
        <v>571552.03300000262</v>
      </c>
    </row>
    <row r="5" spans="1:15" x14ac:dyDescent="0.3">
      <c r="A5" s="6">
        <v>304</v>
      </c>
      <c r="B5" s="6">
        <v>2025</v>
      </c>
      <c r="C5" s="6">
        <v>4</v>
      </c>
      <c r="D5" s="2">
        <v>554322.0190000009</v>
      </c>
      <c r="E5" s="2">
        <v>624979.96600000001</v>
      </c>
      <c r="F5" s="2">
        <v>7461279.3279999634</v>
      </c>
      <c r="G5" s="2">
        <v>7191480.0559999803</v>
      </c>
      <c r="H5" s="2">
        <v>1829392.9040000024</v>
      </c>
      <c r="I5" s="2">
        <v>37362075.818000175</v>
      </c>
      <c r="J5" s="2">
        <v>1613.6869999999999</v>
      </c>
      <c r="K5" s="2">
        <v>1026404.512</v>
      </c>
      <c r="L5" s="2">
        <v>9446.7449999999972</v>
      </c>
      <c r="M5" s="2">
        <v>9290.0740000000042</v>
      </c>
      <c r="N5" s="2">
        <v>704086.58399999957</v>
      </c>
      <c r="O5" s="2">
        <v>569007.18900000048</v>
      </c>
    </row>
    <row r="6" spans="1:15" x14ac:dyDescent="0.3">
      <c r="A6" s="6">
        <v>305</v>
      </c>
      <c r="B6" s="6">
        <v>2025</v>
      </c>
      <c r="C6" s="6">
        <v>5</v>
      </c>
      <c r="D6" s="2">
        <v>873939.7119999954</v>
      </c>
      <c r="E6" s="2">
        <v>590826.72200000088</v>
      </c>
      <c r="F6" s="2">
        <v>10546522.789000116</v>
      </c>
      <c r="G6" s="2">
        <v>6752909.2219999908</v>
      </c>
      <c r="H6" s="2">
        <v>1941517.4679999908</v>
      </c>
      <c r="I6" s="2">
        <v>33354187.387000393</v>
      </c>
      <c r="J6" s="2">
        <v>1092.8860000000006</v>
      </c>
      <c r="K6" s="2">
        <v>1009487.3769999995</v>
      </c>
      <c r="L6" s="2">
        <v>9261.1450000000004</v>
      </c>
      <c r="M6" s="2">
        <v>2895.2989999999972</v>
      </c>
      <c r="N6" s="2">
        <v>1263759.2800000007</v>
      </c>
      <c r="O6" s="2">
        <v>501285.78699999943</v>
      </c>
    </row>
    <row r="7" spans="1:15" x14ac:dyDescent="0.3">
      <c r="A7" s="6">
        <v>306</v>
      </c>
      <c r="B7" s="6">
        <v>2025</v>
      </c>
      <c r="C7" s="6">
        <v>6</v>
      </c>
      <c r="D7" s="2">
        <v>932014.10000000661</v>
      </c>
      <c r="E7" s="2">
        <v>901841.1540000001</v>
      </c>
      <c r="F7" s="2">
        <v>10692393.773999974</v>
      </c>
      <c r="G7" s="2">
        <v>6186793.3880000096</v>
      </c>
      <c r="H7" s="2">
        <v>2427381.6749999961</v>
      </c>
      <c r="I7" s="2">
        <v>30292421.856000908</v>
      </c>
      <c r="J7" s="2">
        <v>1300.4370000000004</v>
      </c>
      <c r="K7" s="2">
        <v>980523.78500000143</v>
      </c>
      <c r="L7" s="2">
        <v>6076.9000000000015</v>
      </c>
      <c r="M7" s="2">
        <v>9120.6209999999974</v>
      </c>
      <c r="N7" s="2">
        <v>1473639.2289999998</v>
      </c>
      <c r="O7" s="2">
        <v>531732.03600000474</v>
      </c>
    </row>
    <row r="8" spans="1:15" x14ac:dyDescent="0.3">
      <c r="A8" s="6">
        <v>307</v>
      </c>
      <c r="B8" s="6">
        <v>2025</v>
      </c>
      <c r="C8" s="6">
        <v>7</v>
      </c>
      <c r="D8" s="2">
        <v>882448.19599999732</v>
      </c>
      <c r="E8" s="2">
        <v>910971.99699999974</v>
      </c>
      <c r="F8" s="2">
        <v>11245328.122000119</v>
      </c>
      <c r="G8" s="2">
        <v>6852675.7820000295</v>
      </c>
      <c r="H8" s="2">
        <v>4342050.143000002</v>
      </c>
      <c r="I8" s="2">
        <v>28640181.475000348</v>
      </c>
      <c r="J8" s="2">
        <v>1887.3039999999985</v>
      </c>
      <c r="K8" s="2">
        <v>1295792.7420000017</v>
      </c>
      <c r="L8" s="2">
        <v>10944.041000000052</v>
      </c>
      <c r="M8" s="2">
        <v>7932.5069999999996</v>
      </c>
      <c r="N8" s="2">
        <v>1623039.0959999994</v>
      </c>
      <c r="O8" s="2">
        <v>515902.56600000046</v>
      </c>
    </row>
    <row r="9" spans="1:15" x14ac:dyDescent="0.3">
      <c r="A9" s="6">
        <v>308</v>
      </c>
      <c r="B9" s="6">
        <v>2025</v>
      </c>
      <c r="C9" s="6">
        <v>8</v>
      </c>
      <c r="D9" s="2">
        <v>934529.20099999872</v>
      </c>
      <c r="E9" s="2">
        <v>1154944.9130000002</v>
      </c>
      <c r="F9" s="2">
        <v>11687992.222999977</v>
      </c>
      <c r="G9" s="2">
        <v>7297560.8030000161</v>
      </c>
      <c r="H9" s="2">
        <v>4578354.2879999876</v>
      </c>
      <c r="I9" s="2">
        <v>26626255.602000136</v>
      </c>
      <c r="J9" s="2">
        <v>2005.521999999999</v>
      </c>
      <c r="K9" s="2">
        <v>1497307.3459999976</v>
      </c>
      <c r="L9" s="2">
        <v>15462.787000000018</v>
      </c>
      <c r="M9" s="2">
        <v>9265.6860000000033</v>
      </c>
      <c r="N9" s="2">
        <v>1616855.5769999998</v>
      </c>
      <c r="O9" s="2">
        <v>550824.59600000328</v>
      </c>
    </row>
    <row r="10" spans="1:15" x14ac:dyDescent="0.3">
      <c r="A10" s="6">
        <v>309</v>
      </c>
      <c r="B10" s="6">
        <v>2025</v>
      </c>
      <c r="C10" s="6">
        <v>9</v>
      </c>
      <c r="D10" s="2">
        <v>582893.33599999652</v>
      </c>
      <c r="E10" s="2">
        <v>1085700.3400000022</v>
      </c>
      <c r="F10" s="2">
        <v>12378193.982000036</v>
      </c>
      <c r="G10" s="2">
        <v>7682711.1029999768</v>
      </c>
      <c r="H10" s="2">
        <v>3542002.5899999905</v>
      </c>
      <c r="I10" s="2">
        <v>26849110.160000354</v>
      </c>
      <c r="J10" s="2">
        <v>1732.1470000000004</v>
      </c>
      <c r="K10" s="2">
        <v>1449266.7020000012</v>
      </c>
      <c r="L10" s="2">
        <v>6006.2434999999987</v>
      </c>
      <c r="M10" s="2">
        <v>7886.8909999999914</v>
      </c>
      <c r="N10" s="2">
        <v>1633603.3009999983</v>
      </c>
      <c r="O10" s="2">
        <v>568967.22799999896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co2e_mt_mensal</vt:lpstr>
      <vt:lpstr>geracao_mwh</vt:lpstr>
      <vt:lpstr>geracao_kwh</vt:lpstr>
      <vt:lpstr>co2e_g_kwh</vt:lpstr>
      <vt:lpstr>co2e_mt</vt:lpstr>
      <vt:lpstr>lcae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de Paiva Menezes</dc:creator>
  <cp:lastModifiedBy>Thiago de Paiva Menezes</cp:lastModifiedBy>
  <dcterms:created xsi:type="dcterms:W3CDTF">2025-10-15T23:35:07Z</dcterms:created>
  <dcterms:modified xsi:type="dcterms:W3CDTF">2025-11-24T01:00:27Z</dcterms:modified>
</cp:coreProperties>
</file>